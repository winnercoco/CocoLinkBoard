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metadata.xml" ContentType="application/vnd.openxmlformats-officedocument.spreadsheetml.sheetMetadata+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30430"/>
  <workbookPr/>
  <mc:AlternateContent xmlns:mc="http://schemas.openxmlformats.org/markup-compatibility/2006">
    <mc:Choice Requires="x15">
      <x15ac:absPath xmlns:x15ac="http://schemas.microsoft.com/office/spreadsheetml/2010/11/ac" url="E:\Cryo\Private\OTGX\LinkBoardApplication\LinkBoardV2\data\"/>
    </mc:Choice>
  </mc:AlternateContent>
  <xr:revisionPtr revIDLastSave="0" documentId="13_ncr:1_{5956A70C-17E7-4927-AF66-EB4D957E7FBF}" xr6:coauthVersionLast="47" xr6:coauthVersionMax="47" xr10:uidLastSave="{00000000-0000-0000-0000-000000000000}"/>
  <bookViews>
    <workbookView xWindow="-20610" yWindow="2595" windowWidth="20730" windowHeight="11760" tabRatio="258" xr2:uid="{00000000-000D-0000-FFFF-FFFF00000000}"/>
  </bookViews>
  <sheets>
    <sheet name="master_links" sheetId="2" r:id="rId1"/>
  </sheets>
  <definedNames>
    <definedName name="_xlnm._FilterDatabase" localSheetId="0" hidden="1">master_links!$A$1:$T$473</definedName>
  </definedNam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L260" i="2" l="1" a="1"/>
  <c r="L261" i="2" a="1"/>
  <c r="L262" i="2" a="1"/>
  <c r="L263" i="2" a="1"/>
  <c r="L81" i="2" a="1"/>
  <c r="L264" i="2" a="1"/>
  <c r="L265" i="2" a="1"/>
  <c r="L266" i="2" a="1"/>
  <c r="L267" i="2" a="1"/>
  <c r="L268" i="2" a="1"/>
  <c r="L269" i="2" a="1"/>
  <c r="L270" i="2" a="1"/>
  <c r="L271" i="2" a="1"/>
  <c r="L272" i="2" a="1"/>
  <c r="L273" i="2" a="1"/>
  <c r="L274" i="2" a="1"/>
  <c r="L275" i="2" a="1"/>
  <c r="L276" i="2" a="1"/>
  <c r="L277" i="2" a="1"/>
  <c r="L278" i="2" a="1"/>
  <c r="L279" i="2" a="1"/>
  <c r="L280" i="2" a="1"/>
  <c r="L281" i="2" a="1"/>
  <c r="L282" i="2" a="1"/>
  <c r="L283" i="2" a="1"/>
  <c r="L284" i="2" a="1"/>
  <c r="L285" i="2" a="1"/>
  <c r="L286" i="2" a="1"/>
  <c r="L287" i="2" a="1"/>
  <c r="L288" i="2" a="1"/>
  <c r="L289" i="2" a="1"/>
  <c r="L290" i="2" a="1"/>
  <c r="L291" i="2" a="1"/>
  <c r="L292" i="2" a="1"/>
  <c r="L293" i="2" a="1"/>
  <c r="L294" i="2" a="1"/>
  <c r="L295" i="2" a="1"/>
  <c r="L296" i="2" a="1"/>
  <c r="L297" i="2" a="1"/>
  <c r="L298" i="2" a="1"/>
  <c r="L299" i="2" a="1"/>
  <c r="L300" i="2" a="1"/>
  <c r="L301" i="2" a="1"/>
  <c r="L302" i="2" a="1"/>
  <c r="L303" i="2" a="1"/>
  <c r="L304" i="2" a="1"/>
  <c r="L305" i="2" a="1"/>
  <c r="L306" i="2" a="1"/>
  <c r="L307" i="2" a="1"/>
  <c r="L308" i="2" a="1"/>
  <c r="L309" i="2" a="1"/>
  <c r="L310" i="2" a="1"/>
  <c r="L311" i="2" a="1"/>
  <c r="L312" i="2" a="1"/>
  <c r="L313" i="2" a="1"/>
  <c r="L314" i="2" a="1"/>
  <c r="L315" i="2" a="1"/>
  <c r="L316" i="2" a="1"/>
  <c r="L317" i="2" a="1"/>
  <c r="L318" i="2" a="1"/>
  <c r="L319" i="2" a="1"/>
  <c r="L320" i="2" a="1"/>
  <c r="L321" i="2" a="1"/>
  <c r="L322" i="2" a="1"/>
  <c r="L323" i="2" a="1"/>
  <c r="L324" i="2" a="1"/>
  <c r="L325" i="2" a="1"/>
  <c r="L326" i="2" a="1"/>
  <c r="L327" i="2" a="1"/>
  <c r="L328" i="2" a="1"/>
  <c r="L329" i="2" a="1"/>
  <c r="L330" i="2" a="1"/>
  <c r="L331" i="2" a="1"/>
  <c r="L332" i="2" a="1"/>
  <c r="L333" i="2" a="1"/>
  <c r="L334" i="2" a="1"/>
  <c r="L335" i="2" a="1"/>
  <c r="L336" i="2" a="1"/>
  <c r="L337" i="2" a="1"/>
  <c r="L338" i="2" a="1"/>
  <c r="L339" i="2" a="1"/>
  <c r="L340" i="2" a="1"/>
  <c r="L341" i="2" a="1"/>
  <c r="L342" i="2" a="1"/>
  <c r="L343" i="2" a="1"/>
  <c r="L344" i="2" a="1"/>
  <c r="L345" i="2" a="1"/>
  <c r="L346" i="2" a="1"/>
  <c r="L347" i="2" a="1"/>
  <c r="L348" i="2" a="1"/>
  <c r="L349" i="2" a="1"/>
  <c r="L350" i="2" a="1"/>
  <c r="L351" i="2" a="1"/>
  <c r="L352" i="2" a="1"/>
  <c r="L353" i="2" a="1"/>
  <c r="L354" i="2" a="1"/>
  <c r="L355" i="2" a="1"/>
  <c r="L356" i="2" a="1"/>
  <c r="L357" i="2" a="1"/>
  <c r="L358" i="2" a="1"/>
  <c r="L359" i="2" a="1"/>
  <c r="L360" i="2" a="1"/>
  <c r="L361" i="2" a="1"/>
  <c r="L362" i="2" a="1"/>
  <c r="L363" i="2" a="1"/>
  <c r="L364" i="2" a="1"/>
  <c r="L365" i="2" a="1"/>
  <c r="L366" i="2" a="1"/>
  <c r="L367" i="2" a="1"/>
  <c r="L368" i="2" a="1"/>
  <c r="L369" i="2" a="1"/>
  <c r="L370" i="2" a="1"/>
  <c r="L371" i="2" a="1"/>
  <c r="L372" i="2" a="1"/>
  <c r="L373" i="2" a="1"/>
  <c r="L374" i="2" a="1"/>
  <c r="L375" i="2" a="1"/>
  <c r="L376" i="2" a="1"/>
  <c r="L377" i="2" a="1"/>
  <c r="L378" i="2" a="1"/>
  <c r="L379" i="2" a="1"/>
  <c r="L380" i="2" a="1"/>
  <c r="L381" i="2" a="1"/>
  <c r="L382" i="2" a="1"/>
  <c r="L383" i="2" a="1"/>
  <c r="L384" i="2" a="1"/>
  <c r="L385" i="2" a="1"/>
  <c r="L386" i="2" a="1"/>
  <c r="L387" i="2" a="1"/>
  <c r="L388" i="2" a="1"/>
  <c r="L389" i="2" a="1"/>
  <c r="L390" i="2" a="1"/>
  <c r="L391" i="2" a="1"/>
  <c r="L392" i="2" a="1"/>
  <c r="L393" i="2" a="1"/>
  <c r="L394" i="2" a="1"/>
  <c r="L395" i="2" a="1"/>
  <c r="L396" i="2" a="1"/>
  <c r="L397" i="2" a="1"/>
  <c r="L398" i="2" a="1"/>
  <c r="L399" i="2" a="1"/>
  <c r="L400" i="2" a="1"/>
  <c r="L82" i="2" a="1"/>
  <c r="L401" i="2" a="1"/>
  <c r="L402" i="2" a="1"/>
  <c r="L403" i="2" a="1"/>
  <c r="L404" i="2" a="1"/>
  <c r="L405" i="2" a="1"/>
  <c r="L406" i="2" a="1"/>
  <c r="L407" i="2" a="1"/>
  <c r="L408" i="2" a="1"/>
  <c r="L409" i="2" a="1"/>
  <c r="L410" i="2" a="1"/>
  <c r="L411" i="2" a="1"/>
  <c r="L412" i="2" a="1"/>
  <c r="L413" i="2" a="1"/>
  <c r="L414" i="2" a="1"/>
  <c r="L415" i="2" a="1"/>
  <c r="L416" i="2" a="1"/>
  <c r="L40" i="2" a="1"/>
  <c r="L417" i="2" a="1"/>
  <c r="L418" i="2" a="1"/>
  <c r="L419" i="2" a="1"/>
  <c r="L420" i="2" a="1"/>
  <c r="L421" i="2" a="1"/>
  <c r="L422" i="2" a="1"/>
  <c r="L423" i="2" a="1"/>
  <c r="L424" i="2" a="1"/>
  <c r="L425" i="2" a="1"/>
  <c r="L426" i="2" a="1"/>
  <c r="L427" i="2" a="1"/>
  <c r="L428" i="2" a="1"/>
  <c r="L429" i="2" a="1"/>
  <c r="L430" i="2" a="1"/>
  <c r="L431" i="2" a="1"/>
  <c r="L432" i="2" a="1"/>
  <c r="L433" i="2" a="1"/>
  <c r="L434" i="2" a="1"/>
  <c r="L435" i="2" a="1"/>
  <c r="L436" i="2" a="1"/>
  <c r="L437" i="2" a="1"/>
  <c r="L438" i="2" a="1"/>
  <c r="L439" i="2" a="1"/>
  <c r="L440" i="2" a="1"/>
  <c r="L441" i="2" a="1"/>
  <c r="L442" i="2" a="1"/>
  <c r="L443" i="2" a="1"/>
  <c r="L444" i="2" a="1"/>
  <c r="L445" i="2" a="1"/>
  <c r="L446" i="2" a="1"/>
  <c r="L215" i="2" a="1"/>
  <c r="L447" i="2" a="1"/>
  <c r="L448" i="2" a="1"/>
  <c r="L449" i="2" a="1"/>
  <c r="L450" i="2" a="1"/>
  <c r="L451" i="2" a="1"/>
  <c r="L452" i="2" a="1"/>
  <c r="L453" i="2" a="1"/>
  <c r="L454" i="2" a="1"/>
  <c r="L455" i="2" a="1"/>
  <c r="L456" i="2" a="1"/>
  <c r="L457" i="2" a="1"/>
  <c r="L458" i="2" a="1"/>
  <c r="L459" i="2" a="1"/>
  <c r="L460" i="2" a="1"/>
  <c r="L461" i="2" a="1"/>
  <c r="L462" i="2" a="1"/>
  <c r="L463" i="2" a="1"/>
  <c r="L464" i="2" a="1"/>
  <c r="L465" i="2" a="1"/>
  <c r="L466" i="2" a="1"/>
  <c r="L467" i="2" a="1"/>
  <c r="L468" i="2" a="1"/>
  <c r="L469" i="2" a="1"/>
  <c r="L470" i="2" a="1"/>
  <c r="L471" i="2" a="1"/>
  <c r="L472" i="2" a="1"/>
  <c r="L473" i="2" a="1"/>
  <c r="A369" i="2"/>
  <c r="A355" i="2"/>
  <c r="A364" i="2"/>
  <c r="A270" i="2"/>
  <c r="A338" i="2"/>
  <c r="A282" i="2"/>
  <c r="A273" i="2"/>
  <c r="A274" i="2"/>
  <c r="L192" i="2" a="1"/>
  <c r="O192" i="2" a="1"/>
  <c r="Q192" i="2"/>
  <c r="A192" i="2"/>
  <c r="Q264" i="2"/>
  <c r="Q143" i="2"/>
  <c r="Q215" i="2"/>
  <c r="Q436" i="2"/>
  <c r="Q395" i="2"/>
  <c r="Q388" i="2"/>
  <c r="Q381" i="2"/>
  <c r="Q376" i="2"/>
  <c r="Q334" i="2"/>
  <c r="Q321" i="2"/>
  <c r="Q294" i="2"/>
  <c r="Q439" i="2"/>
  <c r="Q289" i="2"/>
  <c r="Q343" i="2"/>
  <c r="Q433" i="2"/>
  <c r="Q33" i="2"/>
  <c r="Q463" i="2"/>
  <c r="Q449" i="2"/>
  <c r="Q430" i="2"/>
  <c r="Q428" i="2"/>
  <c r="Q432" i="2"/>
  <c r="Q425" i="2"/>
  <c r="Q424" i="2"/>
  <c r="O451" i="2" a="1"/>
  <c r="O431" i="2" a="1"/>
  <c r="O325" i="2" a="1"/>
  <c r="O284" i="2" a="1"/>
  <c r="O186" i="2" a="1"/>
  <c r="O293" i="2" a="1"/>
  <c r="O33" i="2" a="1"/>
  <c r="O456" i="2" a="1"/>
  <c r="O438" i="2" a="1"/>
  <c r="O264" i="2" a="1"/>
  <c r="O416" i="2" a="1"/>
  <c r="O447" i="2" a="1"/>
  <c r="O346" i="2" a="1"/>
  <c r="O375" i="2" a="1"/>
  <c r="O342" i="2" a="1"/>
  <c r="O464" i="2" a="1"/>
  <c r="O296" i="2" a="1"/>
  <c r="O446" i="2" a="1"/>
  <c r="O420" i="2" a="1"/>
  <c r="O392" i="2" a="1"/>
  <c r="O379" i="2" a="1"/>
  <c r="O363" i="2" a="1"/>
  <c r="O310" i="2" a="1"/>
  <c r="O391" i="2" a="1"/>
  <c r="O357" i="2" a="1"/>
  <c r="O394" i="2" a="1"/>
  <c r="O361" i="2" a="1"/>
  <c r="O414" i="2" a="1"/>
  <c r="O368" i="2" a="1"/>
  <c r="O397" i="2" a="1"/>
  <c r="O387" i="2" a="1"/>
  <c r="O417" i="2" a="1"/>
  <c r="O301" i="2" a="1"/>
  <c r="O350" i="2" a="1"/>
  <c r="O458" i="2" a="1"/>
  <c r="O305" i="2" a="1"/>
  <c r="O344" i="2" a="1"/>
  <c r="O333" i="2" a="1"/>
  <c r="O269" i="2" a="1"/>
  <c r="O467" i="2" a="1"/>
  <c r="O411" i="2" a="1"/>
  <c r="O367" i="2" a="1"/>
  <c r="O470" i="2" a="1"/>
  <c r="O457" i="2" a="1"/>
  <c r="O461" i="2" a="1"/>
  <c r="O445" i="2" a="1"/>
  <c r="O427" i="2" a="1"/>
  <c r="O40" i="2" a="1"/>
  <c r="O410" i="2" a="1"/>
  <c r="O408" i="2" a="1"/>
  <c r="O401" i="2" a="1"/>
  <c r="O403" i="2" a="1"/>
  <c r="O390" i="2" a="1"/>
  <c r="O382" i="2" a="1"/>
  <c r="O386" i="2" a="1"/>
  <c r="O385" i="2" a="1"/>
  <c r="O37" i="2" a="1"/>
  <c r="O374" i="2" a="1"/>
  <c r="O36" i="2" a="1"/>
  <c r="O370" i="2" a="1"/>
  <c r="O372" i="2" a="1"/>
  <c r="O371" i="2" a="1"/>
  <c r="O366" i="2" a="1"/>
  <c r="O35" i="2" a="1"/>
  <c r="O359" i="2" a="1"/>
  <c r="O358" i="2" a="1"/>
  <c r="O354" i="2" a="1"/>
  <c r="O345" i="2" a="1"/>
  <c r="O336" i="2" a="1"/>
  <c r="O332" i="2" a="1"/>
  <c r="O331" i="2" a="1"/>
  <c r="O324" i="2" a="1"/>
  <c r="O307" i="2" a="1"/>
  <c r="O314" i="2" a="1"/>
  <c r="O313" i="2" a="1"/>
  <c r="O306" i="2" a="1"/>
  <c r="O300" i="2" a="1"/>
  <c r="O299" i="2" a="1"/>
  <c r="O454" i="2" a="1"/>
  <c r="O275" i="2" a="1"/>
  <c r="O373" i="2" a="1"/>
  <c r="O262" i="2" a="1"/>
  <c r="O285" i="2" a="1"/>
  <c r="O49" i="2" a="1"/>
  <c r="O260" i="2" a="1"/>
  <c r="O405" i="2" a="1"/>
  <c r="O353" i="2" a="1"/>
  <c r="O261" i="2" a="1"/>
  <c r="O195" i="2" a="1"/>
  <c r="O272" i="2" a="1"/>
  <c r="O81" i="2" a="1"/>
  <c r="O52" i="2" a="1"/>
  <c r="O298" i="2" a="1"/>
  <c r="O183" i="2" a="1"/>
  <c r="O465" i="2" a="1"/>
  <c r="O255" i="2" a="1"/>
  <c r="O141" i="2" a="1"/>
  <c r="O74" i="2" a="1"/>
  <c r="O413" i="2" a="1"/>
  <c r="O384" i="2" a="1"/>
  <c r="O121" i="2" a="1"/>
  <c r="O453" i="2" a="1"/>
  <c r="O434" i="2" a="1"/>
  <c r="O418" i="2" a="1"/>
  <c r="O423" i="2" a="1"/>
  <c r="O360" i="2" a="1"/>
  <c r="O312" i="2" a="1"/>
  <c r="O472" i="2" a="1"/>
  <c r="O448" i="2" a="1"/>
  <c r="O444" i="2" a="1"/>
  <c r="O415" i="2" a="1"/>
  <c r="O404" i="2" a="1"/>
  <c r="O400" i="2" a="1"/>
  <c r="O82" i="2" a="1"/>
  <c r="O402" i="2" a="1"/>
  <c r="O396" i="2" a="1"/>
  <c r="O393" i="2" a="1"/>
  <c r="O383" i="2" a="1"/>
  <c r="O75" i="2" a="1"/>
  <c r="O378" i="2" a="1"/>
  <c r="O365" i="2" a="1"/>
  <c r="O349" i="2" a="1"/>
  <c r="O352" i="2" a="1"/>
  <c r="O31" i="2" a="1"/>
  <c r="O69" i="2" a="1"/>
  <c r="O339" i="2" a="1"/>
  <c r="O335" i="2" a="1"/>
  <c r="O328" i="2" a="1"/>
  <c r="O327" i="2" a="1"/>
  <c r="O329" i="2" a="1"/>
  <c r="O27" i="2" a="1"/>
  <c r="O323" i="2" a="1"/>
  <c r="O322" i="2" a="1"/>
  <c r="O319" i="2" a="1"/>
  <c r="O317" i="2" a="1"/>
  <c r="O316" i="2" a="1"/>
  <c r="O318" i="2" a="1"/>
  <c r="O308" i="2" a="1"/>
  <c r="O304" i="2" a="1"/>
  <c r="O295" i="2" a="1"/>
  <c r="O297" i="2" a="1"/>
  <c r="O292" i="2" a="1"/>
  <c r="O291" i="2" a="1"/>
  <c r="O111" i="2" a="1"/>
  <c r="O143" i="2" a="1"/>
  <c r="O215" i="2" a="1"/>
  <c r="O440" i="2" a="1"/>
  <c r="O407" i="2" a="1"/>
  <c r="O435" i="2" a="1"/>
  <c r="O302" i="2" a="1"/>
  <c r="O29" i="2" a="1"/>
  <c r="O330" i="2" a="1"/>
  <c r="O271" i="2" a="1"/>
  <c r="O309" i="2" a="1"/>
  <c r="O419" i="2" a="1"/>
  <c r="O103" i="2" a="1"/>
  <c r="O142" i="2" a="1"/>
  <c r="O223" i="2" a="1"/>
  <c r="O276" i="2" a="1"/>
  <c r="O311" i="2" a="1"/>
  <c r="O115" i="2" a="1"/>
  <c r="O188" i="2" a="1"/>
  <c r="O351" i="2" a="1"/>
  <c r="O144" i="2" a="1"/>
  <c r="O281" i="2" a="1"/>
  <c r="O280" i="2" a="1"/>
  <c r="O436" i="2" a="1"/>
  <c r="O395" i="2" a="1"/>
  <c r="O388" i="2" a="1"/>
  <c r="O381" i="2" a="1"/>
  <c r="O376" i="2" a="1"/>
  <c r="O334" i="2" a="1"/>
  <c r="O321" i="2" a="1"/>
  <c r="O463" i="2" a="1"/>
  <c r="O449" i="2" a="1"/>
  <c r="O430" i="2" a="1"/>
  <c r="O428" i="2" a="1"/>
  <c r="O432" i="2" a="1"/>
  <c r="O425" i="2" a="1"/>
  <c r="O424" i="2" a="1"/>
  <c r="O409" i="2" a="1"/>
  <c r="O406" i="2" a="1"/>
  <c r="O389" i="2" a="1"/>
  <c r="O399" i="2" a="1"/>
  <c r="O398" i="2" a="1"/>
  <c r="O13" i="2" a="1"/>
  <c r="O362" i="2" a="1"/>
  <c r="O320" i="2" a="1"/>
  <c r="O288" i="2" a="1"/>
  <c r="O380" i="2" a="1"/>
  <c r="O185" i="2" a="1"/>
  <c r="O225" i="2" a="1"/>
  <c r="O469" i="2" a="1"/>
  <c r="O466" i="2" a="1"/>
  <c r="O460" i="2" a="1"/>
  <c r="O459" i="2" a="1"/>
  <c r="O455" i="2" a="1"/>
  <c r="O443" i="2" a="1"/>
  <c r="O442" i="2" a="1"/>
  <c r="O356" i="2" a="1"/>
  <c r="O441" i="2" a="1"/>
  <c r="O422" i="2" a="1"/>
  <c r="O412" i="2" a="1"/>
  <c r="O125" i="2" a="1"/>
  <c r="O256" i="2" a="1"/>
  <c r="O287" i="2" a="1"/>
  <c r="O286" i="2" a="1"/>
  <c r="O283" i="2" a="1"/>
  <c r="O279" i="2" a="1"/>
  <c r="O278" i="2" a="1"/>
  <c r="O268" i="2" a="1"/>
  <c r="O265" i="2" a="1"/>
  <c r="O266" i="2" a="1"/>
  <c r="O51" i="2" a="1"/>
  <c r="O247" i="2" a="1"/>
  <c r="O224" i="2" a="1"/>
  <c r="O468" i="2" a="1"/>
  <c r="O15" i="2" a="1"/>
  <c r="O462" i="2" a="1"/>
  <c r="O39" i="2" a="1"/>
  <c r="O452" i="2" a="1"/>
  <c r="O450" i="2" a="1"/>
  <c r="O294" i="2" a="1"/>
  <c r="O439" i="2" a="1"/>
  <c r="O289" i="2" a="1"/>
  <c r="O343" i="2" a="1"/>
  <c r="O429" i="2" a="1"/>
  <c r="O473" i="2" a="1"/>
  <c r="O471" i="2" a="1"/>
  <c r="O433" i="2" a="1"/>
  <c r="O341" i="2" a="1"/>
  <c r="O315" i="2" a="1"/>
  <c r="O263" i="2" a="1"/>
  <c r="O326" i="2" a="1"/>
  <c r="O340" i="2" a="1"/>
  <c r="O348" i="2" a="1"/>
  <c r="O267" i="2" a="1"/>
  <c r="O303" i="2" a="1"/>
  <c r="O259" i="2" a="1"/>
  <c r="O437" i="2" a="1"/>
  <c r="O38" i="2" a="1"/>
  <c r="O377" i="2" a="1"/>
  <c r="O34" i="2" a="1"/>
  <c r="O67" i="2" a="1"/>
  <c r="O337" i="2" a="1"/>
  <c r="O290" i="2" a="1"/>
  <c r="O277" i="2" a="1"/>
  <c r="O421" i="2" a="1"/>
  <c r="O347" i="2" a="1"/>
  <c r="O426" i="2" a="1"/>
  <c r="O257" i="2" a="1"/>
  <c r="O258" i="2" a="1"/>
  <c r="O254" i="2" a="1"/>
  <c r="O251" i="2" a="1"/>
  <c r="O252" i="2" a="1"/>
  <c r="O250" i="2" a="1"/>
  <c r="O248" i="2" a="1"/>
  <c r="O253" i="2" a="1"/>
  <c r="O246" i="2" a="1"/>
  <c r="O245" i="2" a="1"/>
  <c r="O249" i="2" a="1"/>
  <c r="O243" i="2" a="1"/>
  <c r="O235" i="2" a="1"/>
  <c r="O230" i="2" a="1"/>
  <c r="O216" i="2" a="1"/>
  <c r="O217" i="2" a="1"/>
  <c r="O242" i="2" a="1"/>
  <c r="O219" i="2" a="1"/>
  <c r="O241" i="2" a="1"/>
  <c r="O222" i="2" a="1"/>
  <c r="O229" i="2" a="1"/>
  <c r="O236" i="2" a="1"/>
  <c r="O228" i="2" a="1"/>
  <c r="O220" i="2" a="1"/>
  <c r="O227" i="2" a="1"/>
  <c r="O231" i="2" a="1"/>
  <c r="O232" i="2" a="1"/>
  <c r="O233" i="2" a="1"/>
  <c r="O234" i="2" a="1"/>
  <c r="O129" i="2" a="1"/>
  <c r="O218" i="2" a="1"/>
  <c r="O237" i="2" a="1"/>
  <c r="O238" i="2" a="1"/>
  <c r="O239" i="2" a="1"/>
  <c r="O240" i="2" a="1"/>
  <c r="O244" i="2" a="1"/>
  <c r="O221" i="2" a="1"/>
  <c r="O226" i="2" a="1"/>
  <c r="O211" i="2" a="1"/>
  <c r="O200" i="2" a="1"/>
  <c r="O182" i="2" a="1"/>
  <c r="O207" i="2" a="1"/>
  <c r="O199" i="2" a="1"/>
  <c r="O206" i="2" a="1"/>
  <c r="O198" i="2" a="1"/>
  <c r="O187" i="2" a="1"/>
  <c r="O193" i="2" a="1"/>
  <c r="O202" i="2" a="1"/>
  <c r="O203" i="2" a="1"/>
  <c r="O197" i="2" a="1"/>
  <c r="O191" i="2" a="1"/>
  <c r="O201" i="2" a="1"/>
  <c r="O208" i="2" a="1"/>
  <c r="O179" i="2" a="1"/>
  <c r="O180" i="2" a="1"/>
  <c r="O205" i="2" a="1"/>
  <c r="O175" i="2" a="1"/>
  <c r="O177" i="2" a="1"/>
  <c r="O190" i="2" a="1"/>
  <c r="O212" i="2" a="1"/>
  <c r="O184" i="2" a="1"/>
  <c r="O194" i="2" a="1"/>
  <c r="O213" i="2" a="1"/>
  <c r="O172" i="2" a="1"/>
  <c r="O204" i="2" a="1"/>
  <c r="O196" i="2" a="1"/>
  <c r="O174" i="2" a="1"/>
  <c r="O173" i="2" a="1"/>
  <c r="O189" i="2" a="1"/>
  <c r="O68" i="2" a="1"/>
  <c r="O178" i="2" a="1"/>
  <c r="O209" i="2" a="1"/>
  <c r="O181" i="2" a="1"/>
  <c r="O210" i="2" a="1"/>
  <c r="O214" i="2" a="1"/>
  <c r="O176" i="2" a="1"/>
  <c r="O171" i="2" a="1"/>
  <c r="O169" i="2" a="1"/>
  <c r="O135" i="2" a="1"/>
  <c r="O159" i="2" a="1"/>
  <c r="O156" i="2" a="1"/>
  <c r="O153" i="2" a="1"/>
  <c r="O149" i="2" a="1"/>
  <c r="O28" i="2" a="1"/>
  <c r="O164" i="2" a="1"/>
  <c r="O140" i="2" a="1"/>
  <c r="O138" i="2" a="1"/>
  <c r="O132" i="2" a="1"/>
  <c r="O151" i="2" a="1"/>
  <c r="O161" i="2" a="1"/>
  <c r="O168" i="2" a="1"/>
  <c r="O154" i="2" a="1"/>
  <c r="O137" i="2" a="1"/>
  <c r="O148" i="2" a="1"/>
  <c r="O170" i="2" a="1"/>
  <c r="O152" i="2" a="1"/>
  <c r="O145" i="2" a="1"/>
  <c r="O150" i="2" a="1"/>
  <c r="O162" i="2" a="1"/>
  <c r="O84" i="2" a="1"/>
  <c r="O139" i="2" a="1"/>
  <c r="O167" i="2" a="1"/>
  <c r="O155" i="2" a="1"/>
  <c r="O134" i="2" a="1"/>
  <c r="O158" i="2" a="1"/>
  <c r="O165" i="2" a="1"/>
  <c r="O146" i="2" a="1"/>
  <c r="O157" i="2" a="1"/>
  <c r="O147" i="2" a="1"/>
  <c r="O160" i="2" a="1"/>
  <c r="O163" i="2" a="1"/>
  <c r="O166" i="2" a="1"/>
  <c r="O136" i="2" a="1"/>
  <c r="O100" i="2" a="1"/>
  <c r="O95" i="2" a="1"/>
  <c r="O98" i="2" a="1"/>
  <c r="O96" i="2" a="1"/>
  <c r="O130" i="2" a="1"/>
  <c r="O113" i="2" a="1"/>
  <c r="O127" i="2" a="1"/>
  <c r="O108" i="2" a="1"/>
  <c r="O119" i="2" a="1"/>
  <c r="O99" i="2" a="1"/>
  <c r="O92" i="2" a="1"/>
  <c r="O85" i="2" a="1"/>
  <c r="O91" i="2" a="1"/>
  <c r="O104" i="2" a="1"/>
  <c r="O112" i="2" a="1"/>
  <c r="O114" i="2" a="1"/>
  <c r="O109" i="2" a="1"/>
  <c r="O116" i="2" a="1"/>
  <c r="O105" i="2" a="1"/>
  <c r="O110" i="2" a="1"/>
  <c r="O90" i="2" a="1"/>
  <c r="O26" i="2" a="1"/>
  <c r="O117" i="2" a="1"/>
  <c r="O89" i="2" a="1"/>
  <c r="O48" i="2" a="1"/>
  <c r="O43" i="2" a="1"/>
  <c r="O42" i="2" a="1"/>
  <c r="O46" i="2" a="1"/>
  <c r="O45" i="2" a="1"/>
  <c r="O16" i="2" a="1"/>
  <c r="O107" i="2" a="1"/>
  <c r="O124" i="2" a="1"/>
  <c r="O131" i="2" a="1"/>
  <c r="O118" i="2" a="1"/>
  <c r="O101" i="2" a="1"/>
  <c r="O126" i="2" a="1"/>
  <c r="O102" i="2" a="1"/>
  <c r="O123" i="2" a="1"/>
  <c r="O106" i="2" a="1"/>
  <c r="O128" i="2" a="1"/>
  <c r="O122" i="2" a="1"/>
  <c r="O120" i="2" a="1"/>
  <c r="O97" i="2" a="1"/>
  <c r="O79" i="2" a="1"/>
  <c r="O80" i="2" a="1"/>
  <c r="O76" i="2" a="1"/>
  <c r="O63" i="2" a="1"/>
  <c r="O70" i="2" a="1"/>
  <c r="O73" i="2" a="1"/>
  <c r="O62" i="2" a="1"/>
  <c r="O66" i="2" a="1"/>
  <c r="O71" i="2" a="1"/>
  <c r="O55" i="2" a="1"/>
  <c r="O61" i="2" a="1"/>
  <c r="O18" i="2" a="1"/>
  <c r="O17" i="2" a="1"/>
  <c r="O9" i="2" a="1"/>
  <c r="O58" i="2" a="1"/>
  <c r="O11" i="2" a="1"/>
  <c r="O78" i="2" a="1"/>
  <c r="O53" i="2" a="1"/>
  <c r="O133" i="2" a="1"/>
  <c r="O88" i="2" a="1"/>
  <c r="O19" i="2" a="1"/>
  <c r="O54" i="2" a="1"/>
  <c r="O57" i="2" a="1"/>
  <c r="O60" i="2" a="1"/>
  <c r="O72" i="2" a="1"/>
  <c r="O10" i="2" a="1"/>
  <c r="O87" i="2" a="1"/>
  <c r="O77" i="2" a="1"/>
  <c r="O65" i="2" a="1"/>
  <c r="O50" i="2" a="1"/>
  <c r="O59" i="2" a="1"/>
  <c r="O56" i="2" a="1"/>
  <c r="O64" i="2" a="1"/>
  <c r="O22" i="2" a="1"/>
  <c r="O30" i="2" a="1"/>
  <c r="O32" i="2" a="1"/>
  <c r="O83" i="2" a="1"/>
  <c r="O94" i="2" a="1"/>
  <c r="O93" i="2" a="1"/>
  <c r="O44" i="2" a="1"/>
  <c r="O25" i="2" a="1"/>
  <c r="O24" i="2" a="1"/>
  <c r="O21" i="2" a="1"/>
  <c r="O20" i="2" a="1"/>
  <c r="O23" i="2" a="1"/>
  <c r="O47" i="2" a="1"/>
  <c r="O86" i="2" a="1"/>
  <c r="O41" i="2" a="1"/>
  <c r="O12" i="2" a="1"/>
  <c r="O14" i="2" a="1"/>
  <c r="O5" i="2" a="1"/>
  <c r="O7" i="2" a="1"/>
  <c r="O6" i="2" a="1"/>
  <c r="O3" i="2" a="1"/>
  <c r="O2" i="2" a="1"/>
  <c r="O8" i="2" a="1"/>
  <c r="O4" i="2" a="1"/>
  <c r="A6" i="2"/>
  <c r="A14" i="2"/>
  <c r="A12" i="2"/>
  <c r="A21" i="2"/>
  <c r="A24" i="2"/>
  <c r="A64" i="2"/>
  <c r="A56" i="2"/>
  <c r="A59" i="2"/>
  <c r="A50" i="2"/>
  <c r="A65" i="2"/>
  <c r="A77" i="2"/>
  <c r="A25" i="2"/>
  <c r="A17" i="2"/>
  <c r="A18" i="2"/>
  <c r="A120" i="2"/>
  <c r="A122" i="2"/>
  <c r="A128" i="2"/>
  <c r="A106" i="2"/>
  <c r="A123" i="2"/>
  <c r="A102" i="2"/>
  <c r="A166" i="2"/>
  <c r="A163" i="2"/>
  <c r="A22" i="2"/>
  <c r="A45" i="2"/>
  <c r="A46" i="2"/>
  <c r="A72" i="2"/>
  <c r="A60" i="2"/>
  <c r="A57" i="2"/>
  <c r="A54" i="2"/>
  <c r="A41" i="2"/>
  <c r="A47" i="2"/>
  <c r="A44" i="2"/>
  <c r="A160" i="2"/>
  <c r="A147" i="2"/>
  <c r="A157" i="2"/>
  <c r="A146" i="2"/>
  <c r="A214" i="2"/>
  <c r="A210" i="2"/>
  <c r="A181" i="2"/>
  <c r="A209" i="2"/>
  <c r="A178" i="2"/>
  <c r="A68" i="2"/>
  <c r="A189" i="2"/>
  <c r="A226" i="2"/>
  <c r="A221" i="2"/>
  <c r="A249" i="2"/>
  <c r="A426" i="2"/>
  <c r="A347" i="2"/>
  <c r="A421" i="2"/>
  <c r="A277" i="2"/>
  <c r="A290" i="2"/>
  <c r="A259" i="2"/>
  <c r="A303" i="2"/>
  <c r="A53" i="2"/>
  <c r="A78" i="2"/>
  <c r="A42" i="2"/>
  <c r="A126" i="2"/>
  <c r="A101" i="2"/>
  <c r="A118" i="2"/>
  <c r="A131" i="2"/>
  <c r="A124" i="2"/>
  <c r="A107" i="2"/>
  <c r="A93" i="2"/>
  <c r="A94" i="2"/>
  <c r="A83" i="2"/>
  <c r="A89" i="2"/>
  <c r="A90" i="2"/>
  <c r="A91" i="2"/>
  <c r="A85" i="2"/>
  <c r="A92" i="2"/>
  <c r="A117" i="2"/>
  <c r="A267" i="2"/>
  <c r="A348" i="2"/>
  <c r="A340" i="2"/>
  <c r="A326" i="2"/>
  <c r="A263" i="2"/>
  <c r="A315" i="2"/>
  <c r="A341" i="2"/>
  <c r="A433" i="2"/>
  <c r="A471" i="2"/>
  <c r="A473" i="2"/>
  <c r="A429" i="2"/>
  <c r="A343" i="2"/>
  <c r="A289" i="2"/>
  <c r="A439" i="2"/>
  <c r="A294" i="2"/>
  <c r="A337" i="2"/>
  <c r="A67" i="2"/>
  <c r="A34" i="2"/>
  <c r="A377" i="2"/>
  <c r="A38" i="2"/>
  <c r="A437" i="2"/>
  <c r="A450" i="2"/>
  <c r="A452" i="2"/>
  <c r="A39" i="2"/>
  <c r="A462" i="2"/>
  <c r="A26" i="2"/>
  <c r="A86" i="2"/>
  <c r="A110" i="2"/>
  <c r="A105" i="2"/>
  <c r="A165" i="2"/>
  <c r="A158" i="2"/>
  <c r="A134" i="2"/>
  <c r="A155" i="2"/>
  <c r="A167" i="2"/>
  <c r="A139" i="2"/>
  <c r="A132" i="2"/>
  <c r="A162" i="2"/>
  <c r="A150" i="2"/>
  <c r="A15" i="2"/>
  <c r="A468" i="2"/>
  <c r="A224" i="2"/>
  <c r="A247" i="2"/>
  <c r="A51" i="2"/>
  <c r="A266" i="2"/>
  <c r="A265" i="2"/>
  <c r="A268" i="2"/>
  <c r="A278" i="2"/>
  <c r="A279" i="2"/>
  <c r="A283" i="2"/>
  <c r="A286" i="2"/>
  <c r="A287" i="2"/>
  <c r="A111" i="2"/>
  <c r="A291" i="2"/>
  <c r="A292" i="2"/>
  <c r="A297" i="2"/>
  <c r="A295" i="2"/>
  <c r="A304" i="2"/>
  <c r="A308" i="2"/>
  <c r="A318" i="2"/>
  <c r="A316" i="2"/>
  <c r="A317" i="2"/>
  <c r="A145" i="2"/>
  <c r="A152" i="2"/>
  <c r="A170" i="2"/>
  <c r="A148" i="2"/>
  <c r="A137" i="2"/>
  <c r="A173" i="2"/>
  <c r="A174" i="2"/>
  <c r="A196" i="2"/>
  <c r="A204" i="2"/>
  <c r="A172" i="2"/>
  <c r="A213" i="2"/>
  <c r="A194" i="2"/>
  <c r="A184" i="2"/>
  <c r="A319" i="2"/>
  <c r="A322" i="2"/>
  <c r="A323" i="2"/>
  <c r="A27" i="2"/>
  <c r="A329" i="2"/>
  <c r="A327" i="2"/>
  <c r="A328" i="2"/>
  <c r="A335" i="2"/>
  <c r="A339" i="2"/>
  <c r="A69" i="2"/>
  <c r="A31" i="2"/>
  <c r="A352" i="2"/>
  <c r="A349" i="2"/>
  <c r="A365" i="2"/>
  <c r="A378" i="2"/>
  <c r="A75" i="2"/>
  <c r="A383" i="2"/>
  <c r="A393" i="2"/>
  <c r="A396" i="2"/>
  <c r="A402" i="2"/>
  <c r="A82" i="2"/>
  <c r="A400" i="2"/>
  <c r="A404" i="2"/>
  <c r="A415" i="2"/>
  <c r="A444" i="2"/>
  <c r="A448" i="2"/>
  <c r="A212" i="2"/>
  <c r="A190" i="2"/>
  <c r="A177" i="2"/>
  <c r="A175" i="2"/>
  <c r="A244" i="2"/>
  <c r="A240" i="2"/>
  <c r="A239" i="2"/>
  <c r="A238" i="2"/>
  <c r="A237" i="2"/>
  <c r="A218" i="2"/>
  <c r="A20" i="2"/>
  <c r="A58" i="2"/>
  <c r="A116" i="2"/>
  <c r="A97" i="2"/>
  <c r="A136" i="2"/>
  <c r="A10" i="2"/>
  <c r="A11" i="2"/>
  <c r="A176" i="2"/>
  <c r="A205" i="2"/>
  <c r="A180" i="2"/>
  <c r="A19" i="2"/>
  <c r="A129" i="2"/>
  <c r="A234" i="2"/>
  <c r="A233" i="2"/>
  <c r="A232" i="2"/>
  <c r="A231" i="2"/>
  <c r="A227" i="2"/>
  <c r="A220" i="2"/>
  <c r="A228" i="2"/>
  <c r="A236" i="2"/>
  <c r="A229" i="2"/>
  <c r="A245" i="2"/>
  <c r="A16" i="2"/>
  <c r="A179" i="2"/>
  <c r="A222" i="2"/>
  <c r="A280" i="2"/>
  <c r="A109" i="2"/>
  <c r="A246" i="2"/>
  <c r="A253" i="2"/>
  <c r="A114" i="2"/>
  <c r="A281" i="2"/>
  <c r="A254" i="2"/>
  <c r="A144" i="2"/>
  <c r="A351" i="2"/>
  <c r="A188" i="2"/>
  <c r="A115" i="2"/>
  <c r="A208" i="2"/>
  <c r="A201" i="2"/>
  <c r="A43" i="2"/>
  <c r="A48" i="2"/>
  <c r="A241" i="2"/>
  <c r="A112" i="2"/>
  <c r="A191" i="2"/>
  <c r="A311" i="2"/>
  <c r="A276" i="2"/>
  <c r="A23" i="2"/>
  <c r="A104" i="2"/>
  <c r="A197" i="2"/>
  <c r="A219" i="2"/>
  <c r="A223" i="2"/>
  <c r="A142" i="2"/>
  <c r="A103" i="2"/>
  <c r="A419" i="2"/>
  <c r="A309" i="2"/>
  <c r="A271" i="2"/>
  <c r="A330" i="2"/>
  <c r="A29" i="2"/>
  <c r="A87" i="2"/>
  <c r="A88" i="2"/>
  <c r="A84" i="2"/>
  <c r="A302" i="2"/>
  <c r="A435" i="2"/>
  <c r="A61" i="2"/>
  <c r="A55" i="2"/>
  <c r="A71" i="2"/>
  <c r="A66" i="2"/>
  <c r="A62" i="2"/>
  <c r="A73" i="2"/>
  <c r="A99" i="2"/>
  <c r="A119" i="2"/>
  <c r="A108" i="2"/>
  <c r="A154" i="2"/>
  <c r="A168" i="2"/>
  <c r="A161" i="2"/>
  <c r="A151" i="2"/>
  <c r="A133" i="2"/>
  <c r="A138" i="2"/>
  <c r="A203" i="2"/>
  <c r="A202" i="2"/>
  <c r="A193" i="2"/>
  <c r="A187" i="2"/>
  <c r="A198" i="2"/>
  <c r="A242" i="2"/>
  <c r="A248" i="2"/>
  <c r="A407" i="2"/>
  <c r="A440" i="2"/>
  <c r="A472" i="2"/>
  <c r="A312" i="2"/>
  <c r="A360" i="2"/>
  <c r="A423" i="2"/>
  <c r="A256" i="2"/>
  <c r="A125" i="2"/>
  <c r="A412" i="2"/>
  <c r="A422" i="2"/>
  <c r="A441" i="2"/>
  <c r="A250" i="2"/>
  <c r="A356" i="2"/>
  <c r="A442" i="2"/>
  <c r="A217" i="2"/>
  <c r="A216" i="2"/>
  <c r="A443" i="2"/>
  <c r="A455" i="2"/>
  <c r="A459" i="2"/>
  <c r="A460" i="2"/>
  <c r="A466" i="2"/>
  <c r="A469" i="2"/>
  <c r="A418" i="2"/>
  <c r="A434" i="2"/>
  <c r="A453" i="2"/>
  <c r="A121" i="2"/>
  <c r="A384" i="2"/>
  <c r="A413" i="2"/>
  <c r="A74" i="2"/>
  <c r="A225" i="2"/>
  <c r="A185" i="2"/>
  <c r="A380" i="2"/>
  <c r="A141" i="2"/>
  <c r="A255" i="2"/>
  <c r="A183" i="2"/>
  <c r="A52" i="2"/>
  <c r="A81" i="2"/>
  <c r="A272" i="2"/>
  <c r="A195" i="2"/>
  <c r="A299" i="2"/>
  <c r="A300" i="2"/>
  <c r="A306" i="2"/>
  <c r="A313" i="2"/>
  <c r="A314" i="2"/>
  <c r="A307" i="2"/>
  <c r="A324" i="2"/>
  <c r="A331" i="2"/>
  <c r="A332" i="2"/>
  <c r="A336" i="2"/>
  <c r="A345" i="2"/>
  <c r="A354" i="2"/>
  <c r="A206" i="2"/>
  <c r="A358" i="2"/>
  <c r="A359" i="2"/>
  <c r="A35" i="2"/>
  <c r="A32" i="2"/>
  <c r="A366" i="2"/>
  <c r="A371" i="2"/>
  <c r="A465" i="2"/>
  <c r="A372" i="2"/>
  <c r="A298" i="2"/>
  <c r="A370" i="2"/>
  <c r="A36" i="2"/>
  <c r="A374" i="2"/>
  <c r="A37" i="2"/>
  <c r="A3" i="2"/>
  <c r="A4" i="2"/>
  <c r="A70" i="2"/>
  <c r="A127" i="2"/>
  <c r="A140" i="2"/>
  <c r="A164" i="2"/>
  <c r="A28" i="2"/>
  <c r="A149" i="2"/>
  <c r="A199" i="2"/>
  <c r="A207" i="2"/>
  <c r="A182" i="2"/>
  <c r="A261" i="2"/>
  <c r="A353" i="2"/>
  <c r="A405" i="2"/>
  <c r="A260" i="2"/>
  <c r="A49" i="2"/>
  <c r="A285" i="2"/>
  <c r="A262" i="2"/>
  <c r="A373" i="2"/>
  <c r="A275" i="2"/>
  <c r="A454" i="2"/>
  <c r="A385" i="2"/>
  <c r="A386" i="2"/>
  <c r="A382" i="2"/>
  <c r="A390" i="2"/>
  <c r="A403" i="2"/>
  <c r="A401" i="2"/>
  <c r="A408" i="2"/>
  <c r="A410" i="2"/>
  <c r="A40" i="2"/>
  <c r="A427" i="2"/>
  <c r="A445" i="2"/>
  <c r="A461" i="2"/>
  <c r="A457" i="2"/>
  <c r="A470" i="2"/>
  <c r="A252" i="2"/>
  <c r="A367" i="2"/>
  <c r="A411" i="2"/>
  <c r="A467" i="2"/>
  <c r="A235" i="2"/>
  <c r="A269" i="2"/>
  <c r="A333" i="2"/>
  <c r="A344" i="2"/>
  <c r="A357" i="2"/>
  <c r="A363" i="2"/>
  <c r="A379" i="2"/>
  <c r="A392" i="2"/>
  <c r="A420" i="2"/>
  <c r="A446" i="2"/>
  <c r="A251" i="2"/>
  <c r="A296" i="2"/>
  <c r="A464" i="2"/>
  <c r="A342" i="2"/>
  <c r="A375" i="2"/>
  <c r="A416" i="2"/>
  <c r="A288" i="2"/>
  <c r="A320" i="2"/>
  <c r="A362" i="2"/>
  <c r="A13" i="2"/>
  <c r="A398" i="2"/>
  <c r="A399" i="2"/>
  <c r="A389" i="2"/>
  <c r="A406" i="2"/>
  <c r="A409" i="2"/>
  <c r="A2" i="2"/>
  <c r="A7" i="2"/>
  <c r="A63" i="2"/>
  <c r="A113" i="2"/>
  <c r="A153" i="2"/>
  <c r="A156" i="2"/>
  <c r="A159" i="2"/>
  <c r="A200" i="2"/>
  <c r="A8" i="2"/>
  <c r="A130" i="2"/>
  <c r="A424" i="2"/>
  <c r="A425" i="2"/>
  <c r="A432" i="2"/>
  <c r="A305" i="2"/>
  <c r="A458" i="2"/>
  <c r="A350" i="2"/>
  <c r="A301" i="2"/>
  <c r="A417" i="2"/>
  <c r="A387" i="2"/>
  <c r="A397" i="2"/>
  <c r="A368" i="2"/>
  <c r="A414" i="2"/>
  <c r="A361" i="2"/>
  <c r="A394" i="2"/>
  <c r="A30" i="2"/>
  <c r="A76" i="2"/>
  <c r="A211" i="2"/>
  <c r="A428" i="2"/>
  <c r="A391" i="2"/>
  <c r="A310" i="2"/>
  <c r="A430" i="2"/>
  <c r="A449" i="2"/>
  <c r="A463" i="2"/>
  <c r="A321" i="2"/>
  <c r="A334" i="2"/>
  <c r="A376" i="2"/>
  <c r="A381" i="2"/>
  <c r="A388" i="2"/>
  <c r="A395" i="2"/>
  <c r="A436" i="2"/>
  <c r="A346" i="2"/>
  <c r="A447" i="2"/>
  <c r="A215" i="2"/>
  <c r="A230" i="2"/>
  <c r="A258" i="2"/>
  <c r="A257" i="2"/>
  <c r="A143" i="2"/>
  <c r="A80" i="2"/>
  <c r="A79" i="2"/>
  <c r="A96" i="2"/>
  <c r="A98" i="2"/>
  <c r="A95" i="2"/>
  <c r="A100" i="2"/>
  <c r="A135" i="2"/>
  <c r="A169" i="2"/>
  <c r="A171" i="2"/>
  <c r="A243" i="2"/>
  <c r="A264" i="2"/>
  <c r="A9" i="2"/>
  <c r="A438" i="2"/>
  <c r="A456" i="2"/>
  <c r="A33" i="2"/>
  <c r="A293" i="2"/>
  <c r="A186" i="2"/>
  <c r="A284" i="2"/>
  <c r="A325" i="2"/>
  <c r="A431" i="2"/>
  <c r="A451" i="2"/>
  <c r="Q6" i="2"/>
  <c r="Q14" i="2"/>
  <c r="Q12" i="2"/>
  <c r="Q21" i="2"/>
  <c r="Q24" i="2"/>
  <c r="Q64" i="2"/>
  <c r="Q56" i="2"/>
  <c r="Q59" i="2"/>
  <c r="Q50" i="2"/>
  <c r="Q65" i="2"/>
  <c r="Q77" i="2"/>
  <c r="Q25" i="2"/>
  <c r="Q17" i="2"/>
  <c r="Q18" i="2"/>
  <c r="Q120" i="2"/>
  <c r="Q122" i="2"/>
  <c r="Q128" i="2"/>
  <c r="Q106" i="2"/>
  <c r="Q123" i="2"/>
  <c r="Q102" i="2"/>
  <c r="Q166" i="2"/>
  <c r="Q163" i="2"/>
  <c r="Q22" i="2"/>
  <c r="Q45" i="2"/>
  <c r="Q46" i="2"/>
  <c r="Q72" i="2"/>
  <c r="Q60" i="2"/>
  <c r="Q57" i="2"/>
  <c r="Q54" i="2"/>
  <c r="Q41" i="2"/>
  <c r="Q47" i="2"/>
  <c r="Q44" i="2"/>
  <c r="Q160" i="2"/>
  <c r="Q147" i="2"/>
  <c r="Q157" i="2"/>
  <c r="Q146" i="2"/>
  <c r="Q214" i="2"/>
  <c r="Q210" i="2"/>
  <c r="Q181" i="2"/>
  <c r="Q209" i="2"/>
  <c r="Q178" i="2"/>
  <c r="Q68" i="2"/>
  <c r="Q189" i="2"/>
  <c r="Q226" i="2"/>
  <c r="Q221" i="2"/>
  <c r="Q249" i="2"/>
  <c r="Q426" i="2"/>
  <c r="Q347" i="2"/>
  <c r="Q421" i="2"/>
  <c r="Q277" i="2"/>
  <c r="Q290" i="2"/>
  <c r="Q259" i="2"/>
  <c r="Q303" i="2"/>
  <c r="Q53" i="2"/>
  <c r="Q78" i="2"/>
  <c r="Q42" i="2"/>
  <c r="Q126" i="2"/>
  <c r="Q101" i="2"/>
  <c r="Q118" i="2"/>
  <c r="Q131" i="2"/>
  <c r="Q124" i="2"/>
  <c r="Q107" i="2"/>
  <c r="Q93" i="2"/>
  <c r="Q94" i="2"/>
  <c r="Q83" i="2"/>
  <c r="Q89" i="2"/>
  <c r="Q90" i="2"/>
  <c r="Q91" i="2"/>
  <c r="Q85" i="2"/>
  <c r="Q92" i="2"/>
  <c r="Q117" i="2"/>
  <c r="Q267" i="2"/>
  <c r="Q348" i="2"/>
  <c r="Q340" i="2"/>
  <c r="Q326" i="2"/>
  <c r="Q263" i="2"/>
  <c r="Q315" i="2"/>
  <c r="Q341" i="2"/>
  <c r="Q471" i="2"/>
  <c r="Q473" i="2"/>
  <c r="Q429" i="2"/>
  <c r="Q337" i="2"/>
  <c r="Q67" i="2"/>
  <c r="Q34" i="2"/>
  <c r="Q377" i="2"/>
  <c r="Q38" i="2"/>
  <c r="Q437" i="2"/>
  <c r="Q450" i="2"/>
  <c r="Q452" i="2"/>
  <c r="Q39" i="2"/>
  <c r="Q462" i="2"/>
  <c r="Q26" i="2"/>
  <c r="Q86" i="2"/>
  <c r="Q110" i="2"/>
  <c r="Q105" i="2"/>
  <c r="Q165" i="2"/>
  <c r="Q158" i="2"/>
  <c r="Q134" i="2"/>
  <c r="Q155" i="2"/>
  <c r="Q167" i="2"/>
  <c r="Q139" i="2"/>
  <c r="Q132" i="2"/>
  <c r="Q162" i="2"/>
  <c r="Q150" i="2"/>
  <c r="Q15" i="2"/>
  <c r="Q468" i="2"/>
  <c r="Q224" i="2"/>
  <c r="Q247" i="2"/>
  <c r="Q51" i="2"/>
  <c r="Q266" i="2"/>
  <c r="Q265" i="2"/>
  <c r="Q268" i="2"/>
  <c r="Q278" i="2"/>
  <c r="Q279" i="2"/>
  <c r="Q283" i="2"/>
  <c r="Q286" i="2"/>
  <c r="Q287" i="2"/>
  <c r="Q111" i="2"/>
  <c r="Q291" i="2"/>
  <c r="Q292" i="2"/>
  <c r="Q297" i="2"/>
  <c r="Q295" i="2"/>
  <c r="Q304" i="2"/>
  <c r="Q308" i="2"/>
  <c r="Q318" i="2"/>
  <c r="Q316" i="2"/>
  <c r="Q317" i="2"/>
  <c r="Q145" i="2"/>
  <c r="Q152" i="2"/>
  <c r="Q170" i="2"/>
  <c r="Q148" i="2"/>
  <c r="Q137" i="2"/>
  <c r="Q173" i="2"/>
  <c r="Q174" i="2"/>
  <c r="Q196" i="2"/>
  <c r="Q204" i="2"/>
  <c r="Q172" i="2"/>
  <c r="Q213" i="2"/>
  <c r="Q194" i="2"/>
  <c r="Q184" i="2"/>
  <c r="Q319" i="2"/>
  <c r="Q322" i="2"/>
  <c r="Q323" i="2"/>
  <c r="Q27" i="2"/>
  <c r="Q329" i="2"/>
  <c r="Q327" i="2"/>
  <c r="Q328" i="2"/>
  <c r="Q335" i="2"/>
  <c r="Q339" i="2"/>
  <c r="Q69" i="2"/>
  <c r="Q31" i="2"/>
  <c r="Q352" i="2"/>
  <c r="Q349" i="2"/>
  <c r="Q365" i="2"/>
  <c r="Q378" i="2"/>
  <c r="Q75" i="2"/>
  <c r="Q383" i="2"/>
  <c r="Q393" i="2"/>
  <c r="Q396" i="2"/>
  <c r="Q402" i="2"/>
  <c r="Q82" i="2"/>
  <c r="Q400" i="2"/>
  <c r="Q404" i="2"/>
  <c r="Q415" i="2"/>
  <c r="Q444" i="2"/>
  <c r="Q448" i="2"/>
  <c r="Q212" i="2"/>
  <c r="Q190" i="2"/>
  <c r="Q177" i="2"/>
  <c r="Q175" i="2"/>
  <c r="Q244" i="2"/>
  <c r="Q240" i="2"/>
  <c r="Q239" i="2"/>
  <c r="Q238" i="2"/>
  <c r="Q237" i="2"/>
  <c r="Q218" i="2"/>
  <c r="Q20" i="2"/>
  <c r="Q58" i="2"/>
  <c r="Q116" i="2"/>
  <c r="Q97" i="2"/>
  <c r="Q136" i="2"/>
  <c r="Q10" i="2"/>
  <c r="Q11" i="2"/>
  <c r="Q176" i="2"/>
  <c r="Q205" i="2"/>
  <c r="Q180" i="2"/>
  <c r="Q19" i="2"/>
  <c r="Q129" i="2"/>
  <c r="Q234" i="2"/>
  <c r="Q233" i="2"/>
  <c r="Q232" i="2"/>
  <c r="Q231" i="2"/>
  <c r="Q227" i="2"/>
  <c r="Q220" i="2"/>
  <c r="Q228" i="2"/>
  <c r="Q236" i="2"/>
  <c r="Q229" i="2"/>
  <c r="Q245" i="2"/>
  <c r="Q16" i="2"/>
  <c r="Q179" i="2"/>
  <c r="Q222" i="2"/>
  <c r="Q280" i="2"/>
  <c r="Q109" i="2"/>
  <c r="Q246" i="2"/>
  <c r="Q253" i="2"/>
  <c r="Q114" i="2"/>
  <c r="Q281" i="2"/>
  <c r="Q254" i="2"/>
  <c r="Q144" i="2"/>
  <c r="Q351" i="2"/>
  <c r="Q188" i="2"/>
  <c r="Q115" i="2"/>
  <c r="Q208" i="2"/>
  <c r="Q201" i="2"/>
  <c r="Q43" i="2"/>
  <c r="Q48" i="2"/>
  <c r="Q241" i="2"/>
  <c r="Q112" i="2"/>
  <c r="Q191" i="2"/>
  <c r="Q311" i="2"/>
  <c r="Q276" i="2"/>
  <c r="Q23" i="2"/>
  <c r="Q104" i="2"/>
  <c r="Q197" i="2"/>
  <c r="Q219" i="2"/>
  <c r="Q223" i="2"/>
  <c r="Q142" i="2"/>
  <c r="Q103" i="2"/>
  <c r="Q419" i="2"/>
  <c r="Q309" i="2"/>
  <c r="Q271" i="2"/>
  <c r="Q330" i="2"/>
  <c r="Q29" i="2"/>
  <c r="Q87" i="2"/>
  <c r="Q88" i="2"/>
  <c r="Q84" i="2"/>
  <c r="Q302" i="2"/>
  <c r="Q435" i="2"/>
  <c r="Q61" i="2"/>
  <c r="Q55" i="2"/>
  <c r="Q71" i="2"/>
  <c r="Q66" i="2"/>
  <c r="Q62" i="2"/>
  <c r="Q73" i="2"/>
  <c r="Q99" i="2"/>
  <c r="Q119" i="2"/>
  <c r="Q108" i="2"/>
  <c r="Q154" i="2"/>
  <c r="Q168" i="2"/>
  <c r="Q161" i="2"/>
  <c r="Q151" i="2"/>
  <c r="Q133" i="2"/>
  <c r="Q138" i="2"/>
  <c r="Q203" i="2"/>
  <c r="Q202" i="2"/>
  <c r="Q193" i="2"/>
  <c r="Q187" i="2"/>
  <c r="Q198" i="2"/>
  <c r="Q242" i="2"/>
  <c r="Q248" i="2"/>
  <c r="Q407" i="2"/>
  <c r="Q440" i="2"/>
  <c r="Q472" i="2"/>
  <c r="Q312" i="2"/>
  <c r="Q360" i="2"/>
  <c r="Q423" i="2"/>
  <c r="Q256" i="2"/>
  <c r="Q125" i="2"/>
  <c r="Q412" i="2"/>
  <c r="Q422" i="2"/>
  <c r="Q441" i="2"/>
  <c r="Q250" i="2"/>
  <c r="Q356" i="2"/>
  <c r="Q442" i="2"/>
  <c r="Q217" i="2"/>
  <c r="Q216" i="2"/>
  <c r="Q443" i="2"/>
  <c r="Q455" i="2"/>
  <c r="Q459" i="2"/>
  <c r="Q460" i="2"/>
  <c r="Q466" i="2"/>
  <c r="Q469" i="2"/>
  <c r="Q418" i="2"/>
  <c r="Q434" i="2"/>
  <c r="Q453" i="2"/>
  <c r="Q121" i="2"/>
  <c r="Q384" i="2"/>
  <c r="Q413" i="2"/>
  <c r="Q74" i="2"/>
  <c r="Q225" i="2"/>
  <c r="Q185" i="2"/>
  <c r="Q380" i="2"/>
  <c r="Q141" i="2"/>
  <c r="Q255" i="2"/>
  <c r="Q183" i="2"/>
  <c r="Q52" i="2"/>
  <c r="Q81" i="2"/>
  <c r="Q272" i="2"/>
  <c r="Q195" i="2"/>
  <c r="Q299" i="2"/>
  <c r="Q300" i="2"/>
  <c r="Q306" i="2"/>
  <c r="Q313" i="2"/>
  <c r="Q314" i="2"/>
  <c r="Q307" i="2"/>
  <c r="Q324" i="2"/>
  <c r="Q331" i="2"/>
  <c r="Q332" i="2"/>
  <c r="Q336" i="2"/>
  <c r="Q345" i="2"/>
  <c r="Q354" i="2"/>
  <c r="Q206" i="2"/>
  <c r="Q358" i="2"/>
  <c r="Q359" i="2"/>
  <c r="Q35" i="2"/>
  <c r="Q32" i="2"/>
  <c r="Q366" i="2"/>
  <c r="Q371" i="2"/>
  <c r="Q465" i="2"/>
  <c r="Q372" i="2"/>
  <c r="Q298" i="2"/>
  <c r="Q370" i="2"/>
  <c r="Q36" i="2"/>
  <c r="Q374" i="2"/>
  <c r="Q37" i="2"/>
  <c r="Q3" i="2"/>
  <c r="Q4" i="2"/>
  <c r="Q70" i="2"/>
  <c r="Q127" i="2"/>
  <c r="Q140" i="2"/>
  <c r="Q164" i="2"/>
  <c r="Q28" i="2"/>
  <c r="Q149" i="2"/>
  <c r="Q199" i="2"/>
  <c r="Q207" i="2"/>
  <c r="Q182" i="2"/>
  <c r="Q261" i="2"/>
  <c r="Q353" i="2"/>
  <c r="Q405" i="2"/>
  <c r="Q260" i="2"/>
  <c r="Q49" i="2"/>
  <c r="Q285" i="2"/>
  <c r="Q262" i="2"/>
  <c r="Q373" i="2"/>
  <c r="Q275" i="2"/>
  <c r="Q454" i="2"/>
  <c r="Q385" i="2"/>
  <c r="Q386" i="2"/>
  <c r="Q382" i="2"/>
  <c r="Q390" i="2"/>
  <c r="Q403" i="2"/>
  <c r="Q401" i="2"/>
  <c r="Q408" i="2"/>
  <c r="Q410" i="2"/>
  <c r="Q40" i="2"/>
  <c r="Q427" i="2"/>
  <c r="Q445" i="2"/>
  <c r="Q461" i="2"/>
  <c r="Q457" i="2"/>
  <c r="Q470" i="2"/>
  <c r="Q252" i="2"/>
  <c r="Q367" i="2"/>
  <c r="Q411" i="2"/>
  <c r="Q467" i="2"/>
  <c r="Q235" i="2"/>
  <c r="Q269" i="2"/>
  <c r="Q333" i="2"/>
  <c r="Q344" i="2"/>
  <c r="Q357" i="2"/>
  <c r="Q363" i="2"/>
  <c r="Q379" i="2"/>
  <c r="Q392" i="2"/>
  <c r="Q420" i="2"/>
  <c r="Q446" i="2"/>
  <c r="Q251" i="2"/>
  <c r="Q296" i="2"/>
  <c r="Q464" i="2"/>
  <c r="Q342" i="2"/>
  <c r="Q375" i="2"/>
  <c r="Q416" i="2"/>
  <c r="Q288" i="2"/>
  <c r="Q320" i="2"/>
  <c r="Q362" i="2"/>
  <c r="Q13" i="2"/>
  <c r="Q398" i="2"/>
  <c r="Q399" i="2"/>
  <c r="Q389" i="2"/>
  <c r="Q406" i="2"/>
  <c r="Q409" i="2"/>
  <c r="Q2" i="2"/>
  <c r="Q7" i="2"/>
  <c r="Q63" i="2"/>
  <c r="Q113" i="2"/>
  <c r="Q153" i="2"/>
  <c r="Q156" i="2"/>
  <c r="Q159" i="2"/>
  <c r="Q200" i="2"/>
  <c r="Q8" i="2"/>
  <c r="Q130" i="2"/>
  <c r="Q305" i="2"/>
  <c r="Q458" i="2"/>
  <c r="Q350" i="2"/>
  <c r="Q301" i="2"/>
  <c r="Q417" i="2"/>
  <c r="Q387" i="2"/>
  <c r="Q397" i="2"/>
  <c r="Q368" i="2"/>
  <c r="Q414" i="2"/>
  <c r="Q361" i="2"/>
  <c r="Q394" i="2"/>
  <c r="Q30" i="2"/>
  <c r="Q76" i="2"/>
  <c r="Q211" i="2"/>
  <c r="Q391" i="2"/>
  <c r="Q310" i="2"/>
  <c r="Q346" i="2"/>
  <c r="Q447" i="2"/>
  <c r="Q230" i="2"/>
  <c r="Q258" i="2"/>
  <c r="Q257" i="2"/>
  <c r="Q80" i="2"/>
  <c r="Q79" i="2"/>
  <c r="Q96" i="2"/>
  <c r="Q98" i="2"/>
  <c r="Q95" i="2"/>
  <c r="Q100" i="2"/>
  <c r="Q135" i="2"/>
  <c r="Q169" i="2"/>
  <c r="Q171" i="2"/>
  <c r="Q243" i="2"/>
  <c r="Q9" i="2"/>
  <c r="Q438" i="2"/>
  <c r="Q456" i="2"/>
  <c r="Q293" i="2"/>
  <c r="Q186" i="2"/>
  <c r="Q284" i="2"/>
  <c r="Q325" i="2"/>
  <c r="Q431" i="2"/>
  <c r="Q451" i="2"/>
  <c r="L6" i="2" a="1"/>
  <c r="L14" i="2" a="1"/>
  <c r="L12" i="2" a="1"/>
  <c r="L21" i="2" a="1"/>
  <c r="L24" i="2" a="1"/>
  <c r="L64" i="2" a="1"/>
  <c r="L56" i="2" a="1"/>
  <c r="L59" i="2" a="1"/>
  <c r="L50" i="2" a="1"/>
  <c r="L65" i="2" a="1"/>
  <c r="L77" i="2" a="1"/>
  <c r="L25" i="2" a="1"/>
  <c r="L17" i="2" a="1"/>
  <c r="L18" i="2" a="1"/>
  <c r="L120" i="2" a="1"/>
  <c r="L122" i="2" a="1"/>
  <c r="L128" i="2" a="1"/>
  <c r="L106" i="2" a="1"/>
  <c r="L123" i="2" a="1"/>
  <c r="L102" i="2" a="1"/>
  <c r="L166" i="2" a="1"/>
  <c r="L163" i="2" a="1"/>
  <c r="L22" i="2" a="1"/>
  <c r="L45" i="2" a="1"/>
  <c r="L46" i="2" a="1"/>
  <c r="L72" i="2" a="1"/>
  <c r="L60" i="2" a="1"/>
  <c r="L57" i="2" a="1"/>
  <c r="L54" i="2" a="1"/>
  <c r="L41" i="2" a="1"/>
  <c r="L47" i="2" a="1"/>
  <c r="L44" i="2" a="1"/>
  <c r="L160" i="2" a="1"/>
  <c r="L147" i="2" a="1"/>
  <c r="L157" i="2" a="1"/>
  <c r="L146" i="2" a="1"/>
  <c r="L214" i="2" a="1"/>
  <c r="L210" i="2" a="1"/>
  <c r="L181" i="2" a="1"/>
  <c r="L209" i="2" a="1"/>
  <c r="L178" i="2" a="1"/>
  <c r="L68" i="2" a="1"/>
  <c r="L189" i="2" a="1"/>
  <c r="L226" i="2" a="1"/>
  <c r="L221" i="2" a="1"/>
  <c r="L249" i="2" a="1"/>
  <c r="L259" i="2" a="1"/>
  <c r="L53" i="2" a="1"/>
  <c r="L78" i="2" a="1"/>
  <c r="L42" i="2" a="1"/>
  <c r="L126" i="2" a="1"/>
  <c r="L101" i="2" a="1"/>
  <c r="L118" i="2" a="1"/>
  <c r="L131" i="2" a="1"/>
  <c r="L124" i="2" a="1"/>
  <c r="L107" i="2" a="1"/>
  <c r="L93" i="2" a="1"/>
  <c r="L94" i="2" a="1"/>
  <c r="L83" i="2" a="1"/>
  <c r="L89" i="2" a="1"/>
  <c r="L90" i="2" a="1"/>
  <c r="L91" i="2" a="1"/>
  <c r="L85" i="2" a="1"/>
  <c r="L92" i="2" a="1"/>
  <c r="L117" i="2" a="1"/>
  <c r="L67" i="2" a="1"/>
  <c r="L34" i="2" a="1"/>
  <c r="L38" i="2" a="1"/>
  <c r="L39" i="2" a="1"/>
  <c r="L26" i="2" a="1"/>
  <c r="L86" i="2" a="1"/>
  <c r="L110" i="2" a="1"/>
  <c r="L105" i="2" a="1"/>
  <c r="L165" i="2" a="1"/>
  <c r="L158" i="2" a="1"/>
  <c r="L134" i="2" a="1"/>
  <c r="L155" i="2" a="1"/>
  <c r="L167" i="2" a="1"/>
  <c r="L139" i="2" a="1"/>
  <c r="L132" i="2" a="1"/>
  <c r="L162" i="2" a="1"/>
  <c r="L150" i="2" a="1"/>
  <c r="L15" i="2" a="1"/>
  <c r="L224" i="2" a="1"/>
  <c r="L247" i="2" a="1"/>
  <c r="L51" i="2" a="1"/>
  <c r="L111" i="2" a="1"/>
  <c r="L145" i="2" a="1"/>
  <c r="L152" i="2" a="1"/>
  <c r="L170" i="2" a="1"/>
  <c r="L148" i="2" a="1"/>
  <c r="L137" i="2" a="1"/>
  <c r="L173" i="2" a="1"/>
  <c r="L174" i="2" a="1"/>
  <c r="L196" i="2" a="1"/>
  <c r="L204" i="2" a="1"/>
  <c r="L172" i="2" a="1"/>
  <c r="L213" i="2" a="1"/>
  <c r="L194" i="2" a="1"/>
  <c r="L184" i="2" a="1"/>
  <c r="L27" i="2" a="1"/>
  <c r="L69" i="2" a="1"/>
  <c r="L31" i="2" a="1"/>
  <c r="L75" i="2" a="1"/>
  <c r="L212" i="2" a="1"/>
  <c r="L190" i="2" a="1"/>
  <c r="L177" i="2" a="1"/>
  <c r="L175" i="2" a="1"/>
  <c r="L244" i="2" a="1"/>
  <c r="L240" i="2" a="1"/>
  <c r="L239" i="2" a="1"/>
  <c r="L238" i="2" a="1"/>
  <c r="L237" i="2" a="1"/>
  <c r="L218" i="2" a="1"/>
  <c r="L20" i="2" a="1"/>
  <c r="L58" i="2" a="1"/>
  <c r="L116" i="2" a="1"/>
  <c r="L97" i="2" a="1"/>
  <c r="L136" i="2" a="1"/>
  <c r="L10" i="2" a="1"/>
  <c r="L11" i="2" a="1"/>
  <c r="L176" i="2" a="1"/>
  <c r="L205" i="2" a="1"/>
  <c r="L180" i="2" a="1"/>
  <c r="L19" i="2" a="1"/>
  <c r="L129" i="2" a="1"/>
  <c r="L234" i="2" a="1"/>
  <c r="L233" i="2" a="1"/>
  <c r="L232" i="2" a="1"/>
  <c r="L231" i="2" a="1"/>
  <c r="L227" i="2" a="1"/>
  <c r="L220" i="2" a="1"/>
  <c r="L228" i="2" a="1"/>
  <c r="L236" i="2" a="1"/>
  <c r="L229" i="2" a="1"/>
  <c r="L245" i="2" a="1"/>
  <c r="L16" i="2" a="1"/>
  <c r="L179" i="2" a="1"/>
  <c r="L222" i="2" a="1"/>
  <c r="L109" i="2" a="1"/>
  <c r="L246" i="2" a="1"/>
  <c r="L253" i="2" a="1"/>
  <c r="L114" i="2" a="1"/>
  <c r="L254" i="2" a="1"/>
  <c r="L144" i="2" a="1"/>
  <c r="L188" i="2" a="1"/>
  <c r="L115" i="2" a="1"/>
  <c r="L208" i="2" a="1"/>
  <c r="L201" i="2" a="1"/>
  <c r="L43" i="2" a="1"/>
  <c r="L48" i="2" a="1"/>
  <c r="L241" i="2" a="1"/>
  <c r="L112" i="2" a="1"/>
  <c r="L191" i="2" a="1"/>
  <c r="L23" i="2" a="1"/>
  <c r="L104" i="2" a="1"/>
  <c r="L197" i="2" a="1"/>
  <c r="L219" i="2" a="1"/>
  <c r="L223" i="2" a="1"/>
  <c r="L142" i="2" a="1"/>
  <c r="L103" i="2" a="1"/>
  <c r="L29" i="2" a="1"/>
  <c r="L87" i="2" a="1"/>
  <c r="L88" i="2" a="1"/>
  <c r="L84" i="2" a="1"/>
  <c r="L61" i="2" a="1"/>
  <c r="L55" i="2" a="1"/>
  <c r="L71" i="2" a="1"/>
  <c r="L66" i="2" a="1"/>
  <c r="L62" i="2" a="1"/>
  <c r="L73" i="2" a="1"/>
  <c r="L99" i="2" a="1"/>
  <c r="L119" i="2" a="1"/>
  <c r="L108" i="2" a="1"/>
  <c r="L154" i="2" a="1"/>
  <c r="L168" i="2" a="1"/>
  <c r="L161" i="2" a="1"/>
  <c r="L151" i="2" a="1"/>
  <c r="L133" i="2" a="1"/>
  <c r="L138" i="2" a="1"/>
  <c r="L203" i="2" a="1"/>
  <c r="L202" i="2" a="1"/>
  <c r="L193" i="2" a="1"/>
  <c r="L187" i="2" a="1"/>
  <c r="L198" i="2" a="1"/>
  <c r="L242" i="2" a="1"/>
  <c r="L248" i="2" a="1"/>
  <c r="L256" i="2" a="1"/>
  <c r="L125" i="2" a="1"/>
  <c r="L250" i="2" a="1"/>
  <c r="L217" i="2" a="1"/>
  <c r="L216" i="2" a="1"/>
  <c r="L121" i="2" a="1"/>
  <c r="L74" i="2" a="1"/>
  <c r="L225" i="2" a="1"/>
  <c r="L185" i="2" a="1"/>
  <c r="L141" i="2" a="1"/>
  <c r="L255" i="2" a="1"/>
  <c r="L183" i="2" a="1"/>
  <c r="L52" i="2" a="1"/>
  <c r="L195" i="2" a="1"/>
  <c r="L206" i="2" a="1"/>
  <c r="L35" i="2" a="1"/>
  <c r="L32" i="2" a="1"/>
  <c r="L36" i="2" a="1"/>
  <c r="L37" i="2" a="1"/>
  <c r="L3" i="2" a="1"/>
  <c r="L4" i="2" a="1"/>
  <c r="L70" i="2" a="1"/>
  <c r="L127" i="2" a="1"/>
  <c r="L140" i="2" a="1"/>
  <c r="L164" i="2" a="1"/>
  <c r="L28" i="2" a="1"/>
  <c r="L149" i="2" a="1"/>
  <c r="L199" i="2" a="1"/>
  <c r="L207" i="2" a="1"/>
  <c r="L182" i="2" a="1"/>
  <c r="L49" i="2" a="1"/>
  <c r="L252" i="2" a="1"/>
  <c r="L235" i="2" a="1"/>
  <c r="L251" i="2" a="1"/>
  <c r="L13" i="2" a="1"/>
  <c r="L2" i="2" a="1"/>
  <c r="L7" i="2" a="1"/>
  <c r="L63" i="2" a="1"/>
  <c r="L113" i="2" a="1"/>
  <c r="L153" i="2" a="1"/>
  <c r="L156" i="2" a="1"/>
  <c r="L159" i="2" a="1"/>
  <c r="L200" i="2" a="1"/>
  <c r="L8" i="2" a="1"/>
  <c r="L130" i="2" a="1"/>
  <c r="L30" i="2" a="1"/>
  <c r="L76" i="2" a="1"/>
  <c r="L211" i="2" a="1"/>
  <c r="L230" i="2" a="1"/>
  <c r="L258" i="2" a="1"/>
  <c r="L257" i="2" a="1"/>
  <c r="L143" i="2" a="1"/>
  <c r="L80" i="2" a="1"/>
  <c r="L79" i="2" a="1"/>
  <c r="L96" i="2" a="1"/>
  <c r="L98" i="2" a="1"/>
  <c r="L95" i="2" a="1"/>
  <c r="L100" i="2" a="1"/>
  <c r="L135" i="2" a="1"/>
  <c r="L169" i="2" a="1"/>
  <c r="L171" i="2" a="1"/>
  <c r="L243" i="2" a="1"/>
  <c r="L9" i="2" a="1"/>
  <c r="L33" i="2" a="1"/>
  <c r="L186" i="2" a="1"/>
  <c r="Q5" i="2"/>
  <c r="L5" i="2" a="1"/>
  <c r="A5" i="2"/>
</calcChain>
</file>

<file path=xl/metadata.xml><?xml version="1.0" encoding="utf-8"?>
<metadata xmlns="http://schemas.openxmlformats.org/spreadsheetml/2006/main"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haredStrings.xml><?xml version="1.0" encoding="utf-8"?>
<sst xmlns="http://schemas.openxmlformats.org/spreadsheetml/2006/main" count="5475" uniqueCount="2372">
  <si>
    <t>https://www.pornhub.com/view_video.php?viewkey=ph5db33702d8ca6</t>
  </si>
  <si>
    <t>https://www.pornhub.com/view_video.php?viewkey=ph5c8abc4759f56</t>
  </si>
  <si>
    <t>https://www.pornhub.com/view_video.php?viewkey=ph594a57c3b95f0</t>
  </si>
  <si>
    <t>https://heavyfetish.com/videos/11455/dungeoncorp-sabrina-banks-introducing-his-demons-3/</t>
  </si>
  <si>
    <t>https://heavyfetish.com/videos/3425/dungeoncorp-helplessness/</t>
  </si>
  <si>
    <t>https://heavyfetish.com/videos/10706/dungeoncorp-l-a-noir-3/</t>
  </si>
  <si>
    <t>https://spankbang.party/4jmnt/video/whore+bdsm</t>
  </si>
  <si>
    <t>https://spankbang.com/73cu4/video/riley+reid+and+melissa+moore+hot+stepsisters</t>
  </si>
  <si>
    <t>https://heavyfetish.com/videos/2325/wired-pussy-annabelle-lee/</t>
  </si>
  <si>
    <t>https://heavyfetish.com/videos/6711/device-bondage-claire-adams-tricia-oaks/</t>
  </si>
  <si>
    <t>https://heavyfetish.com/videos/6660/device-bondage-amber-rayne3/</t>
  </si>
  <si>
    <t>https://heavyfetish.com/videos/6476/infernal-restraints-sister-dee-the-fly/</t>
  </si>
  <si>
    <t>https://heavyfetish.com/videos/6128/hogtied-yhivi/</t>
  </si>
  <si>
    <t>https://bdsmstreak.com/video/48920/hazel-hypnotic-part-4</t>
  </si>
  <si>
    <t>https://bdsmstreak.com/video/23089/ash-and-allie</t>
  </si>
  <si>
    <t>https://bdsmstreak.com/video/24386/cheerleader-and-dominant-brunette</t>
  </si>
  <si>
    <t>https://heavyfetish.com/videos/6104/hogtied-abella-danger-masochistic-pain-slut/</t>
  </si>
  <si>
    <t>https://heavyfetish.com/videos/3264/sex-and-submission-joslyn-james-ki-chodai/</t>
  </si>
  <si>
    <t>https://heavyfetish.com/videos/6060/device-bondage-cherry-torn/</t>
  </si>
  <si>
    <t>https://bdsmstreak.com/video/36646/20010110-tyler-scot-insex</t>
  </si>
  <si>
    <t>https://bdsmstreak.com/video/78890/wenona-jessie-cox-and-isis-love-part-1-of-4-of-the-march-live-show</t>
  </si>
  <si>
    <t>https://heavyfetish.com/videos/6121/hogtied-charlotte-cross-2/</t>
  </si>
  <si>
    <t>https://heavyfetish.com/videos/6039/hogtied-kendra-james/</t>
  </si>
  <si>
    <t>https://anyporn.com/332706/</t>
  </si>
  <si>
    <t>https://hcbdsm.com/video/sensi-pearl-on-wiredpussy-4323.html</t>
  </si>
  <si>
    <t>https://www.pornhub.com/view_video.php?viewkey=ph5c38abe2b6289</t>
  </si>
  <si>
    <t>https://spankbang.com/40xut/video/lesbian+mistress+bondage</t>
  </si>
  <si>
    <t>https://bdsmstreak.com/video/33432/lauren-phillips-and-ashley-lane-used-brutally-in-dungeon</t>
  </si>
  <si>
    <t>https://bdsmstreak.com/video/38493/sensi-pearl-in-devicebondage</t>
  </si>
  <si>
    <t>https://heavyfetish.com/videos/4452/hardtied-cherie-deville-deception/</t>
  </si>
  <si>
    <t>https://bdsmstreak.com/video/40784/wenona-gets-it-hard-once-again</t>
  </si>
  <si>
    <t>https://heavyfetish.com/videos/5214/insex-ridin-live-feed-from-july-wenona-az/</t>
  </si>
  <si>
    <t>https://heavyfetish.com/videos/4329/hardtied-wenona-glass-injection/</t>
  </si>
  <si>
    <t>https://heavyfetish.com/videos/5377/insex-burning-bush-313/</t>
  </si>
  <si>
    <t>https://bdsmstreak.com/video/86665/infernal-restraints-keira-croft-spa-day</t>
  </si>
  <si>
    <t>https://bdsmstreak.com/video/72017/welcome-mz-berlin-to-divine-bitches</t>
  </si>
  <si>
    <t>https://bdsmstreak.com/video/71809/two-beautiful-cock-sluts-entertain-the-sunday-brunch-crowd</t>
  </si>
  <si>
    <t>https://bdsmstreak.com/video/61034/piper-perri-gets-it-rough</t>
  </si>
  <si>
    <t>http://punishworld.com/63164-mediaval-chambers/</t>
  </si>
  <si>
    <t>https://heavyfetish.com/videos/24728/thetrainingofo-daisy-ducati-2/</t>
  </si>
  <si>
    <t>https://heavyfetish.com/videos/13011/queensnake-trampling-holly-qs-holly/</t>
  </si>
  <si>
    <t>https://tube.perverzija.com/studio/kink/</t>
  </si>
  <si>
    <t>https://bdsmstreak.com/video/74080/oops-she-did-it-again-prostate-milking</t>
  </si>
  <si>
    <t>main_link</t>
  </si>
  <si>
    <t>website</t>
  </si>
  <si>
    <t>duration</t>
  </si>
  <si>
    <t>studio</t>
  </si>
  <si>
    <t>language</t>
  </si>
  <si>
    <t>core_cat</t>
  </si>
  <si>
    <t>english</t>
  </si>
  <si>
    <t>general_tags</t>
  </si>
  <si>
    <t>rate</t>
  </si>
  <si>
    <t>bdsm-soft-maledom</t>
  </si>
  <si>
    <t>bdsm-hard-maledom</t>
  </si>
  <si>
    <t>bdsm-hard-lesdom</t>
  </si>
  <si>
    <t>doggy</t>
  </si>
  <si>
    <t>insex</t>
  </si>
  <si>
    <t>nose insertion at 17m,stand over electric rod at 28m</t>
  </si>
  <si>
    <t>blindfold at 12m,inverted nipple clamps at 39m</t>
  </si>
  <si>
    <t>piper perri</t>
  </si>
  <si>
    <t>hazel hypnotic</t>
  </si>
  <si>
    <t>lay down</t>
  </si>
  <si>
    <t>mz berlin</t>
  </si>
  <si>
    <t>bdsm-hard-femdom</t>
  </si>
  <si>
    <t>heavy ball drag at 40m,electric glass butt plug at 51m</t>
  </si>
  <si>
    <t>https://www.pornhits.com/video/26315/brat-princess-cuckoldress-with-chastity-lynn/</t>
  </si>
  <si>
    <t>chastity lynn</t>
  </si>
  <si>
    <t>wenona</t>
  </si>
  <si>
    <t>lay below suspended split at 23m,mouth held in pussy at 28m,after suction the nipple clamps are again applied with a string to stretch them at 42m</t>
  </si>
  <si>
    <t>nikki darling</t>
  </si>
  <si>
    <t>https://heavyfetish.com/videos/4201/queensnake-scorched-jessica/</t>
  </si>
  <si>
    <t>https://heavyfetish.com/videos/2807/infernal-restraints-curious-elise-bonus/</t>
  </si>
  <si>
    <t>https://heavyfetish.com/videos/12957/queensnake-long-march-jessica-jessica-tanita/</t>
  </si>
  <si>
    <t>queensnake</t>
  </si>
  <si>
    <t>spread eagle</t>
  </si>
  <si>
    <t>cigg burns on pantyhose to burn it off</t>
  </si>
  <si>
    <t>spanish</t>
  </si>
  <si>
    <t>elise graves</t>
  </si>
  <si>
    <t>inflatable gag in pussy at 8m,manual vertical fucking machine at 24m,vertical showing pussy at 27m</t>
  </si>
  <si>
    <t>parking lot at 11m,picked up cunnilingus at 12m</t>
  </si>
  <si>
    <t>little amount of lube,cheering of the crowd,objectified</t>
  </si>
  <si>
    <t>bar club sex,blowjobs,rope harness</t>
  </si>
  <si>
    <t>candle crotch walk at 12m,hot sauce chain walk at 16m</t>
  </si>
  <si>
    <t>panty inside asshole at 9m,dildo on face for facing sitting at 43m</t>
  </si>
  <si>
    <t>https://heavyfetish.com/videos/15887/theenglishmansion-leather-mistress-milking/</t>
  </si>
  <si>
    <t>the english mansion</t>
  </si>
  <si>
    <t>https://bdsmstreak.com/video/93787/petite-slut-serena-blair-punished-and-made-to-cum-in-metal-bondage</t>
  </si>
  <si>
    <t>https://heavyfetish.com/videos/1882/toilet-brush-cunt-scrubbing-with-queensnake-s-sexual-history-maybe-not-such-a-bad-idea/</t>
  </si>
  <si>
    <t>https://heavyfetish.com/videos/10191/device-bondage-isis-love-sensi-pearl/</t>
  </si>
  <si>
    <t>https://heavyfetish.com/videos/10195/device-bondage-isis-love-sensi-pearl-1/</t>
  </si>
  <si>
    <t>https://m.hqporner.com/hdporn/109717-no_mercy_under_heavy_submission.html</t>
  </si>
  <si>
    <t>https://m.hqporner.com/hdporn/110221-a_ruthless_work_environment.html</t>
  </si>
  <si>
    <t>https://m.hqporner.com/hdporn/111874-pain_does_get_her_going_further.html</t>
  </si>
  <si>
    <t>https://m.hqporner.com/hdporn/112039-behave_or_the_fist_goes_elbow_deep.html</t>
  </si>
  <si>
    <t>https://m.hqporner.com/hdporn/81716-squirt_alert_device_bondage.html</t>
  </si>
  <si>
    <t>https://spankbang.com/s/seviliyager/</t>
  </si>
  <si>
    <t>seviliyager</t>
  </si>
  <si>
    <t>solo-masturbation</t>
  </si>
  <si>
    <t>oiled up petite woman,solo on cam,hookah,ice on body,page link has several videos</t>
  </si>
  <si>
    <t>https://www.peekvids.com/v/fucking-wet-beer-festival-with-selvaggia-balls-petite-body-deep-anal-dap-gapes-pee-drink-swallow-gio953/jg8TS9EN00M</t>
  </si>
  <si>
    <t>https://txxx.com/videos/7804264/alex-and-jay-bondage-with-bonnie/</t>
  </si>
  <si>
    <t>https://bdsmstreak.com/video/53949/sasha-sparks-and-lacie-hart?jwsource=cl</t>
  </si>
  <si>
    <t>https://bdsmstreak.com/video/74984/melody-marks</t>
  </si>
  <si>
    <t>https://spankbang.com/9j37f/video/melody+marks+to+watch+a+predator</t>
  </si>
  <si>
    <t>https://heavyfetish.com/videos/9483/device-bondage-lily-2/</t>
  </si>
  <si>
    <t>https://curebdsm.com/stars/Lily%20LaBeau</t>
  </si>
  <si>
    <t>https://curebdsm.com/search?q=katie+kush</t>
  </si>
  <si>
    <t>https://heavyfetish.com/videos/11290/dungeoncorp-katie-kush-bondage-freak-1/</t>
  </si>
  <si>
    <t>https://www.tnaflix.com/anal-porn/Riley-Reid-Paige-Owens-Anal-Threesome/video6077551</t>
  </si>
  <si>
    <t>https://pornxp.com/tags/InnocentHigh</t>
  </si>
  <si>
    <t>https://spankbang.com/5p9k8/video/rope+walk</t>
  </si>
  <si>
    <t>https://heavyfetish.com/videos/59166/zipped/</t>
  </si>
  <si>
    <t>dildo in mouth locked at 25</t>
  </si>
  <si>
    <t>donna dolore</t>
  </si>
  <si>
    <t>emily willis</t>
  </si>
  <si>
    <t>bangbros</t>
  </si>
  <si>
    <t>sabrina banks</t>
  </si>
  <si>
    <t>katie kush</t>
  </si>
  <si>
    <t>dungeon corp</t>
  </si>
  <si>
    <t>deepthroat while nipple sucking at 3m</t>
  </si>
  <si>
    <t>similar to the melody marks dungeon corp bdsm</t>
  </si>
  <si>
    <t>la noir</t>
  </si>
  <si>
    <t>floggin at 4m,biting back at 5m,anal hook at 17m</t>
  </si>
  <si>
    <t>nipples zipped at 1m,pussy zipped at 9m</t>
  </si>
  <si>
    <t>team skeet</t>
  </si>
  <si>
    <t>one leg up fucking at 18m,side fuck at 19m,inverted at 21m</t>
  </si>
  <si>
    <t>normal-rough-cis</t>
  </si>
  <si>
    <t>normal-sensual-cis</t>
  </si>
  <si>
    <t>normal-sensual-lesbian</t>
  </si>
  <si>
    <t>melody marks</t>
  </si>
  <si>
    <t>elle d</t>
  </si>
  <si>
    <t>lily labeau</t>
  </si>
  <si>
    <t>metal bondage of holding up the ass over the head in a flat position</t>
  </si>
  <si>
    <t>brazzers</t>
  </si>
  <si>
    <t>presley dawson</t>
  </si>
  <si>
    <t>elena koshka</t>
  </si>
  <si>
    <t>inverted at 24m,pretzel at 32m</t>
  </si>
  <si>
    <t>dakota marr</t>
  </si>
  <si>
    <t>inverted head lock at 2m,bead stick in ass at 7m,extreme pretzel at 9m,weird yoga pose at 21m</t>
  </si>
  <si>
    <t>tushy</t>
  </si>
  <si>
    <t>paige full nelson at 12m,riley full nelson at 21m,riley pretzel at 24m</t>
  </si>
  <si>
    <t>serena blair</t>
  </si>
  <si>
    <t>feet torture at 30m</t>
  </si>
  <si>
    <t>also hits cowgirl and reverse cowgirl but not for long time</t>
  </si>
  <si>
    <t>nipple pinching at 4m,crotch rope held by weights at 9m,contraption to control weight of rope at 19m</t>
  </si>
  <si>
    <t>cherie deville</t>
  </si>
  <si>
    <t>tits tied hard at 15m,made to suck dildo and locked at 30m,anal hook at 35m</t>
  </si>
  <si>
    <t>nubile films</t>
  </si>
  <si>
    <t>syren de mer</t>
  </si>
  <si>
    <t>sensi pearl</t>
  </si>
  <si>
    <t>tyler scott</t>
  </si>
  <si>
    <t>madeline marlowe</t>
  </si>
  <si>
    <t>calico lane</t>
  </si>
  <si>
    <t>sister dee</t>
  </si>
  <si>
    <t>teen fidelity</t>
  </si>
  <si>
    <t>typical scene double team,hardcore movements</t>
  </si>
  <si>
    <t>bdsm-soft-lesdom</t>
  </si>
  <si>
    <t>strapon blowjob at 12m</t>
  </si>
  <si>
    <t>kendra james</t>
  </si>
  <si>
    <t>rope is tightly held around the crotch at 10m</t>
  </si>
  <si>
    <t>joslyn james</t>
  </si>
  <si>
    <t>pussy lips held open at 16m,electro dildo in pussy at 17m</t>
  </si>
  <si>
    <t>pussy hair pulled by a weighted rope at 12m,feeding pussy hair at 24m,panty gag at 44m,inflating dildo inside pussy at 33m</t>
  </si>
  <si>
    <t>cherry torn</t>
  </si>
  <si>
    <t>69 at 5m,feet licking at 16m</t>
  </si>
  <si>
    <t>fingers in ass at 10m,glass dildo at 31m</t>
  </si>
  <si>
    <t>toilet brush on chain at 5m</t>
  </si>
  <si>
    <t>sia lust</t>
  </si>
  <si>
    <t>shocking feet at 13m,lesdom strapon at 35m</t>
  </si>
  <si>
    <t>abella danger</t>
  </si>
  <si>
    <t>tied to a chair at 5m</t>
  </si>
  <si>
    <t>amy brooke</t>
  </si>
  <si>
    <t>same series as melody marks in dungeon corps</t>
  </si>
  <si>
    <t>https://pervtube.net/divinebitches-ashley-fires-educating-a-bitchboy-episode-2/</t>
  </si>
  <si>
    <t>ashley fires</t>
  </si>
  <si>
    <t>yhivi</t>
  </si>
  <si>
    <t>suspended fetal upside down,abusive orgasms</t>
  </si>
  <si>
    <t>slave and mistress,electro anal plug,remote controll vibrator</t>
  </si>
  <si>
    <t>amber rayne</t>
  </si>
  <si>
    <t>crotch walk with knots</t>
  </si>
  <si>
    <t>aiden ashley</t>
  </si>
  <si>
    <t>wax at 34m,pretzel is half way</t>
  </si>
  <si>
    <t>annabelle lee</t>
  </si>
  <si>
    <t>daisy ducati</t>
  </si>
  <si>
    <t>nipple clamps at 4m</t>
  </si>
  <si>
    <t>butt plug at 12m,pretzel at 22m,fishnets at 39m</t>
  </si>
  <si>
    <t>jade indica</t>
  </si>
  <si>
    <t>lilith luxe</t>
  </si>
  <si>
    <t>beretta james</t>
  </si>
  <si>
    <t>piss drinking at 15m,inverted sofa at 54m</t>
  </si>
  <si>
    <t>selvaggia balls</t>
  </si>
  <si>
    <t>several innocent high videos of length from 20 to 50 mins</t>
  </si>
  <si>
    <t>several full length kink.com videos with good quality and loading,mix of lesdom and maledom</t>
  </si>
  <si>
    <t>lily's full length bdsm videos but smaller collection and not very exciting</t>
  </si>
  <si>
    <t>lot of long length videos across several categories</t>
  </si>
  <si>
    <t>charlotte cross</t>
  </si>
  <si>
    <t>flag</t>
  </si>
  <si>
    <t>ava addams</t>
  </si>
  <si>
    <t>keira croft</t>
  </si>
  <si>
    <t>https://heavyfetish.com/videos/101159/kink-avery-black-sex-and-submission/</t>
  </si>
  <si>
    <t>avera black</t>
  </si>
  <si>
    <t>natasha lyn</t>
  </si>
  <si>
    <t>https://punishworld.com/76277-whipping-6728465-3276-44362/</t>
  </si>
  <si>
    <t>leslie taylor</t>
  </si>
  <si>
    <t>cut panties at 12m,candle in pussy at 24m,pussy suction at 28m,spike wheel at 51m</t>
  </si>
  <si>
    <t>chinese</t>
  </si>
  <si>
    <t>japanese</t>
  </si>
  <si>
    <t>https://www.txxx.porn/sites/divine-bitches/</t>
  </si>
  <si>
    <t>decent sized collection of full length femdom videos from divine bitches</t>
  </si>
  <si>
    <t>https://www.txxx.porn/sites/men-in-pain/</t>
  </si>
  <si>
    <t>decent sized collection of full length femdom videos from men in pain</t>
  </si>
  <si>
    <t>https://www.txxx.porn/sites/kink/</t>
  </si>
  <si>
    <t>https://www.txxx.porn/sites/kink-classics/</t>
  </si>
  <si>
    <t>decent sized collection of full length femdom videos from kink</t>
  </si>
  <si>
    <t>decent sized collection of full length femdom videos from kink classic</t>
  </si>
  <si>
    <t>https://www.tubegalore.com/c/japanese-femdom</t>
  </si>
  <si>
    <t>jap femdom</t>
  </si>
  <si>
    <t>https://www.eporner.com/video-YbhCJeVFRxq/mxpa-012-japanese-strapon-femdom/</t>
  </si>
  <si>
    <t>https://xhamster44.desi/moments/japanese-mistress-whipping-training-slave-xhZCsMd</t>
  </si>
  <si>
    <t>https://abjav.com/video/114433/japanese-femdom-pt3/?campaign_id=251311668</t>
  </si>
  <si>
    <t>https://beeg.com/</t>
  </si>
  <si>
    <t>https://www.fuq.com/</t>
  </si>
  <si>
    <t>https://beeg.com/FemdomEmpire</t>
  </si>
  <si>
    <t>https://www.fuq.com/category/femdom</t>
  </si>
  <si>
    <t>https://www.fuq.com/category/femdom-handjob</t>
  </si>
  <si>
    <t>https://www.fuq.com/category/femdom-humiliation</t>
  </si>
  <si>
    <t>https://www.fuq.com/category/chastity</t>
  </si>
  <si>
    <t>ass fingering at 5m</t>
  </si>
  <si>
    <t>https://heavyfetish.com/videos/102397/divine-bitches-training-of-a-bitchboy/</t>
  </si>
  <si>
    <t>https://heavyfetish.com/videos/102023/the-english-mansion-owned-by-kiana/</t>
  </si>
  <si>
    <t>lorelei lee</t>
  </si>
  <si>
    <t>boob smunknowning at 8m</t>
  </si>
  <si>
    <t>liplocked and tied together and forced to free each unknown</t>
  </si>
  <si>
    <t>https://spankbang.com/6n318/video/riley+reid+and+carter+cruise+eating+ass+of+eachunknown+and+friends</t>
  </si>
  <si>
    <t>https://heavyfetish.com/videos/1862/lesbian-teens-licking-each-unknowns-pussies/</t>
  </si>
  <si>
    <t>all</t>
  </si>
  <si>
    <t>medium length basic femdom videos</t>
  </si>
  <si>
    <t>femdom empire 8 videos</t>
  </si>
  <si>
    <t>high quality and long length femdom videos across many types</t>
  </si>
  <si>
    <t>amature and professional chastity along with high focus on torture and denial</t>
  </si>
  <si>
    <t>https://www.eporner.com/video-J7qRDyI3Im5/permanent-chastity/?trx=1227735290aee694b81473a256bea12420712</t>
  </si>
  <si>
    <t>adria rae</t>
  </si>
  <si>
    <t>penny barber</t>
  </si>
  <si>
    <t>collection of tame but high quality videos</t>
  </si>
  <si>
    <t>general videos with decent length and good production quality</t>
  </si>
  <si>
    <t>short vid of 2 guys and 1 girl getting flogged</t>
  </si>
  <si>
    <t>none</t>
  </si>
  <si>
    <t>permanent chastity fitting with PA piercing</t>
  </si>
  <si>
    <t>normal-sensual-lesdom</t>
  </si>
  <si>
    <t>boot licking at 1m,spank at 9m,cigg smoke at 12m,flogg at 14m,leaves at 18m</t>
  </si>
  <si>
    <t>https://www.pornhits.com/videos.php?p=1&amp;s=l&amp;spon=divine-bitches-kink</t>
  </si>
  <si>
    <t>full length divine bitches library</t>
  </si>
  <si>
    <t>https://www.porntry.com/sites/men-in-pain/most-popular/</t>
  </si>
  <si>
    <t>go to most viewed</t>
  </si>
  <si>
    <t>https://www.porntry.com/videos/22501001/47e1b5131fea40a07c8dbe676b82203b/</t>
  </si>
  <si>
    <t>https://www.porntry.com/videos/22502128/48becf08ce1d8544f1ecd11b29940273/</t>
  </si>
  <si>
    <t>daphne rosen</t>
  </si>
  <si>
    <t>bobbi starr</t>
  </si>
  <si>
    <t>arabelle raphael</t>
  </si>
  <si>
    <t>https://xhamster44.desi/videos/no-safe-word-xh5QQce?pw=</t>
  </si>
  <si>
    <t>https://www.tubebdsm.com/category/bdsm-extreme</t>
  </si>
  <si>
    <t>https://xhamster44.desi/videos/clean-and-clear-xhUNQAP?pw=</t>
  </si>
  <si>
    <t>https://www.tubebdsm.com/category/pretty</t>
  </si>
  <si>
    <t>https://www.tubebdsm.com/category/bdsm</t>
  </si>
  <si>
    <t>https://www.tubebdsm.com/category/strap-on-femdom</t>
  </si>
  <si>
    <t>https://www.tubebdsm.com/category/femdom</t>
  </si>
  <si>
    <t>https://xhamster44.desi/videos/chastity-gloves-and-condoms-how-many-until-he-doesnt-feel-anything-xhTMLsQ?pw=</t>
  </si>
  <si>
    <t>malice jade</t>
  </si>
  <si>
    <t>https://www.fapcat.com/videos/2647059/mistress-makes-slave-be-in-chastity-him-too/?utm_source=pbweb&amp;utm_campaign=pbweb</t>
  </si>
  <si>
    <t>https://abxxx.com/video/376062/sex-amp-submission-audrey-rose/?campaign_id=520379779</t>
  </si>
  <si>
    <t>audrey rose</t>
  </si>
  <si>
    <t>stars</t>
  </si>
  <si>
    <t>categories</t>
  </si>
  <si>
    <t>positions</t>
  </si>
  <si>
    <t>piper perri,phoenix marie</t>
  </si>
  <si>
    <t>gia dimarco,ariel x</t>
  </si>
  <si>
    <t>wenona,jessie cox,isis love</t>
  </si>
  <si>
    <t>sasha sparks,lacie hart</t>
  </si>
  <si>
    <t>riley reid,melissa moore</t>
  </si>
  <si>
    <t>riley reid,ryan reid</t>
  </si>
  <si>
    <t>lauren phillps,ashley lane</t>
  </si>
  <si>
    <t>casey calvert,katja kassin</t>
  </si>
  <si>
    <t xml:space="preserve">kara price,nikki daniels </t>
  </si>
  <si>
    <t xml:space="preserve">chanel preston,cherie deville </t>
  </si>
  <si>
    <t>claire adams,tricia oaks</t>
  </si>
  <si>
    <t>sensi pearl,isis love</t>
  </si>
  <si>
    <t>cassandra cruz,samantha sin</t>
  </si>
  <si>
    <t>belle noir,bonnie day</t>
  </si>
  <si>
    <t>riley reid,carter cruise</t>
  </si>
  <si>
    <t>queensnake,holly</t>
  </si>
  <si>
    <t>riley reid,jill kassidy</t>
  </si>
  <si>
    <t>jessica,tanita</t>
  </si>
  <si>
    <t>casey calvert,tommy king</t>
  </si>
  <si>
    <t>stevie moon,lily thot</t>
  </si>
  <si>
    <t>queensnake,tanita</t>
  </si>
  <si>
    <t>michelle,drea</t>
  </si>
  <si>
    <t>bobbi starr,isis love</t>
  </si>
  <si>
    <t>piss,gas mask,asphyxiation,nipple suction,nipple suction,oiled</t>
  </si>
  <si>
    <t>oiled,vibrator,fucking machine,orgasm,ice,fingering</t>
  </si>
  <si>
    <t>cute,piv,anal,bukkake,blowjob</t>
  </si>
  <si>
    <t>chastity,permanent chastity,torture,denial,cumshot,feet</t>
  </si>
  <si>
    <t>blowjob,anal,creampie,fingering</t>
  </si>
  <si>
    <t>oiled,footjob,piv,facial</t>
  </si>
  <si>
    <t>oiled,fucking machine,left alone</t>
  </si>
  <si>
    <t>chastity,pa piercing</t>
  </si>
  <si>
    <t>suspended,missionary,69</t>
  </si>
  <si>
    <t>suspended,pretzel,missionary</t>
  </si>
  <si>
    <t>suspended,doggy,lay down</t>
  </si>
  <si>
    <t>missionary,doggy</t>
  </si>
  <si>
    <t>suspended,lay down</t>
  </si>
  <si>
    <t>full nelson,pretzel,69</t>
  </si>
  <si>
    <t>missionary,doggy,reverse cowgirl</t>
  </si>
  <si>
    <t>spread eagle,pretzel,doggy</t>
  </si>
  <si>
    <t>69,spread eagle,lay down</t>
  </si>
  <si>
    <t>pretzel,missionary,suspended</t>
  </si>
  <si>
    <t>lay down,doggy</t>
  </si>
  <si>
    <t>hogtied,stand over rod</t>
  </si>
  <si>
    <t>lay down,wooden horse,hogtied</t>
  </si>
  <si>
    <t>doggy,missionary,cowgirl</t>
  </si>
  <si>
    <t>spread eagle,missionary</t>
  </si>
  <si>
    <t>69,doggy,lay down</t>
  </si>
  <si>
    <t>lay down,missionary,cowgirl</t>
  </si>
  <si>
    <t>stand,lay down</t>
  </si>
  <si>
    <t>general type of common bdsm videos with woman on woman as well</t>
  </si>
  <si>
    <t>decent low and mid quality femdom porn no studios</t>
  </si>
  <si>
    <t>general femdom kinky videos,some large studios but overall mid to high quality</t>
  </si>
  <si>
    <t>doggy,side fuck,full nelson</t>
  </si>
  <si>
    <t>malice jade from reddit,uncage at 2m</t>
  </si>
  <si>
    <t>chastity,gloves,condoms,edging</t>
  </si>
  <si>
    <t>octavia red</t>
  </si>
  <si>
    <t>https://www.pornhits.com/videos.php?p=1&amp;q=Divine%20Bitches%20Chastity%20Videos</t>
  </si>
  <si>
    <t>leigh raven</t>
  </si>
  <si>
    <t>haley wilde,isis love</t>
  </si>
  <si>
    <t>aiden star</t>
  </si>
  <si>
    <t>amber snow</t>
  </si>
  <si>
    <t>chanel preston</t>
  </si>
  <si>
    <t>https://netfapx.net/</t>
  </si>
  <si>
    <t>https://pornzog.com</t>
  </si>
  <si>
    <t>https://www.pornhits.com/videos.php?p=1&amp;q=Divine%20Bitches%20Couple%20Dominated</t>
  </si>
  <si>
    <t>doggy,lay down,suspended</t>
  </si>
  <si>
    <t>good quality divine bitches femdom porn</t>
  </si>
  <si>
    <t>good quality divine bitches femdom porn with chastity</t>
  </si>
  <si>
    <t>squat,doggy</t>
  </si>
  <si>
    <t>doggy,lay down</t>
  </si>
  <si>
    <t>dildo stick in mouth at 53,pussy slap at 59m</t>
  </si>
  <si>
    <t>oiled,blowjob,piv,anal,choking,slap</t>
  </si>
  <si>
    <t>https://bdsmmansion.com/video/11127/08-04-04-5181-daisy-marie-aiden-starr-daisy-s-promotion/</t>
  </si>
  <si>
    <t>river lynn</t>
  </si>
  <si>
    <t>dani daniels</t>
  </si>
  <si>
    <t>aiden star,daisy marie</t>
  </si>
  <si>
    <t>alex,bonnie day</t>
  </si>
  <si>
    <t>humiliation,chastity,feet on head,outdoor,ball kick,feminization</t>
  </si>
  <si>
    <t>balls behind ass,handjob,human dildo,suffocation,oiled,peg</t>
  </si>
  <si>
    <t>butt plug,rimjob,peg,anal fingering,viper,handjob</t>
  </si>
  <si>
    <t>chastity,feet,peg,humbler,slave,pet play</t>
  </si>
  <si>
    <t>chastity,peg,blowjob,pov,anal fingering,viper</t>
  </si>
  <si>
    <t>anal hook at 7m,spaking at 8m,balls rubberband at 15m,syringe at 20m,peg at 22m,cunnilingus at 31m</t>
  </si>
  <si>
    <t>good quality femdom peg along with interesting positions</t>
  </si>
  <si>
    <t>spank,peg,nipple clamps,vibrator</t>
  </si>
  <si>
    <t>spank,wedgie,enema,oiled,vibrator,strapon</t>
  </si>
  <si>
    <t>balls tied up to ceiling at 9m,electric zapper at 10m,dick bite at 14m,anal hook at 18m,spank at 18m,dildo bj at 26,oegging at 28m,69 at 35m</t>
  </si>
  <si>
    <t>chastity at 10m,spank at 24m,peg at 28m,feet at 39m</t>
  </si>
  <si>
    <t>kicking at 5m,spank at 10m,cloth cutting at 16m,nipple clamps at 16m,cream on pussy at 30m</t>
  </si>
  <si>
    <t>spank at 1m,wedgie at 2m,hair tied to wedgie,enema at 3m,inverted pussy over face at 5m,missionary at 9m</t>
  </si>
  <si>
    <t>spank at 3m,full nelson at end</t>
  </si>
  <si>
    <t>tits bound at 8m,ball gag at 9m,pussy spank at 12m,blindfold at 39m,electric shocks at 40m</t>
  </si>
  <si>
    <t>abduction,blowjob,flog,spank,inverted face fuck,piv</t>
  </si>
  <si>
    <t>body clothespin,flog,cbt,feet,peg,wax</t>
  </si>
  <si>
    <t>chastity,body clothespin,spank,flog,peg,feet</t>
  </si>
  <si>
    <t>dildo stick,nipple clamps,pussy slap,flog</t>
  </si>
  <si>
    <t>flog,nipple clamps,blindfold,dildo stick,anal,wax</t>
  </si>
  <si>
    <t>flog,nipple clamps,electric,paddle</t>
  </si>
  <si>
    <t>flog,rubber band feet,piv,vibrator</t>
  </si>
  <si>
    <t>humbler,cigg,flog,peg,electric glass butt plug</t>
  </si>
  <si>
    <t>leash,spank,cigg,flog,cfnm,outdoor</t>
  </si>
  <si>
    <t>nipple clamps,tit slap,blowjob,flog,piv,anal</t>
  </si>
  <si>
    <t>oiled,flog,body clothespin,wheel,nipple clamps,vibrator</t>
  </si>
  <si>
    <t>suspended,flog,nipple clamps,spank,lesdom</t>
  </si>
  <si>
    <t>suspended,flog,peg,gangbang,slave,feet</t>
  </si>
  <si>
    <t>tit slap,vibrator,flog,nipple clamps,fucking machine,dildo stick vibrator</t>
  </si>
  <si>
    <t>wax at 12m,doggy flog at 24m,peg at 31m,piv at 41m</t>
  </si>
  <si>
    <t>ball gag at 2m,spank at 3m,tit slap at 8m,blindfolded at 10m,flog at 10m,armpit at 14m,bj at 17m,anal hook at 22m</t>
  </si>
  <si>
    <t>arms up against wall flog at 11m</t>
  </si>
  <si>
    <t>blackmail at 10m,flog at 11m,doggy at 25m,paddling at 27m</t>
  </si>
  <si>
    <t>pussy slap at 0m,flog femdom at 25m,wax at 42m,flame on ass at 43m,bent at 52m,wooden horse at 88m</t>
  </si>
  <si>
    <t>flog at 9m,heels on dick at 13m,paddle spank at 22m,cunilingus at 30m,69 at 40m,leash doggy at 45m</t>
  </si>
  <si>
    <t>tit flog at 9m,nipple clamps at 10m,water boarding at 25m</t>
  </si>
  <si>
    <t>tongue tie at 6mm,piss on face at 8m,pussy inhaling at 11m,self inhaling at 13m,piss inhaling at 16m,pussy flog at 19m</t>
  </si>
  <si>
    <t>spank at 5m,steel plug anal at 10m,flog at 22m</t>
  </si>
  <si>
    <t>cloth cutting at 8m,tit slap at 8m,nipples clamps at 12m,wax on back at 29m,fingering at 41m,missionary with flog at 42m</t>
  </si>
  <si>
    <t>chastity,cbt,peg,flog,cane,vibrator</t>
  </si>
  <si>
    <t>flog,peg,cane,cbt,body clothespin,nipple clamps</t>
  </si>
  <si>
    <t>peg,cbt,gangbang,vibrator,flog,cane</t>
  </si>
  <si>
    <t>pussy clamps at 8m,cloth cutting at 8m,stomach hitting and pressing at 11m,ass up cane at 24m,inverted flog at 36m</t>
  </si>
  <si>
    <t>spreader bar on hands,hand spank at 6m,pussy clamps at 10m,tit slap and cane at 18m,body clamps at 20m,anal hook in pussy at 33m</t>
  </si>
  <si>
    <t>chastity,spank,cane,flog,peg,anal fist,blowjob,cow girl</t>
  </si>
  <si>
    <t>spank at 17m,peg at 25m,fist at 30m,award in ass at 34m,blowjob at 40m,cow girl at 44m,good chemistry between the dom and sub</t>
  </si>
  <si>
    <t>pussy fist at 18m</t>
  </si>
  <si>
    <t>leather,mummy,cock ring,oiled,handjob,cum eat</t>
  </si>
  <si>
    <t>ass eat at 15m,flog at 23m,peg at 25m,spitroast</t>
  </si>
  <si>
    <t>ass eat at 14m,foot licking at 35m</t>
  </si>
  <si>
    <t>inverted pussy eat at 22m</t>
  </si>
  <si>
    <t>cbt at 12m,spank at 16m,peg at 22m,pussy eat at 33m</t>
  </si>
  <si>
    <t>fight,abduction,flog at 13m,pussy flog at 17m,tit pull at 19m,oiled at 20m,foot eat at 29m,lesbian peg at end</t>
  </si>
  <si>
    <t>panty inside mouth at 13m,grind on cage with pussyat 23m</t>
  </si>
  <si>
    <t>crotch chain walk,nipple clamps,enema,blindfold,anal hook,spike wheel</t>
  </si>
  <si>
    <t>spank,spit,chastity,cuck,peg</t>
  </si>
  <si>
    <t>sensual strip to hardcore bdsm,tied together at 60m</t>
  </si>
  <si>
    <t>strip at 18m</t>
  </si>
  <si>
    <t>basic strip and blowjobs</t>
  </si>
  <si>
    <t>game,whip,mental torture</t>
  </si>
  <si>
    <t>sensual strip at 3m,bite gag at 4m,whip at 19m,under a metal net at 58m</t>
  </si>
  <si>
    <t>wheel of pain game at 4m,back whip at 5m,pussy whip at 10m,ass whip at 19m</t>
  </si>
  <si>
    <t>1f-2m,blowjob,piv,fondle</t>
  </si>
  <si>
    <t>blowjob,piv,fingering,inverted face fuck,fondle</t>
  </si>
  <si>
    <t>fondle at 4m,hand spank at 4m,tit flog at 5m,ass flog at 14m,nipple binder clips tied to toes at 32m,vibrator and flog and blindfold at 45m</t>
  </si>
  <si>
    <t>fondle at 9m,pussy hair pull at 30m</t>
  </si>
  <si>
    <t>missionary,lay down,pretzel</t>
  </si>
  <si>
    <t>doggy,missionary,lay down</t>
  </si>
  <si>
    <t>spitroast</t>
  </si>
  <si>
    <t>spitroast,centipede,69</t>
  </si>
  <si>
    <t>throatfucked spitroasted while rammed by fucking machine all while being oiled up and layed and restrained to a wooden X table</t>
  </si>
  <si>
    <t>both are tied together,locked in an inverted figure tie down at 15m,a centipede style spitroast on dildos at 16m,a mouth to ass plug put them together at 24m</t>
  </si>
  <si>
    <t>doggy,lay down,stand</t>
  </si>
  <si>
    <t>lay down,doggy,stand</t>
  </si>
  <si>
    <t>lay down,missionary,stand</t>
  </si>
  <si>
    <t>lay down,stand,missionary,69</t>
  </si>
  <si>
    <t>lay on side one leg up,stand,doggy</t>
  </si>
  <si>
    <t>leg up stand,m legs</t>
  </si>
  <si>
    <t>pretzel,suspended,stand</t>
  </si>
  <si>
    <t>stand</t>
  </si>
  <si>
    <t>stand,doggy,lay down</t>
  </si>
  <si>
    <t>stand,doggy,missionary</t>
  </si>
  <si>
    <t>stand,inverted pussy over face,missionary</t>
  </si>
  <si>
    <t>stand,legs up joined,doggy</t>
  </si>
  <si>
    <t>stand,missionary suspended,hogtied</t>
  </si>
  <si>
    <t>stand,missionary,lay down,suspended missionary</t>
  </si>
  <si>
    <t>stand,pretzel,lay down</t>
  </si>
  <si>
    <t>stand,suspended,prone bone</t>
  </si>
  <si>
    <t>stand on ice,eat worms,flogged with anal hook</t>
  </si>
  <si>
    <t>sounding at 6m,trample at 45m,head in thighs at 59m,whip at 65m,enema at 80m,peg at 93m</t>
  </si>
  <si>
    <t>sandal trample at 5m,high heel trample at 8m,high heels in nipples at 9m,high heel in pussy at 17m</t>
  </si>
  <si>
    <t>https://beeg.com/FemDom?f=pegging</t>
  </si>
  <si>
    <t>https://www.fuq.com/category/femdom-pegging</t>
  </si>
  <si>
    <t>gangbang,blackout contacts,body clothespin,flog,nipple clamps,drink game</t>
  </si>
  <si>
    <t>gangbang,piss drink,double penetration,fingering,anal,blowjob</t>
  </si>
  <si>
    <t>pillory,missionary</t>
  </si>
  <si>
    <t>spank,flog,cane,blowjob,piv,vibrator,pussy fist,nipple clamps</t>
  </si>
  <si>
    <t>spank at 7m,blowjob at 10m,flog at 11m,nipple clamps at 32m,very generic piv bdsm</t>
  </si>
  <si>
    <t>https://www.amateur8.com/videos/716960/spank-me-lascivious/?utm_source=donnie</t>
  </si>
  <si>
    <t>https://abxxx.com/video/338120/april-olsen-in-pegging-strapon-anal/?campaign_id=520379779</t>
  </si>
  <si>
    <t>https://www.xozilla.xxx/videos/811128/shameless-dykes-lesdom-breathtaking-xxx-scene/</t>
  </si>
  <si>
    <t>april olsen</t>
  </si>
  <si>
    <t>titjob at 12m,oiled footjob at 14m</t>
  </si>
  <si>
    <t>INSANELY hot rubber wearing actress,butt plug at 8m,peg at 11m,blindfold at 22m,asphyxiation at 25m,titjob at 20m,footjob at 35m,piv at end</t>
  </si>
  <si>
    <t>foot in pussy at 2m,doggy foot in pussy at 6m,silver powder on feet and pussy at 10m,fishnet inside pussy at 14m,scissor at end</t>
  </si>
  <si>
    <t>Yes</t>
  </si>
  <si>
    <t>No</t>
  </si>
  <si>
    <t>https://www.eporner.com/video-I84EQTWfKvD/bondage-fetish/</t>
  </si>
  <si>
    <t>isis love,missy minks,audrey rose</t>
  </si>
  <si>
    <t>https://www.hqbdsm.com/model_Tara_Lynn_Foxx_2o86t</t>
  </si>
  <si>
    <t>tara lynn foxx</t>
  </si>
  <si>
    <t>https://bdsmstreak.com/video/93332/tara-lynn-fox-mellanie-monroe-and-isis-love-part-3-of-4-of-the-december-live-show</t>
  </si>
  <si>
    <t>isis love,mellanie monro,tara lynn foxx</t>
  </si>
  <si>
    <t>spank,flog,cane,blowjob,vibrator,fingering,body clothespin</t>
  </si>
  <si>
    <t>small to medium length bdsm and rope bondage videos aggregator for tara lynn foxx</t>
  </si>
  <si>
    <t>tit flog at 0m,pussy flog at 0m</t>
  </si>
  <si>
    <t>https://www.xozilla.xxx/videos/136923/kinky-femdom-porn-clip/</t>
  </si>
  <si>
    <t>stand,doggy,sit</t>
  </si>
  <si>
    <t>sit</t>
  </si>
  <si>
    <t>lay down,face sit,spitroast</t>
  </si>
  <si>
    <t>sit,doggy,lay down</t>
  </si>
  <si>
    <t>suspended upside down,doggy,sit</t>
  </si>
  <si>
    <t>face sit,69,m legs</t>
  </si>
  <si>
    <t>lay down,face sit</t>
  </si>
  <si>
    <t>chastity,feet,peg,face sit,cage,mummy</t>
  </si>
  <si>
    <t>leashed at 2m,boot licking at 4m,face sit and fondle at 12m,inverted at 20m</t>
  </si>
  <si>
    <t>face sit at 14m,69 at 15m</t>
  </si>
  <si>
    <t>dom teaches how to chastity and rope a man,ball suction at 30m</t>
  </si>
  <si>
    <t>https://heavyfetish.com/videos/111124/trinity-post-everythingbutt/</t>
  </si>
  <si>
    <t>trinity post</t>
  </si>
  <si>
    <t>kaitlyn katsaros</t>
  </si>
  <si>
    <t>https://bdsmmansion.com/video/9296/lily-la-beau-a-sadist-s-dream-come-true-kink-remastered-30-03-2023-1080-lily-labeau/</t>
  </si>
  <si>
    <t>https://bdsmmansion.com/video/446/chastity-tease-with-melody-pleasure-and-cheffie-shot/</t>
  </si>
  <si>
    <t>bdsm-soft-femdom</t>
  </si>
  <si>
    <t>chastity,fingering,balls in pussy,footjob,blowjob,piv</t>
  </si>
  <si>
    <t>melody marks in gentle femdom</t>
  </si>
  <si>
    <t>felony,bella rossi,mz berlin</t>
  </si>
  <si>
    <t>https://bdsmmansion.com/search/felony/</t>
  </si>
  <si>
    <t>felony</t>
  </si>
  <si>
    <t>lot of felony videos at high quality</t>
  </si>
  <si>
    <t>contacts (720p)</t>
  </si>
  <si>
    <t>dream come true (1080p)</t>
  </si>
  <si>
    <t>https://bdsmmansion.com/video/14222/happy-birthday-felony/</t>
  </si>
  <si>
    <t>stand,suspended upside down,lay down,doggy</t>
  </si>
  <si>
    <t>ball gag at 4m,undress at 13m,flog at 16m,wheel barrow face down at 20m,strapon at 34m,flog at 42m</t>
  </si>
  <si>
    <t>https://www.eporner.com/video-Xb5p90HL5tL/riding-on-an-unsafe-thrill/?trx=1227735290aee694b81473a256bea12420712</t>
  </si>
  <si>
    <t>liv revamped</t>
  </si>
  <si>
    <t>https://bdsmlust.com/bdsm-studio/device-bondage/</t>
  </si>
  <si>
    <t>lot of high quality 1080p downloadable device bondage videos legit a gem mine</t>
  </si>
  <si>
    <t>katrina colt</t>
  </si>
  <si>
    <t>video_name</t>
  </si>
  <si>
    <t>real_name</t>
  </si>
  <si>
    <t>website_video_name</t>
  </si>
  <si>
    <t>Tall Blonde Amateur Gets Fucked While Wearing Blackout Contact Lenses</t>
  </si>
  <si>
    <t xml:space="preserve">Lily La Beau – A Sadist’s Dream Come True </t>
  </si>
  <si>
    <t>beyond limts (720p)</t>
  </si>
  <si>
    <t>ten</t>
  </si>
  <si>
    <t>Dirty fucking girl.... TEN is pushed beyond her clitoral limits</t>
  </si>
  <si>
    <t>Tall Blonde Amateur Gets Fucked While Wearing Blackout Contact Lenses - She Can't See a Thing!!</t>
  </si>
  <si>
    <t>https://bdsmmansion.com/video/9253/adria-rae-femdom-scene/</t>
  </si>
  <si>
    <t>A Sadists Dream Come True</t>
  </si>
  <si>
    <t>Jodi Taylor LIVE</t>
  </si>
  <si>
    <t>download_note</t>
  </si>
  <si>
    <t>https://bdsmlust.com/device-bondage-jodi-taylor-live/</t>
  </si>
  <si>
    <t>Device Bondage Jodi Taylor LIVE</t>
  </si>
  <si>
    <t>redhead jodi (720p)</t>
  </si>
  <si>
    <t>https://www.pornhub.com/view_video.php?viewkey=679515d7ca089</t>
  </si>
  <si>
    <t>anna katana</t>
  </si>
  <si>
    <t>donna dolore,mz berlin</t>
  </si>
  <si>
    <t>https://www.eporner.com/video-1nj6UdiWpfr/bdsm-t0rture-chalr/</t>
  </si>
  <si>
    <t>https://heavyfetish.com/videos/123703/whippedass-a-double-debut-leah-gotti-madelynn-may/</t>
  </si>
  <si>
    <t>leah gotti,madelynn may</t>
  </si>
  <si>
    <t>julia ann</t>
  </si>
  <si>
    <t>https://www.pornissimo.org/videos/8737/latex-goddess-julia-ann-dominates-dripping-cock-whore/</t>
  </si>
  <si>
    <t>blowjob,oiled,cane</t>
  </si>
  <si>
    <t>anna katana 10kg weight predicament bondage while sucking dildo</t>
  </si>
  <si>
    <t>fingering at 0m,butt plug at 1m,butt plug gag at 4m</t>
  </si>
  <si>
    <t>tit slap at 6m,flog at 7m,spank at 16m,nipple clothespin at 19m,pussy close up at 26m</t>
  </si>
  <si>
    <t>wooden horse,doggy,lay down</t>
  </si>
  <si>
    <t>kiss at 6m,spank at 6m,blowjob at 7m,good close up of ass,cane at 19m,piv at 21m</t>
  </si>
  <si>
    <t>kiss,spank,blowjob,vibrator,cane,piv,tit slap</t>
  </si>
  <si>
    <t>suspended upside down,suspended,missionary</t>
  </si>
  <si>
    <t>https://bdsmmansion.com/video/14709/april-olsen-helplessly-bound/</t>
  </si>
  <si>
    <t>https://bdsmstreak.com/video/71502/felony-bound-in-cruel-latex-metal-and-leather-bondage</t>
  </si>
  <si>
    <t>undress at 7m,nipple clamps at 11m,inflatable gag at 21m,inflatable butt plug at 22m,nipple sticks at 31m</t>
  </si>
  <si>
    <t>https://heavyfetish.com/videos/94773/hogtied-katrina-colt/</t>
  </si>
  <si>
    <t>spank,paddle,hair pull,large paddle at 19m,ass up face down at 28m</t>
  </si>
  <si>
    <t>fingering,crotch rope,vibrator,spank,dildo stick</t>
  </si>
  <si>
    <t>undress at 7m,finger at 8m,crotch rope at 16m,spank at 19m,inverted pussy over face at 30m</t>
  </si>
  <si>
    <t>nostalgic live show,sit stuck to wall,nipple clamps at 31m</t>
  </si>
  <si>
    <t>stella cox</t>
  </si>
  <si>
    <t>spit at 1m,strapon at 24m,leash at 31m,sybian at 31m</t>
  </si>
  <si>
    <t>cuffs and blackout contacts preping at 4m,undress at 9m,tongue slap at 40m,taser in ass at 57m,nipple clamps at 65m</t>
  </si>
  <si>
    <t>undress at 3m,enema at 41m,ruthless flog while on crotch chain</t>
  </si>
  <si>
    <t>undress at 2m,spank at 6m,spike wheel at 8m,flog at 10m,smothered in tits at 14m,nipple suction at 15m,panty gag at 15m,electric at 31m</t>
  </si>
  <si>
    <t>undress struggle,flog at 19m,nipple clamp chain in mouth at 25m,shocking pussy at 27m</t>
  </si>
  <si>
    <t>undress at 9m,pussy clamps at 16m,face slap at 22m,strong spank and brusing at end 30m later</t>
  </si>
  <si>
    <t>pussy bite at 2m</t>
  </si>
  <si>
    <t>pussy clothspin at 12m,pretzel at 20m,feet lick at 23m,pussy bite at 27m,pussy flog at 30m,strapon at 33m,dual dildo at 45m</t>
  </si>
  <si>
    <t>sit,pretzel,lay down</t>
  </si>
  <si>
    <t>spank,enema,butt plug,oiled,anal hook,blowjob,anal</t>
  </si>
  <si>
    <t>flog at 14m,peg at 23m</t>
  </si>
  <si>
    <t>stand,lay down diamond,hogtied</t>
  </si>
  <si>
    <t>undress at 5m,fingering at 5m,flog at 10m,oiled at 13m,nipple clamps strong pull at 15m,butt plug at 16m,anal hook at 35m</t>
  </si>
  <si>
    <t>https://heavyfetish.com/videos/6908/device-bondage-mzberlin-felony-bella-rossi/</t>
  </si>
  <si>
    <t>DEVICE BONDAGE MzBerlin Felony Bella Rossi</t>
  </si>
  <si>
    <t>Extreme immobilization! Felony is at the mercy of two fierce Doms</t>
  </si>
  <si>
    <t>felony no ice (720p)</t>
  </si>
  <si>
    <t>nostalgia,tit flog at 10m,tit oiled at 23m,pretzel at 25m,electric at 27m,cane at 28m,bent at 44m,oiled at 45m</t>
  </si>
  <si>
    <t>https://heavyfetish.com/videos/94233/device-bondage-tara-lynn-fox/</t>
  </si>
  <si>
    <t>oiled at 5m,nipple clamps at 11m,clothespin remove at 25m,funnel gag at 30m,pussy clamps at 30m,both hand pussy fist at 31m,cane at 45m,blindfold at 46m,slap at 60m</t>
  </si>
  <si>
    <t>candence lux</t>
  </si>
  <si>
    <t>Cadence Lux: The Depths of Hell</t>
  </si>
  <si>
    <t>lux on floor (720p)</t>
  </si>
  <si>
    <t>Naked Cross Bondage On The Floor - Cadence Lux</t>
  </si>
  <si>
    <t>kink originals</t>
  </si>
  <si>
    <t>kink men in pain</t>
  </si>
  <si>
    <t>kink public disgrace</t>
  </si>
  <si>
    <t>kink sex and submission</t>
  </si>
  <si>
    <t>kink the training of o</t>
  </si>
  <si>
    <t>kink whipped ass</t>
  </si>
  <si>
    <t>kink wired pussy</t>
  </si>
  <si>
    <t>kink hogtied</t>
  </si>
  <si>
    <t>kink hardcore gangbang</t>
  </si>
  <si>
    <t>kink everything butt</t>
  </si>
  <si>
    <t>kink divine bitches</t>
  </si>
  <si>
    <t>kink device bondage</t>
  </si>
  <si>
    <t>aiden star,madison young</t>
  </si>
  <si>
    <t>maddy oreilly</t>
  </si>
  <si>
    <t>https://bdsmstreak.com/video/93110/jessie-cox-ami-emerson-and-isis-love-part-1-of-4-of-the-september-live-feed</t>
  </si>
  <si>
    <t>-</t>
  </si>
  <si>
    <t>bent</t>
  </si>
  <si>
    <t>candy manson</t>
  </si>
  <si>
    <t>crystal frost</t>
  </si>
  <si>
    <t>marie mccray</t>
  </si>
  <si>
    <t>miss kitty</t>
  </si>
  <si>
    <t>tracey sweet</t>
  </si>
  <si>
    <t>https://bdsmstreak.com/video/32839/shocking-her-holes</t>
  </si>
  <si>
    <t>cici rhodes</t>
  </si>
  <si>
    <t>holly micheals</t>
  </si>
  <si>
    <t>https://bdsmlust.com/hogtied-holly-michaels-suspension-and-domination/</t>
  </si>
  <si>
    <t>https://bdsmmansion.com/video/11334/12-01-13-17365-lorelei-lee-remy-lacroix-popping-her-lesbian-cherry/</t>
  </si>
  <si>
    <t>willow hayes</t>
  </si>
  <si>
    <t>https://bdsmstreak.com/video/89479/newcomer-loses-her-innocence</t>
  </si>
  <si>
    <t>https://bdsmstreak.com/video/71867/jade-indica-oiled-fucked-bound-and-torturedcountdown-to-relaunch-5-of-20</t>
  </si>
  <si>
    <t>priority</t>
  </si>
  <si>
    <t>25m</t>
  </si>
  <si>
    <t>13m,26m</t>
  </si>
  <si>
    <t>kink electrosluts</t>
  </si>
  <si>
    <t>isis love,audrey rose</t>
  </si>
  <si>
    <t>https://bdsmstreak.com/video/89715/kelly-divine-stretched-fucked-flogged-and-squirting-everywhere-rosebud-exposed</t>
  </si>
  <si>
    <t>kelly divine</t>
  </si>
  <si>
    <t>https://bdsmstreak.com/video/93715/cheyenne-jewel-punished-with-unwilling-orgasms-and-mean-metal-bondage</t>
  </si>
  <si>
    <t xml:space="preserve">cheyenne jewel </t>
  </si>
  <si>
    <t>37m</t>
  </si>
  <si>
    <t>https://bdsmstreak.com/video/88534/sex-and-submission-jane-wilde-wild-anal-seductress</t>
  </si>
  <si>
    <t>jane wilde</t>
  </si>
  <si>
    <t>very cute</t>
  </si>
  <si>
    <t>31m</t>
  </si>
  <si>
    <t>https://bdsmstreak.com/video/69767/the-veteran-and-the-newbie</t>
  </si>
  <si>
    <t>isis love,ash hollywood</t>
  </si>
  <si>
    <t>https://www.kink.com/shoot/11955</t>
  </si>
  <si>
    <t>0m</t>
  </si>
  <si>
    <t>https://hcbdsm.com/video/81159/brooke-lee-adams-orgasmed-to-near-unconsciousness-seriously/</t>
  </si>
  <si>
    <t>brooke lee adams</t>
  </si>
  <si>
    <t>https://www.kink.com/shoot/11491</t>
  </si>
  <si>
    <t>haley cummings</t>
  </si>
  <si>
    <t>https://bdsmstreak.com/video/68845/1-blonde-1-brunette-1-redhead-hot-lesbian-punishment-and-sex</t>
  </si>
  <si>
    <t>aiden star,naidyne</t>
  </si>
  <si>
    <t>https://bdsmstreak.com/search?q=felony</t>
  </si>
  <si>
    <t>https://bdsmstreak.com/video/75325/felony-overloaded-overflowed</t>
  </si>
  <si>
    <t>https://bdsmmansion.com/video/11299/11-05-19-12756-bobbi-starr-felony-a-few-of-felony-s-favorite-things/</t>
  </si>
  <si>
    <t>https://bdsmmansion.com/video/11358/12-06-01-22053-aiden-starr-naidyne-adorable-19-year-old-has-a-tough-first-ever-lesbian-experience-on-whippedass-com/</t>
  </si>
  <si>
    <t>trimmed start and end,1 end scene</t>
  </si>
  <si>
    <t>trimmed start and end</t>
  </si>
  <si>
    <t>good quality long length felony bdsm and bondage porn,mostly maledom but also fem and les</t>
  </si>
  <si>
    <t>neck lock at 21m,undress at 23m,nipple clamps at 25m,step on nails at 31m,anal hook at 32m</t>
  </si>
  <si>
    <t>sit,stand</t>
  </si>
  <si>
    <t>felony ice (720p)</t>
  </si>
  <si>
    <t>Felony.... OVERLOADED &amp; OVERFLOWED</t>
  </si>
  <si>
    <t xml:space="preserve">Felony.... OVERLOADED &amp; OVERFLOWED </t>
  </si>
  <si>
    <t>stand,suspended,pretzel,hogtied,doggy,sit</t>
  </si>
  <si>
    <t>ball gag at 4m,undress at 5m,nipple clamps weights at 7m,pretzel at 13m,ice play at 14m,ice in pussy at 15m,crotch rope at 25m,sybian at 34m,body clothespin at 36m,flog at 41m</t>
  </si>
  <si>
    <t>https://heavyfetish.com/videos/14029/wired-pussy-nineteen-year-old-beauty-princess-donna-dolore-lily-labeau/</t>
  </si>
  <si>
    <t>lily labeau,donna dolore</t>
  </si>
  <si>
    <t>nipple clamps electric at 4m,pussy clamps electric at 4m,nose hook at 7m,blackout contacts at 20m,nipple flog at 22m,slap at 31m,tit slap at 32m,nippls suction at 32m,clit suction at 34m,pussy slap at 44m,kiss at 44m,strapon blowjob at 45m,pussy eat at 52m</t>
  </si>
  <si>
    <t>https://bdsmmansion.com/video/7817/wired-pussy-the-cattleprod/</t>
  </si>
  <si>
    <t>stand,sit</t>
  </si>
  <si>
    <t>foot eat at 7m,spank at 10m,leash at 25m,flog at 30m,peg at 37m,pussy eat at 46m,footjob at 58m</t>
  </si>
  <si>
    <t>spank at 6m,flog at 8m,nipple clamps weights at 13m,taser at 20m,strapon at 62m</t>
  </si>
  <si>
    <t>lay down,inverted pussy over face,sit</t>
  </si>
  <si>
    <t>pretzel,cowgirl,sit</t>
  </si>
  <si>
    <t>https://m.hqporner.com/hdporn/20111-Hegre-art_-_Kiki_-_Volcano_Orgasm_Massage.html</t>
  </si>
  <si>
    <t>hegre</t>
  </si>
  <si>
    <t>kiki massage (720p)</t>
  </si>
  <si>
    <t>Screaming Volcano Orgasm Massage</t>
  </si>
  <si>
    <t>Hegre-art - Kiki - Volcano Orgasm Massage</t>
  </si>
  <si>
    <t>kenzie reeves</t>
  </si>
  <si>
    <t>kenzie corps (1080p)</t>
  </si>
  <si>
    <t>A Fine Piece Of Bound Meat</t>
  </si>
  <si>
    <t>https://www.porntrex.com/video/1800983/kenzie-reeves-a-fine-piece-of-bound-meat-part-1</t>
  </si>
  <si>
    <t>https://www.porntrex.com/video/1800985/kenzie-reeves-a-fine-piece-of-bound-meat-part-2</t>
  </si>
  <si>
    <t>https://www.porntrex.com/video/1800986/kenzie-reeves-a-fine-piece-of-bound-meat-part-3</t>
  </si>
  <si>
    <t>https://www.porntrex.com/video/1800987/kenzie-reeves-a-fine-piece-of-bound-meat-part-4</t>
  </si>
  <si>
    <t>trimmed start and end,merged 4 videos,mp4 from pornolab</t>
  </si>
  <si>
    <t>Kenzie Reeves - A Fine Piece Of Bound Meat Part 1</t>
  </si>
  <si>
    <t>Kenzie Reeves - A Fine Piece Of Bound Meat Part 2</t>
  </si>
  <si>
    <t>Kenzie Reeves - A Fine Piece Of Bound Meat Part 3</t>
  </si>
  <si>
    <t>Kenzie Reeves - A Fine Piece Of Bound Meat Part 4</t>
  </si>
  <si>
    <t>spank at 2m,flog at 4m,tit flog at 6m</t>
  </si>
  <si>
    <t>sit,lay down,stand</t>
  </si>
  <si>
    <t>armpit at 0m,pussy flog at 3m,nipple binder clips at 9m</t>
  </si>
  <si>
    <t>prone bone</t>
  </si>
  <si>
    <t>flog at 2m,spank at 3m</t>
  </si>
  <si>
    <t>tit whip at 4m,nipple binder clips at 5m</t>
  </si>
  <si>
    <t>https://bdsmstreak.com/video/78388/19-year-old-is-devastated-in-brutal-bondage</t>
  </si>
  <si>
    <t>aidra fox</t>
  </si>
  <si>
    <t>https://bdsmmansion.com/video/16582/a-for-anal/</t>
  </si>
  <si>
    <t>https://bdsmstreak.com/video/94767/device-bondage-live-in-hd</t>
  </si>
  <si>
    <t>alexa von tess,sarah jane ceylon</t>
  </si>
  <si>
    <t>https://hcbdsm.com/video/102820/hogtied-beretta-james-challenged-with-wanton-cruelty/</t>
  </si>
  <si>
    <t>https://www.kink.com/shoot/7321</t>
  </si>
  <si>
    <t>https://hcbdsm.com/video/88539/ass-hooked-caned-made-to-cum-so-much-she-begs-for-mercy-humilated-and-roughd-so-helpless/</t>
  </si>
  <si>
    <t>https://hcbdsm.com/video/81139/annabelle-leeno-mas-no-mas/</t>
  </si>
  <si>
    <t>https://bdsmstreak.com/video/94101/amber-rayne-live-show-part-2-drawn-and-quartered</t>
  </si>
  <si>
    <t>https://bdsmstreak.com/video/81420/amber-rayne-live-show-part-3-bent-and-fisted</t>
  </si>
  <si>
    <t>https://www.eporner.com/hd-porn/OcnKTcgt4DY/Busty-Machine-Babe-Double-Dildo-Fucked/</t>
  </si>
  <si>
    <t>https://bdsmstreak.com/video/92863/alicia-stone-sienna-and-isis-love-part-2-of-4-of-the-february-live-show</t>
  </si>
  <si>
    <t>https://bdsmstreak.com/video/75224/beauty-and-the-beast-kristen-scott-vs-the-pope</t>
  </si>
  <si>
    <t>https://hcbdsm.com/video/94827/annie-cruz-bitch-in-heat/</t>
  </si>
  <si>
    <t>https://bdsmstreak.com/video/80068/all-natural-blonde-babe-lisey-sweet-assfucked-and-abused-in-bondage</t>
  </si>
  <si>
    <t>https://hcbdsm.com/video/107372/ashli-orion-cums-back-for-more-brutal-ties-only-on-hogtied3/</t>
  </si>
  <si>
    <t>https://hcbdsm.com/video/108464/big-tits-brutal-bondage-extreme-corporal-punishment-and-squirting-orgasms4/</t>
  </si>
  <si>
    <t>https://hcbdsm.com/video/96116/beautiful-blonde-with-big-tits-gets-oiled-up-and-used-as-a-cum-canvas3/</t>
  </si>
  <si>
    <t>https://hcbdsm.com/video/100409/ariel-x-body-builder-double-penetrated-in-diabolical-devices2/</t>
  </si>
  <si>
    <t>https://hcbdsm.com/video/110781/berlin-and-her-massive-32f-breasts-visit-for-her-first-ever-hogtied-shoot/</t>
  </si>
  <si>
    <t>https://bdsmstreak.com/video/75925/athletic-milf-fuck-toy-cherie-deville-punished-in-bondage-and-sybian</t>
  </si>
  <si>
    <t>https://v3.bdsmstreak.com/video/92918/ashley-jane-ally-ann-and-princess-donna-part-1-of-4-of-the-november-live-show</t>
  </si>
  <si>
    <t>https://www.kink.com/shoot/37514</t>
  </si>
  <si>
    <t>https://bdsmstreak.com/video/92004/ariel-x-extreme-bondage-brutal-torment-and-squirting-orgasms</t>
  </si>
  <si>
    <t>https://bdsmstreak.com/video/93817/all-natural-beauty-in-pile-driver-orgasm-overload</t>
  </si>
  <si>
    <t>https://heavyfetish.com/videos/124025/whipped-ass-alexa-von-tess-and-sandra-romain/</t>
  </si>
  <si>
    <t>https://www.kink.com/shoot/26099</t>
  </si>
  <si>
    <t>https://www.porntry.com/videos/22504113/a22dfc402e24e15bfd2dc0e88e68630d/</t>
  </si>
  <si>
    <t>https://bdsmstreak.com/video/80893/anal-campus-sluts</t>
  </si>
  <si>
    <t>https://hcbdsm.com/video/96481/bella-rossi-dispenses-pain-and-pleasure-to-gabriella-violet-s-asses/</t>
  </si>
  <si>
    <t>https://bdsmstreak.com/video/95182/anal-slut-gets-cold-steel-anal-invasion</t>
  </si>
  <si>
    <t>https://bdsmstreak.com/video/94025/ariel-x-live-show-complete-edited-version</t>
  </si>
  <si>
    <t>https://hcbdsm.com/video/95245/ass-fucking-enemas-galore-bobbi-starr-ariel-x2/</t>
  </si>
  <si>
    <t>https://www.kink.com/shoot/45596</t>
  </si>
  <si>
    <t>https://bdsmstreak.com/video/94954/anal-action-at-its-deepest-hardest-claire-adams-lorelei-lee</t>
  </si>
  <si>
    <t>kink dungeon sex</t>
  </si>
  <si>
    <t>kink the upper floor</t>
  </si>
  <si>
    <t>kink families tied</t>
  </si>
  <si>
    <t>annie cruz</t>
  </si>
  <si>
    <t>skylar price</t>
  </si>
  <si>
    <t>ariel x</t>
  </si>
  <si>
    <t>alicia stone,sienna,isis love</t>
  </si>
  <si>
    <t>kristen scott</t>
  </si>
  <si>
    <t>lisey sweet</t>
  </si>
  <si>
    <t>ashli orion</t>
  </si>
  <si>
    <t>bella rossi</t>
  </si>
  <si>
    <t>skylar price,donna dolore</t>
  </si>
  <si>
    <t>angela white</t>
  </si>
  <si>
    <t>ally ann,donna dolore,ashley jane</t>
  </si>
  <si>
    <t>phoenix marie,ella nova</t>
  </si>
  <si>
    <t>rilynn rae</t>
  </si>
  <si>
    <t>alexa von tess,sandra romain</t>
  </si>
  <si>
    <t>dee williams</t>
  </si>
  <si>
    <t>sofia lauryn,isis love</t>
  </si>
  <si>
    <t>casey calvert,cassandra nix</t>
  </si>
  <si>
    <t>violet monroe,gabriella paltrova,bella rossi</t>
  </si>
  <si>
    <t>penny pax</t>
  </si>
  <si>
    <t>wenona,madeline marlowe,sasha lexing</t>
  </si>
  <si>
    <t>penny pax,veruca james,casey calvert</t>
  </si>
  <si>
    <t>isis love,lyla storm,cameron canada</t>
  </si>
  <si>
    <t>casey calvert,kasey warner</t>
  </si>
  <si>
    <t>claire adams,lorelei lee</t>
  </si>
  <si>
    <t>beretta james,mz berlin,missy minks</t>
  </si>
  <si>
    <t>dana dearmond,gaia</t>
  </si>
  <si>
    <t>enema</t>
  </si>
  <si>
    <t>inverted</t>
  </si>
  <si>
    <t>oiled</t>
  </si>
  <si>
    <t>bent on wheel</t>
  </si>
  <si>
    <t>crotch rope</t>
  </si>
  <si>
    <t>24m</t>
  </si>
  <si>
    <t>oiled,bent</t>
  </si>
  <si>
    <t>fist</t>
  </si>
  <si>
    <t>https://bdsmstreak.com/video/89746/bound-by-metal-covered-in-wax-fucked-by-machine</t>
  </si>
  <si>
    <t>https://www.kink.com/shoot/35336</t>
  </si>
  <si>
    <t>https://porndoe.com/watch/pd0s4t6y9l1c#pwu</t>
  </si>
  <si>
    <t>lyla storm</t>
  </si>
  <si>
    <t>lyla storm,skin diamond</t>
  </si>
  <si>
    <t>double mounted zipper pull</t>
  </si>
  <si>
    <t>https://bdsmstreak.com/video/72979/birthday-party-for-the-princess-pt-2</t>
  </si>
  <si>
    <t>https://hcbdsm.com/video/91577/bitch-bound-in-bag-extreme-spread-eagle-special/</t>
  </si>
  <si>
    <t>https://heavyfetish.com/videos/116567/black-mailed-step-mother-daughter-sexually-punished/</t>
  </si>
  <si>
    <t>https://bdsmstreak.com/video/73812/blonde-bombshell-anal-electrofucked-live</t>
  </si>
  <si>
    <t>https://bdsmstreak.com/video/80303/blonde-bombshell-bound-spanked-and-anally-fisted</t>
  </si>
  <si>
    <t>https://bdsmstreak.com/video/74095/blonde-fuck-slut-squeals-and-begs-to-cum</t>
  </si>
  <si>
    <t>https://bdsmstreak.com/video/74047/blonde-with-big-natural-breasts-rode-hard</t>
  </si>
  <si>
    <t>https://bdsmstreak.com/video/78757/breaking-the-innocent</t>
  </si>
  <si>
    <t>https://x-x-x.tube/videos/708216/humiliation-bdsm-torture-whipping-brooke-johnson-brooke-report-hardtied-com/</t>
  </si>
  <si>
    <t>https://hcbdsm.com/video/90313/brunettes-have-more-fun-34-sweet-revenge-342/</t>
  </si>
  <si>
    <t>https://bdsmstreak.com/video/91916/buff-milf-cherie-deville-submits-to-rope-bondage-and-unwilling-orgasms</t>
  </si>
  <si>
    <t>https://bdsmstreak.com/video/81359/busty-california-blonde-courtney-gets-bent-fucked-challenged</t>
  </si>
  <si>
    <t>https://bdsmstreak.com/video/94519/candy-manson</t>
  </si>
  <si>
    <t>https://hcbdsm.com/video/99036/dynamite-katie-summers-brings-it-live/</t>
  </si>
  <si>
    <t>https://hcbdsm.com/video/110375/girl-next-door-severely-bound-and-helpless-stripped-elbows-bound-legs-split-multi-orgasms/</t>
  </si>
  <si>
    <t>https://hcbdsm.com/video/63086/vendetta-and-claire-adams/</t>
  </si>
  <si>
    <t>tia ling</t>
  </si>
  <si>
    <t>cherie deville,holly hendrix</t>
  </si>
  <si>
    <t>dahlia sky,lorelei lee</t>
  </si>
  <si>
    <t>sheena shaw</t>
  </si>
  <si>
    <t>missy minks</t>
  </si>
  <si>
    <t>brooke johnson</t>
  </si>
  <si>
    <t>felony,jessie cox,krissy lynn</t>
  </si>
  <si>
    <t>courtney taylor</t>
  </si>
  <si>
    <t>katie summers</t>
  </si>
  <si>
    <t>sensi pearl,rain degrey</t>
  </si>
  <si>
    <t>plastic bag</t>
  </si>
  <si>
    <t>ass hair</t>
  </si>
  <si>
    <t>pretzel,oiled</t>
  </si>
  <si>
    <t>https://www.kink.com/shoot/10425</t>
  </si>
  <si>
    <t>jennifier white</t>
  </si>
  <si>
    <t>inverted pussy over face</t>
  </si>
  <si>
    <t>https://bdsmstreak.com/video/93566/sandra-romain-and-wild-bill</t>
  </si>
  <si>
    <t>sandra romain</t>
  </si>
  <si>
    <t>https://bdsmstreak.com/video/81362/hot-girl-next-door-tomboy-gets-bent-in-unforgiving-bondage</t>
  </si>
  <si>
    <t>allie james</t>
  </si>
  <si>
    <t>step on stomach</t>
  </si>
  <si>
    <t>https://bdsmstreak.com/video/71167/my-stepmother-is-a-secret-sex-slave</t>
  </si>
  <si>
    <t>https://www.twistedfactory.com/shoot/36890</t>
  </si>
  <si>
    <t>kink sadistic rope</t>
  </si>
  <si>
    <t>kristina rose</t>
  </si>
  <si>
    <t>nipple clamps pull up</t>
  </si>
  <si>
    <t>tara lynn foxx,elizabeth thorn,mz berlin</t>
  </si>
  <si>
    <t>https://bdsmstreak.com/video/24227/ariel-x-and-gia-dimarco-lezdom-hd</t>
  </si>
  <si>
    <t>https://hcbdsm.com/video/97896/first-timer-in-extreme-bondage-with-brutal-tormented-and-made-to-cum/</t>
  </si>
  <si>
    <t>ariel x,annie cruz,isis love</t>
  </si>
  <si>
    <t>https://bdsmstreak.com/video/92915/ariel-x-annie-cruz-part-4-of-4-of-the-march-live-feed-the-domination-of-isis</t>
  </si>
  <si>
    <t>https://bdsmstreak.com/video/69444/the-sadist-s-apprentice</t>
  </si>
  <si>
    <t>2f-1m</t>
  </si>
  <si>
    <t>amber rayne,isis love,jade indica</t>
  </si>
  <si>
    <t>3f-1m</t>
  </si>
  <si>
    <t>2f-1m,body clothespin,wax,face dildo,spitroast,ice</t>
  </si>
  <si>
    <t>https://hcbdsm.com/video/109333/two-mean-bitches-and-one-worthless-little-prick6/</t>
  </si>
  <si>
    <t>2f-fmgb</t>
  </si>
  <si>
    <t>hasMultistar</t>
  </si>
  <si>
    <t>https://bdsmstreak.com/video/89604/beretta-james-live-show-complete-edited-version</t>
  </si>
  <si>
    <t>1f-2f</t>
  </si>
  <si>
    <t>1f-1f</t>
  </si>
  <si>
    <t>2f-1f1m</t>
  </si>
  <si>
    <t>1f-1f,fist,strapon,anal</t>
  </si>
  <si>
    <t>https://bdsmstreak.com/video/80920/butt-sluts-casey-calvert-and-katja-kassin</t>
  </si>
  <si>
    <t>1f-1f,butt plug,strapon,dildo stick,fist</t>
  </si>
  <si>
    <t>https://bdsmstreak.com/video/80887/anal-exploring-sexy-slut-gaia</t>
  </si>
  <si>
    <t>2f-1f</t>
  </si>
  <si>
    <t>https://hcbdsm.com/video/84160/elecro-lezdom-isis-love-opens-audrey-s-tight-asshole/</t>
  </si>
  <si>
    <t>https://hcbdsm.com/video/98524/anal-perversion/</t>
  </si>
  <si>
    <t>https://bdsmstreak.com/video/94812/ariel-x-annie-cruz-part-1-of-4-of-the-march-live-feed</t>
  </si>
  <si>
    <t>https://bdsmstreak.com/video/80882/anal-girls-slumber-holiday</t>
  </si>
  <si>
    <t>1f-1f,spank,face sit,fondle,nipple suck</t>
  </si>
  <si>
    <t>https://bdsmmansion.com/video/11179/09-03-27-6306-wenona-maitresse-madeline-marlowe-sasha-lexing-ballerina-sluts/</t>
  </si>
  <si>
    <t>https://hcbdsm.com/video/83137/19-year-old-s-fierce-introduced-to-the-bitches/</t>
  </si>
  <si>
    <t>2f-1f1m,live,vibrator,dildo stick,nipple clamps weights,piss,fucking machine</t>
  </si>
  <si>
    <t>https://hcbdsm.com/video/103980/sex-and-submission-feeding-the-gimp2/</t>
  </si>
  <si>
    <t>1f-1f1m,tit slap,nipple clamps,flog,wax,fingering,body clothespin</t>
  </si>
  <si>
    <t>2f-1m,tied together,butt plug,dildo stick,vibrator,cane</t>
  </si>
  <si>
    <t>https://bdsmstreak.com/video/89737/machine-fucked-with-zipper-inducing-orgasms</t>
  </si>
  <si>
    <t>2f-2m</t>
  </si>
  <si>
    <t xml:space="preserve">1f-1f,nipple suction,flog,fucking machine,piv,vibrator,strapon </t>
  </si>
  <si>
    <t>https://hcbdsm.com/video/107911/lew-rubens-alpha-productions-michelle-drea-liplocked/</t>
  </si>
  <si>
    <t>4f,massage,foursome,pussy eat,bbc,piv,fondle</t>
  </si>
  <si>
    <t>1f-1f,spank,pussy eat,fingering,scissor,pussy grind</t>
  </si>
  <si>
    <t>1f-1f,face sit,pussy eat,nipple suck,fondle,fingering</t>
  </si>
  <si>
    <t>2f-1m,blowjob,anal,squirt,pussy eat,piv</t>
  </si>
  <si>
    <t>riley reid,paige owens</t>
  </si>
  <si>
    <t>https://hcbdsm.com/video/81226/new-male-sub-falls-deep-into-sub-space-like-never-seen-before-on-divine-bitches/</t>
  </si>
  <si>
    <t>dia zerva,felony</t>
  </si>
  <si>
    <t>peg,humiliation,chastity,milking,latex,humbler</t>
  </si>
  <si>
    <t>peg,humiliation,chastity</t>
  </si>
  <si>
    <t>2f-2m,jav,body clothespin,oiled,fondle,pussy eat</t>
  </si>
  <si>
    <t>https://heavyfetish.com/videos/86145/everythingbutt-casey-calvert-and-tommy-king/</t>
  </si>
  <si>
    <t>unknown-studio</t>
  </si>
  <si>
    <t>website-link</t>
  </si>
  <si>
    <t>unknown-stars-many</t>
  </si>
  <si>
    <t>https://bdsmstreak.com/video/79085/ashley-lane-pain-slut-brutally-tormented-in-device-bondage</t>
  </si>
  <si>
    <t>ashley lane</t>
  </si>
  <si>
    <t>tit flog at 8m,pussy flog at 9m,tit slap at 9m,full flog at 20m,spring matterss at 31m,step on back at 43m</t>
  </si>
  <si>
    <t>https://bdsmstreak.com/video/81101/harmony-wonder-19-year-old-tormented-and-cums-in-grueling-bondage</t>
  </si>
  <si>
    <t>harmony wonder</t>
  </si>
  <si>
    <t>tiny,small,young</t>
  </si>
  <si>
    <t>https://www.kink.com/shoot/3863</t>
  </si>
  <si>
    <t>alexa von tess</t>
  </si>
  <si>
    <t>kink fucking machines</t>
  </si>
  <si>
    <t>https://www.twistedfactory.com/shoot/30541</t>
  </si>
  <si>
    <t>https://www.twistedfactory.com/shoot/34259</t>
  </si>
  <si>
    <t>dallas blaze</t>
  </si>
  <si>
    <t>anal hook</t>
  </si>
  <si>
    <t>https://bdsmmansion.com/video/14741/casey-calvert-bondage-torment-and-sexual-servitude/</t>
  </si>
  <si>
    <t>casey calvert</t>
  </si>
  <si>
    <t>https://bdsmstreak.com/video/71348/chanel-preston-returns-to-hogtied</t>
  </si>
  <si>
    <t>https://bdsmstreak.com/video/71102/chanel-prestons-hot-new-play-thing</t>
  </si>
  <si>
    <t>chanel preston,dresden</t>
  </si>
  <si>
    <t>https://bdsmstreak.com/video/80236/cherry-torn-s-dirtytalking-anal-lesbian-slut</t>
  </si>
  <si>
    <t>cherry torn,dresden</t>
  </si>
  <si>
    <t>https://bdsmstreak.com/video/78561/claire-adams-vs-dahlia-sky</t>
  </si>
  <si>
    <t>claire adams,bailey blue (dahlia sky)</t>
  </si>
  <si>
    <t>https://hcbdsm.com/video/96173/claire-adams-vs-rough-rider-wenona/</t>
  </si>
  <si>
    <t>wenona,claire adams</t>
  </si>
  <si>
    <t>https://hcbdsm.com/video/109027/claire-dames-and-wenona-there-is-something-you-don-t-see-everyday/</t>
  </si>
  <si>
    <t>https://bdsmstreak.com/video/72144/claires-day-off</t>
  </si>
  <si>
    <t>sarah jay</t>
  </si>
  <si>
    <t>https://bdsmstreak.com/video/72089/college-girl-ravished</t>
  </si>
  <si>
    <t>ash hollywood</t>
  </si>
  <si>
    <t>https://bdsmstreak.com/video/81010/come-enema-and-anal-domination</t>
  </si>
  <si>
    <t>isis love,elise graves</t>
  </si>
  <si>
    <t>https://bdsmstreak.com/video/94525/crystal-frost</t>
  </si>
  <si>
    <t>https://bdsmstreak.com/video/80591/cute-red-head-plucked-off-the-street-hung-upside-down-and-double-penetrated</t>
  </si>
  <si>
    <t>nyomi banxxx,aiden starr,madeline marlowe,annabelle lee</t>
  </si>
  <si>
    <t>https://bdsmstreak.com/video/88406/fucked-and-bound-2014-01-17-cute-young-blonde-overwhelmed-with-bondage-and-cock-elyssa-greene-mickey-mod</t>
  </si>
  <si>
    <t>kink fucked and bound</t>
  </si>
  <si>
    <t>elyssa greene</t>
  </si>
  <si>
    <t>https://hcbdsm.com/video/110561/cyd-black-and-amber-rayne/</t>
  </si>
  <si>
    <t>https://bdsmstreak.com/video/78428/damage-me-please</t>
  </si>
  <si>
    <t>dahlia sky</t>
  </si>
  <si>
    <t>https://hcbdsm.com/video/90227/destroying-the-homecoming-queen/</t>
  </si>
  <si>
    <t>https://www.twistedfactory.com/shoot/34846</t>
  </si>
  <si>
    <t>darling</t>
  </si>
  <si>
    <t>https://hcbdsm.com/video/94421/dolly-s-innocence-lost3/</t>
  </si>
  <si>
    <t>dolly leigh</t>
  </si>
  <si>
    <t>https://bdsmstreak.com/video/93726/double-teamed-extreme-bondage-brutal-suffering-and-squirting-orgasms</t>
  </si>
  <si>
    <t>https://www.twistedfactory.com/shoot/32113</t>
  </si>
  <si>
    <t>juliette march,nikki darling</t>
  </si>
  <si>
    <t>https://bdsmstreak.com/video/72674/double-your-pleasure</t>
  </si>
  <si>
    <t>casey calvert,veruca james</t>
  </si>
  <si>
    <t>jade indica,isis love,amber rayne</t>
  </si>
  <si>
    <t>live</t>
  </si>
  <si>
    <t>https://bdsmstreak.com/video/74631/dragonlilly-the-sarge</t>
  </si>
  <si>
    <t>kink water bondage</t>
  </si>
  <si>
    <t>dragonlily</t>
  </si>
  <si>
    <t>https://www.kink.com/shoot/6721</t>
  </si>
  <si>
    <t>https://bdsmstreak.com/video/70653/dyke-bar-3-abella-danger-fisted-dp-d-and-dominated-by-wild-lesbians</t>
  </si>
  <si>
    <t>abella danger,mona wales,mistress kara,phoenix marie</t>
  </si>
  <si>
    <t>https://bdsmstreak.com/video/94773/encore-of-amber-raynes-april-6th-live-show</t>
  </si>
  <si>
    <t>https://hcbdsm.com/video/109837/extreme-bondage-brutal-torment-and-intense-orgasm-denial3/</t>
  </si>
  <si>
    <t>roxanne rae</t>
  </si>
  <si>
    <t>https://bdsmstreak.com/video/79058/father-issues</t>
  </si>
  <si>
    <t>lily lane,petra blair</t>
  </si>
  <si>
    <t>https://bdsmstreak.com/video/72108/feature-shoot-wet-rock-canyon</t>
  </si>
  <si>
    <t>https://hcbdsm.com/video/90620/part-2-felony-live-show-most-flexible-milf/</t>
  </si>
  <si>
    <t>https://hcbdsm.com/video/110052/felony-amazing-milf-squirter3/</t>
  </si>
  <si>
    <t>https://bdsmstreak.com/video/73957/final-reckoning</t>
  </si>
  <si>
    <t>iona grace</t>
  </si>
  <si>
    <t>https://bdsmstreak.com/video/80463/first-kinky-lesbian-experience</t>
  </si>
  <si>
    <t>ashlee graham,felony</t>
  </si>
  <si>
    <t>https://bdsmstreak.com/video/80889/fist-punching-sarah</t>
  </si>
  <si>
    <t>krissy lynn,sarah shevon</t>
  </si>
  <si>
    <t>https://www.twistedfactory.com/shoot/34079</t>
  </si>
  <si>
    <t>kink chantasbitches</t>
  </si>
  <si>
    <t>mz berlin,amber rayne</t>
  </si>
  <si>
    <t>https://bdsmstreak.com/video/89566/fragments-viii</t>
  </si>
  <si>
    <t>mz berlin,penny pax</t>
  </si>
  <si>
    <t>https://bdsmstreak.com/video/93740/fresh-meat-rosalyn-sphinx</t>
  </si>
  <si>
    <t>rosalyn sphinx</t>
  </si>
  <si>
    <t>https://bdsmstreak.com/video/68818/fresh-talent</t>
  </si>
  <si>
    <t>felony,madison scott</t>
  </si>
  <si>
    <t>rain degrey</t>
  </si>
  <si>
    <t>https://bdsmstreak.com/video/87371/sexually-broken-the-farmers-daughter</t>
  </si>
  <si>
    <t>unknown-star</t>
  </si>
  <si>
    <t>https://www.kink.com/shoot/25815</t>
  </si>
  <si>
    <t>https://www.twistedfactory.com/shoot/34426</t>
  </si>
  <si>
    <t>andre shakti</t>
  </si>
  <si>
    <t>https://bdsmstreak.com/video/70538/helpless-whore-begs-for-more</t>
  </si>
  <si>
    <t>https://bdsmstreak.com/video/76063/hot-blond-is-caned-ass-fucked-made-to-cum-over-and-over4-doms-brutally-work-the-whore-over</t>
  </si>
  <si>
    <t>lorelei lee,isis love</t>
  </si>
  <si>
    <t>https://hcbdsm.com/video/97104/hot-blonde-anikka-albright-s-first-bondage-shoot-ever4/</t>
  </si>
  <si>
    <t>anikka albrite</t>
  </si>
  <si>
    <t>https://bdsmstreak.com/video/78628/iona-grace-punished-wanton-slut</t>
  </si>
  <si>
    <t>https://www.kink.com/shoot/7129</t>
  </si>
  <si>
    <t>https://bdsmstreak.com/video/49558/jada-marxxx-and-sarah-jane-ceylon-db</t>
  </si>
  <si>
    <t>jade marxxx,jenni lee</t>
  </si>
  <si>
    <t>https://www.kink.com/shoot/2423</t>
  </si>
  <si>
    <t>jessica sexin,isis love</t>
  </si>
  <si>
    <t>https://bdsmstreak.com/video/74033/jodi-taylor-eager-slut-elaborately-bound-caned-zapped-and-fucked</t>
  </si>
  <si>
    <t>jodi taylor</t>
  </si>
  <si>
    <t>https://hcbdsm.com/video/100478/juliette-march-perfect-pain-slut-pushed-to-the-extreme4/</t>
  </si>
  <si>
    <t>juliette march</t>
  </si>
  <si>
    <t>sticks on body</t>
  </si>
  <si>
    <t>https://bdsmstreak.com/video/76609/katie-summers-tormented-cunt</t>
  </si>
  <si>
    <t>https://hcbdsm.com/video/100300/katya-rodriguez-hogtied-newcomer-bound-and-tormented-in-bondage4/</t>
  </si>
  <si>
    <t>katya rodriguez</t>
  </si>
  <si>
    <t>https://www.kink.com/shoot/3623</t>
  </si>
  <si>
    <t>kayla paige,tory lane</t>
  </si>
  <si>
    <t>https://hcbdsm.com/video/100141/keira-croft-pain-slut-gets-destroyed-squirts-everywhere2/</t>
  </si>
  <si>
    <t>https://www.kink.com/shoot/27005</t>
  </si>
  <si>
    <t>squirt</t>
  </si>
  <si>
    <t>https://hcbdsm.com/video/93382/lesbian-femdom-role-switch-leaves-both-women-begging-for-more3/</t>
  </si>
  <si>
    <t>penny pax,carissa montgomery</t>
  </si>
  <si>
    <t>https://www.twistedfactory.com/shoot/35252</t>
  </si>
  <si>
    <t>https://bdsmstreak.com/video/47885/jaelyn-fox-sas</t>
  </si>
  <si>
    <t>jaelyn fox</t>
  </si>
  <si>
    <t>https://bdsmstreak.com/video/69744/little-nympho-whore</t>
  </si>
  <si>
    <t>https://bdsmstreak.com/video/94148/long-legs-and-huge-nipples-suffers-foot-caning-finger-fucking-til-squirting</t>
  </si>
  <si>
    <t>https://www.kink.com/shoot/10760</t>
  </si>
  <si>
    <t>anal beads</t>
  </si>
  <si>
    <t>https://bdsmstreak.com/video/89623/lorelei-lee-is-bent-in-unforgiving-device-bondage</t>
  </si>
  <si>
    <t>https://pornzog.com/video/13641601/chanta-sbitches-new-pet-lorelei-lee-mason-moore/</t>
  </si>
  <si>
    <t>lorelei lee,manson moore</t>
  </si>
  <si>
    <t>wax</t>
  </si>
  <si>
    <t>https://bdsmstreak.com/video/76477/lyla-storm-complete-edited-live-show</t>
  </si>
  <si>
    <t>https://bdsmstreak.com/video/74130/lyla-storm-vs-jack-hammer</t>
  </si>
  <si>
    <t>https://hcbdsm.com/video/94648/madison-scott-is-bound-in-a-traditional-japanese-torment-positionmake-to-cum-and-squirt3/</t>
  </si>
  <si>
    <t>madison scott</t>
  </si>
  <si>
    <t>https://www.kink.com/shoot/4472</t>
  </si>
  <si>
    <t>madison young,sandra romain</t>
  </si>
  <si>
    <t>https://www.twistedfactory.com/shoot/35154</t>
  </si>
  <si>
    <t>https://bdsmmansion.com/video/11203/09-09-11-7084-aiden-starr-marie-mccray-marie-mccray/</t>
  </si>
  <si>
    <t>https://bdsmmansion.com/video/16490/mark-davis-and-jade-marxxx/</t>
  </si>
  <si>
    <t>jade marxxx</t>
  </si>
  <si>
    <t>nadia styles</t>
  </si>
  <si>
    <t>https://bdsmmansion.com/video/15068/masochistic-anal-sluts-suffer-and-squirt-for-bdsm-party/</t>
  </si>
  <si>
    <t>christina carter,winter sky</t>
  </si>
  <si>
    <t>https://bdsmstreak.com/video/89611/mia-lelani-big-titted-cunt-tormented-complete-edited-live-show</t>
  </si>
  <si>
    <t>mia lelani,mz berlin,bella rossi</t>
  </si>
  <si>
    <t>https://bdsmstreak.com/video/92802/miss-kitty</t>
  </si>
  <si>
    <t>https://hcbdsm.com/video/84249/missy-minkslive-show-edited/</t>
  </si>
  <si>
    <t>missy minks,mz berlin</t>
  </si>
  <si>
    <t>https://www.kink.com/shoot/45960</t>
  </si>
  <si>
    <t>veronica avluv,victoria voxxx,cherie deville,ella nova,india summer,helena locke,kacie castle,abella danger,dana dearmond,amilia onyx</t>
  </si>
  <si>
    <t>compilation</t>
  </si>
  <si>
    <t>https://bdsmstreak.com/video/74017/mz-berlin-vs-odile</t>
  </si>
  <si>
    <t>mz berlin,odile</t>
  </si>
  <si>
    <t>https://bdsmstreak.com/video/72172/new-recruit-crew-member-electro-fucked-and-tormented</t>
  </si>
  <si>
    <t>mona wales,lilith luxe</t>
  </si>
  <si>
    <t>https://hcbdsm.com/video/103682/fucked-and-bound-2014-04-04-newbie-gets-brutally-fucked-in-tight-bondage-derrick-pierce-sophia-locke/</t>
  </si>
  <si>
    <t>sophia locke</t>
  </si>
  <si>
    <t>https://bdsmstreak.com/video/77281</t>
  </si>
  <si>
    <t>chloe cherry</t>
  </si>
  <si>
    <t>https://bdsmstreak.com/video/89580/nikki-darling-katharine-cane-complete-edited-live-show</t>
  </si>
  <si>
    <t>mz berlin,nikki darling,katherine cane</t>
  </si>
  <si>
    <t>https://bdsmstreak.com/video/73624/no-cuntry-for-dirty-sluts</t>
  </si>
  <si>
    <t>dakota skye,carter cruise</t>
  </si>
  <si>
    <t>https://bdsmstreak.com/video/70421/no-holds-barred-daisy-ducati-shocks-fucks-lesbian-pain-slut</t>
  </si>
  <si>
    <t>daisy ducati,london river</t>
  </si>
  <si>
    <t>https://bdsmstreak.com/video/87967/sex-and-submission-obedient-girl-sensi-pearl</t>
  </si>
  <si>
    <t>https://bdsmstreak.com/video/68870/office-take-down</t>
  </si>
  <si>
    <t>felony,isis love,luscious lopez</t>
  </si>
  <si>
    <t>https://hcbdsm.com/video/97408/omega-fucks-another-tiny-brunette-into-sub-space2/</t>
  </si>
  <si>
    <t>seda</t>
  </si>
  <si>
    <t>https://hcbdsm.com/video/89756/one-badass-bitch-mona-wales/</t>
  </si>
  <si>
    <t>mona wales</t>
  </si>
  <si>
    <t>https://bdsmstreak.com/video/89992/one-girl-is-stretched-to-the-limit-of-her-body-the-other-takes-the-cane-and-takes-it-hard</t>
  </si>
  <si>
    <t>https://bdsmstreak.com/video/68826/one-tough-bitch-holly-heart-and-maestro</t>
  </si>
  <si>
    <t>holly heart</t>
  </si>
  <si>
    <t>https://www.twistedfactory.com/shoot/26969</t>
  </si>
  <si>
    <t>dia zerva</t>
  </si>
  <si>
    <t>https://www.kink.com/shoot/11747</t>
  </si>
  <si>
    <t>https://bdsmstreak.com/video/92806/penned-in</t>
  </si>
  <si>
    <t>trina micheals</t>
  </si>
  <si>
    <t>https://hcbdsm.com/video/95091/petite-asian-bondage-virgin-gets-a-dose-of-suffering2/</t>
  </si>
  <si>
    <t>alina li</t>
  </si>
  <si>
    <t>https://www.twistedfactory.com/shoot/35502</t>
  </si>
  <si>
    <t>jeze belle</t>
  </si>
  <si>
    <t>https://bdsmstreak.com/video/80570/petite-bondage-slut-sensi-pearl</t>
  </si>
  <si>
    <t>https://hcbdsm.com/video/93824/phoenix-marie-gets-her-ass-fisted-in-bondage/</t>
  </si>
  <si>
    <t>phoenix marie,donna dolore</t>
  </si>
  <si>
    <t>https://www.kink.com/shoot/39366</t>
  </si>
  <si>
    <t>casey calvert,piper perri</t>
  </si>
  <si>
    <t>kink bound gang bangs</t>
  </si>
  <si>
    <t>emma haize</t>
  </si>
  <si>
    <t>https://bdsmstreak.com/video/72527/popping-the-cherry</t>
  </si>
  <si>
    <t>https://hcbdsm.com/video/105177/presenting-chloe-s-cunt-folded-opened-and-exposed2/</t>
  </si>
  <si>
    <t>chloe camilla,payton bell</t>
  </si>
  <si>
    <t>https://bdsmstreak.com/video/83230/pussy-princess-donna-is-sandras-electrosubmissive</t>
  </si>
  <si>
    <t>sandra romain,donna dolore</t>
  </si>
  <si>
    <t>https://bdsmstreak.com/video/91771/princess-donnas-bday-bash</t>
  </si>
  <si>
    <t>jade indica,donna dolore</t>
  </si>
  <si>
    <t>https://hcbdsm.com/video/88742/public-gangbang-3/</t>
  </si>
  <si>
    <t>sarah jane ceylon</t>
  </si>
  <si>
    <t>1f-fmgb</t>
  </si>
  <si>
    <t>https://bdsmstreak.com/video/71370/pushing-her-buttons</t>
  </si>
  <si>
    <t>mandy muse</t>
  </si>
  <si>
    <t>https://hcbdsm.com/video/103972/sex-and-submission-pushing-limits-with-hardcore-bdsm-sex/</t>
  </si>
  <si>
    <t>https://hcbdsm.com/video/95620/rain-degrey-makes-ashli-orion-cum-in-an-inverted-suspension3/</t>
  </si>
  <si>
    <t>ashli orion,rain degrey</t>
  </si>
  <si>
    <t>https://bdsmstreak.com/video/89936/red-hair-fair-skin-finger-fucked-machine-fucked-extreme-nipple-play-hot-wax-hard-caning</t>
  </si>
  <si>
    <t>https://bdsmmansion.com/video/15542/red-head-with-massive-huge-tits-then-it-must-be-berlin-we-love-a-girl-who-loves-bondage/</t>
  </si>
  <si>
    <t>https://www.kink.com/shoot/6561</t>
  </si>
  <si>
    <t>dana dearmond</t>
  </si>
  <si>
    <t>https://bdsmstreak.com/video/92822/sara-faye-elyse-and-claire-adams</t>
  </si>
  <si>
    <t>2f-1f1m,blindfold</t>
  </si>
  <si>
    <t>https://hcbdsm.com/video/109224/sarah-shevon-the-pile-driver/</t>
  </si>
  <si>
    <t>sarah shevon</t>
  </si>
  <si>
    <t>https://www.kink.com/shoot/7570</t>
  </si>
  <si>
    <t>sasha yung</t>
  </si>
  <si>
    <t>cute,anal hook,asian</t>
  </si>
  <si>
    <t>chloe cherry,michele james</t>
  </si>
  <si>
    <t>https://www.twistedfactory.com/shoot/35957</t>
  </si>
  <si>
    <t>https://hcbdsm.com/video/81160/service-session-clit-appreciation-day/</t>
  </si>
  <si>
    <t>cherry torn,bella rossi</t>
  </si>
  <si>
    <t>2f-1m,anal hook</t>
  </si>
  <si>
    <t>https://bdsmstreak.com/video/89780/sexy-bad-girl-tamed-by-chain</t>
  </si>
  <si>
    <t>rozen debowe</t>
  </si>
  <si>
    <t>https://bdsmstreak.com/video/74396/sexy-brunette-experiences-nipple-torture-brutal-crotch-rope-and-extreme-bondage</t>
  </si>
  <si>
    <t>https://bdsmstreak.com/video/89596/sheena-shaw-rough-rider</t>
  </si>
  <si>
    <t>https://www.kink.com/shoot/6106</t>
  </si>
  <si>
    <t>https://bdsmstreak.com/video/69769/slutty-anal-nurses</t>
  </si>
  <si>
    <t>amber rayne,dana dearmond</t>
  </si>
  <si>
    <t>https://bdsmstreak.com/video/80742/stella-cox-learns-the-hard-way-not-to-mess-with-a-dommes-money</t>
  </si>
  <si>
    <t>stella cox,ariel x</t>
  </si>
  <si>
    <t>https://bdsmstreak.com/video/88689/sex-and-submission-riley-reid-step-sister-slut-featuring-riley-reid</t>
  </si>
  <si>
    <t>riley reid</t>
  </si>
  <si>
    <t>https://bdsmstreak.com/video/87337/sexually-broken-penny-lay-jessie-dean-stock-fucked</t>
  </si>
  <si>
    <t>penny lay</t>
  </si>
  <si>
    <t>https://bdsmstreak.com/video/74088/stolen-goods</t>
  </si>
  <si>
    <t>chanel preston,riley evans,jessie rogers</t>
  </si>
  <si>
    <t>2f-1f1m,fist</t>
  </si>
  <si>
    <t>https://www.kink.com/shoot/7131</t>
  </si>
  <si>
    <t>felony,cherries jubalie</t>
  </si>
  <si>
    <t>https://bdsmstreak.com/video/76873/super-cute-blond-is-tormented-cloths-pins-on-her-body-are-ripped-off-made-to-cum-over-and-over</t>
  </si>
  <si>
    <t>chloe camilla,rain degrey</t>
  </si>
  <si>
    <t>https://bdsmstreak.com/video/91743/super-flexible-sensi-pearl-gets-tied-up-and-fucked</t>
  </si>
  <si>
    <t>https://bdsmstreak.com/video/93973/super-sexy-alt-pain-slut-captured-in-brutal-bondage-and-tormented</t>
  </si>
  <si>
    <t>kleio valentien</t>
  </si>
  <si>
    <t>https://bdsmstreak.com/video/69208/super-slut</t>
  </si>
  <si>
    <t>https://www.twistedfactory.com/shoot/30448</t>
  </si>
  <si>
    <t>dylan ryan</t>
  </si>
  <si>
    <t>https://bdsmstreak.com/video/74582/tall-long-legged-blond-is-hung-upside-down-made-to-cumchoked-clamped-abused-left-hanging</t>
  </si>
  <si>
    <t>https://hcbdsm.com/video/81829/the-electroslut-next-door/</t>
  </si>
  <si>
    <t>dresden,daisy ducati</t>
  </si>
  <si>
    <t>https://www.twistedfactory.com/shoot/26968</t>
  </si>
  <si>
    <t>https://www.kink.com/shoot/6648</t>
  </si>
  <si>
    <t>madeline marlowe,nicotine</t>
  </si>
  <si>
    <t>1f-1f,enema</t>
  </si>
  <si>
    <t>https://bdsmstreak.com/video/71674/the-intern</t>
  </si>
  <si>
    <t>https://www.kink.com/shoot/13834</t>
  </si>
  <si>
    <t>https://bdsmstreak.com/video/93998/the-naive-model-and-the-creepy-photographer</t>
  </si>
  <si>
    <t>dakota skye</t>
  </si>
  <si>
    <t>https://bdsmstreak.com/video/93587/the-new-bitch</t>
  </si>
  <si>
    <t>https://bdsmstreak.com/video/70025/the-new-bitch</t>
  </si>
  <si>
    <t>https://bdsmstreak.com/video/88715/sex-and-submission-the-night-nurse-dani-daniels</t>
  </si>
  <si>
    <t>https://bdsmstreak.com/video/94000/the-return-of-darling</t>
  </si>
  <si>
    <t>https://bdsmstreak.com/video/83324/bondage-the-sarge-meets-mia-bangg</t>
  </si>
  <si>
    <t>mia bangg</t>
  </si>
  <si>
    <t>submerged</t>
  </si>
  <si>
    <t>https://heavyfetish.com/videos/12468/graias-the-terminator-the-groovy-and-the-faithful-slave-04/</t>
  </si>
  <si>
    <t>graias</t>
  </si>
  <si>
    <t>groovy,terminator,slave</t>
  </si>
  <si>
    <t>https://www.kink.com/shoot/6350</t>
  </si>
  <si>
    <t>harmony,rebecca blue</t>
  </si>
  <si>
    <t>https://bdsmstreak.com/video/43566/tied-together-kate-kennedy-and-dolly-mattel</t>
  </si>
  <si>
    <t>kate kenzie,dolly mattel</t>
  </si>
  <si>
    <t>https://bdsmmansion.com/video/11463/latina-bound-to-wood-stake-and-fucked-jynx-maze/</t>
  </si>
  <si>
    <t>jynx maze</t>
  </si>
  <si>
    <t>odette delacroix</t>
  </si>
  <si>
    <t>https://hcbdsm.com/video/107222/tiny-blonde-tied-up-and-ass-fucked-in-public2/</t>
  </si>
  <si>
    <t>https://www.eporner.com/video-bBBbPvnEkFe/tiny-casey-calvert-is-inverted-skull-fucked-pussy/</t>
  </si>
  <si>
    <t>casey calvert,dee williams</t>
  </si>
  <si>
    <t>https://bdsmstreak.com/video/70073/tiny-sex-kitten-isabella-nice-submits-in-rope-bondage-and-anal-fucking</t>
  </si>
  <si>
    <t>isabella nice</t>
  </si>
  <si>
    <t>https://www.twistedfactory.com/shoot/37110</t>
  </si>
  <si>
    <t>bailey paige</t>
  </si>
  <si>
    <t>https://bdsmstreak.com/video/89701/tomi-knox-assaults-fuck-doll-kristine-kahill-with-creative-devices-and-sadism</t>
  </si>
  <si>
    <t>kristine kahill</t>
  </si>
  <si>
    <t>https://bdsmstreak.com/video/76888/tough-as-nails</t>
  </si>
  <si>
    <t>elise graves,donna dolore</t>
  </si>
  <si>
    <t>https://bdsmstreak.com/video/76669/tough-as-nails-cassandra-nix</t>
  </si>
  <si>
    <t>cassandra nix</t>
  </si>
  <si>
    <t>https://hcbdsm.com/video/110053/tough-blonde-bombshell-fan-favorite-lorelei-lee-complete-edited-live-show3/</t>
  </si>
  <si>
    <t>https://bdsmstreak.com/video/81358/tracey-sweet</t>
  </si>
  <si>
    <t>https://bdsmstreak.com/video/72136/two-cunts-one-game</t>
  </si>
  <si>
    <t>https://www.kink.com/shoot/7102</t>
  </si>
  <si>
    <t>jade indica,donna dolore,ariel x</t>
  </si>
  <si>
    <t>https://hcbdsm.com/video/19100/bdsm-vendetta/</t>
  </si>
  <si>
    <t>vendetta</t>
  </si>
  <si>
    <t>https://bdsmstreak.com/video/88424/fucked-and-bound-2014-07-11-vulgar-display-of-power-on-ebony-slut-skin-diamond-tommy-pistol</t>
  </si>
  <si>
    <t>skin diamond</t>
  </si>
  <si>
    <t>https://bdsmstreak.com/video/94014/welcome-sheena-shaw</t>
  </si>
  <si>
    <t>https://www.kink.com/shoot/4937</t>
  </si>
  <si>
    <t>https://bdsmstreak.com/video/80469/wenona-suffers</t>
  </si>
  <si>
    <t>wenona,felony</t>
  </si>
  <si>
    <t>https://bdsmstreak.com/video/93392/wenona-the-sarge</t>
  </si>
  <si>
    <t>2f-1m,live,flog,cage,cane,body clothespin,sybian,metal bondage</t>
  </si>
  <si>
    <t>Amber Rayne Returns to Device Bondage</t>
  </si>
  <si>
    <t>Sensual Fuck With Hot Brunette Holly - S9:E17</t>
  </si>
  <si>
    <t>New Recruit: Crew Member Electro Fucked and Tormented</t>
  </si>
  <si>
    <t>taser at 12m,wire in ass at 20m</t>
  </si>
  <si>
    <t>undress at 3m</t>
  </si>
  <si>
    <t>oiled with spray</t>
  </si>
  <si>
    <t>SEXUALLY BROKEN - Annie Cruz Trapped in a Piledriver</t>
  </si>
  <si>
    <t>Body Language - S9:E17</t>
  </si>
  <si>
    <t>doggy,cowgirl,69</t>
  </si>
  <si>
    <t>19yr old fashion &amp; fitness model made to cum so hard she can't even beg for mercy. Totally destroyed</t>
  </si>
  <si>
    <t>Claire Dames and Wenona There is something you don't see everyday</t>
  </si>
  <si>
    <t>pretzel</t>
  </si>
  <si>
    <t>anal hook while facing away down</t>
  </si>
  <si>
    <t>anal hook,cane,nipple clamps weights,fingering</t>
  </si>
  <si>
    <t>Anal Audition: Skylar sweats through a hot soapy enema</t>
  </si>
  <si>
    <t>enema,vibrator</t>
  </si>
  <si>
    <t>pussy flog at 0m,nipple suction at 2m,anal hook at 9m</t>
  </si>
  <si>
    <t>enema from a bag</t>
  </si>
  <si>
    <t>AnnaBelle Lee NO MAS NO MAS</t>
  </si>
  <si>
    <t>vibrator,cane,dildo stick,fucking machine</t>
  </si>
  <si>
    <t>inverted and caned at 0m</t>
  </si>
  <si>
    <t>19yr orgasmed past the breaking point. Can someone be orgasmed to insanity? We almost found out!</t>
  </si>
  <si>
    <t>Jessica Sexin and Isis Love</t>
  </si>
  <si>
    <t>Kayla Paige and Tory Lane</t>
  </si>
  <si>
    <t>Sasha has soooo many firsts! Anal &amp; squirt!</t>
  </si>
  <si>
    <t>Jade Indica fucks her own ass in suspension!</t>
  </si>
  <si>
    <t>The Virgin</t>
  </si>
  <si>
    <t>Day of Reckoning</t>
  </si>
  <si>
    <t>Wenona put into extreme bondage!!!</t>
  </si>
  <si>
    <t>Double Trouble</t>
  </si>
  <si>
    <t>Painful Intimacy</t>
  </si>
  <si>
    <t>Blair Bitch Project</t>
  </si>
  <si>
    <t>Hall of FuckingMachines FAME: The Top of the Fuck Chain</t>
  </si>
  <si>
    <t>Fisting Class</t>
  </si>
  <si>
    <t>Killing the Machines with Pussy SQUIRT: Cytherea and Dylan Ryan</t>
  </si>
  <si>
    <t>The Interview: Part 2</t>
  </si>
  <si>
    <t>All Anal Slave Girls Training the Gape!</t>
  </si>
  <si>
    <t>Dual Pleasures.... Adrianna Nicole &amp; Claire Adams</t>
  </si>
  <si>
    <t>Alexa Von Tess</t>
  </si>
  <si>
    <t>Devastating Darling</t>
  </si>
  <si>
    <t>Tall Blond Bombshell Taken Down</t>
  </si>
  <si>
    <t>Petite Blonde Gets Destroyed in Extreme Bondage</t>
  </si>
  <si>
    <t>Resistance is Futile.... Dana gives into her lust and aching asshole</t>
  </si>
  <si>
    <t>Looking for Trouble</t>
  </si>
  <si>
    <t>Bent</t>
  </si>
  <si>
    <t>Electrical Interrogation</t>
  </si>
  <si>
    <t>Screaming Through the Pain</t>
  </si>
  <si>
    <t>Helpless Whore Devastated by Extreme Bondage</t>
  </si>
  <si>
    <t xml:space="preserve">The Gentle Approach to Heavy Ass Fucking! </t>
  </si>
  <si>
    <t>Madison Young and Sandra Romain</t>
  </si>
  <si>
    <t>Two of the hottest and toughest porn stars team up for one explosive update!!!!</t>
  </si>
  <si>
    <t>Piper Perri's Sex Slave Initiation</t>
  </si>
  <si>
    <t>Scandalous Anal College Admission For Bratty Step-Daughter</t>
  </si>
  <si>
    <t>Submission to pain..... Cherries &amp; Felony</t>
  </si>
  <si>
    <t>Blonde college student is subjected to extreme suffering</t>
  </si>
  <si>
    <t>A Tale of Kasey and Casey</t>
  </si>
  <si>
    <t>Mommies Know Best: Gorgeous MILFs Train Disobedient Young Girls</t>
  </si>
  <si>
    <t>The Fuck Doll</t>
  </si>
  <si>
    <t>DEVICE BONDAGE - Tara Lynn Fox</t>
  </si>
  <si>
    <t>Tara Lynn Fox INVERTAFUCKED</t>
  </si>
  <si>
    <t>WIRED PUSSY - The Cattleprod</t>
  </si>
  <si>
    <t>The Cattleprod</t>
  </si>
  <si>
    <t>Trinity Post - EverythingButt</t>
  </si>
  <si>
    <t>Trinity is back for more water &amp; deep ass fucking…</t>
  </si>
  <si>
    <t>Audrey Rose’s Submission &amp; Rough Fucking in BDSM</t>
  </si>
  <si>
    <t>Intense Submission: Audrey Rose</t>
  </si>
  <si>
    <t>Yes Mistress: April Olsen and JJ Graves</t>
  </si>
  <si>
    <t>April Olsen: Pegging Passion – Femdom &amp; Rough Anal</t>
  </si>
  <si>
    <t xml:space="preserve">Clean and clear </t>
  </si>
  <si>
    <t xml:space="preserve">Felony cleaned out &amp; anally splayed open </t>
  </si>
  <si>
    <t>Mediaval Chambers</t>
  </si>
  <si>
    <t xml:space="preserve">No Safe Word </t>
  </si>
  <si>
    <t>Dominatrix 6 – No Safe Word</t>
  </si>
  <si>
    <t>My StepMother is a Secret Sex Slave</t>
  </si>
  <si>
    <t>My Step-Mother is a Secret Sex Slave</t>
  </si>
  <si>
    <t>Nineteen Year Old Beauty</t>
  </si>
  <si>
    <t>Kink – Avery Black – Sex And Submission</t>
  </si>
  <si>
    <t>Snatched Up</t>
  </si>
  <si>
    <t>Mistress Adria Rae Rewards Her Sweet Boy Sage Roux</t>
  </si>
  <si>
    <t>Adria Rae - Femdom Scene</t>
  </si>
  <si>
    <t>Pain Does Get Her Going Further</t>
  </si>
  <si>
    <t>Aiden Ashley: Suffering Slut in savage Bondage</t>
  </si>
  <si>
    <t xml:space="preserve">Sensi Pearl in DeviceBondage </t>
  </si>
  <si>
    <t>Sensi Pearl: Petite Brunette Tormented and Made to Squirt</t>
  </si>
  <si>
    <t>Daisy's Promotion</t>
  </si>
  <si>
    <t>Squirt Alert! From the ass that keeps on taking</t>
  </si>
  <si>
    <t xml:space="preserve">Bondage Fetish - Kaitlyn Katsaros </t>
  </si>
  <si>
    <t>Gratuitous Torment</t>
  </si>
  <si>
    <t>A Double Debut</t>
  </si>
  <si>
    <t>INFERNAL RESTRAINTS - CURIOUS ELISE BONUS</t>
  </si>
  <si>
    <t xml:space="preserve">infernalrestraints.com - CURIOUS ELISE BONUS - Elise Graves </t>
  </si>
  <si>
    <t>https://www.kink.com/shoot/106509</t>
  </si>
  <si>
    <t>All For Me</t>
  </si>
  <si>
    <t>Ashley Lane: Pain Slut Brutally Tormented in Device Bondage</t>
  </si>
  <si>
    <t>Ashley Lane: Pain Slut Intense Tormented in Device Bondage</t>
  </si>
  <si>
    <t>Melody Marks</t>
  </si>
  <si>
    <t>Dungeon Corp – A Thorough Introduction to BDSM – Melody Marks</t>
  </si>
  <si>
    <t>Divine Bitches – Training Of A Bitchboy</t>
  </si>
  <si>
    <t>https://www.kink.com/shoot/8236</t>
  </si>
  <si>
    <t>aiden starr</t>
  </si>
  <si>
    <t>Chastity Tease and Denial: "Hump the Air Bitchboy" Episode 3</t>
  </si>
  <si>
    <t xml:space="preserve">Ariel X and Gia DiMarco - Lezdom HD </t>
  </si>
  <si>
    <t>"You Own Me" A fantasy feature film: A story of savage revenge &amp; sexual mental domination</t>
  </si>
  <si>
    <t>Face down ass up x 2</t>
  </si>
  <si>
    <t>Mistress makes slave be in chastity him too</t>
  </si>
  <si>
    <t xml:space="preserve">Educating a Bitch Boy Episode: 1 </t>
  </si>
  <si>
    <t>january seraph</t>
  </si>
  <si>
    <t>Spank me lascivious</t>
  </si>
  <si>
    <t>LONG MARCH - JESSICA</t>
  </si>
  <si>
    <t>Feisty Brunette Babe Bosses Around Her Asian Group in Lingerie</t>
  </si>
  <si>
    <t>Super Flexible Sensi Pearl Gets Tied up and Fucked</t>
  </si>
  <si>
    <t>HOGTIED - Charlotte Cross 2</t>
  </si>
  <si>
    <t>Princess Revisits Hogtied to Prove Herself to The Pope</t>
  </si>
  <si>
    <t>Chastity Woes: Episode 2</t>
  </si>
  <si>
    <t>https://bdsmstreak.com/video/75507/chastity-woes-episode-2</t>
  </si>
  <si>
    <t xml:space="preserve">Chastity Woes: Episode 2 </t>
  </si>
  <si>
    <t>Going for Gold</t>
  </si>
  <si>
    <t>https://bdsmstreak.com/video/95371/going-for-gold</t>
  </si>
  <si>
    <t>WIRED PUSSY – Annabelle Lee</t>
  </si>
  <si>
    <t>Annabelle Lee</t>
  </si>
  <si>
    <t>annabelle lee,donna dolore</t>
  </si>
  <si>
    <t>DEVICE BONDAGE Amber Rayne</t>
  </si>
  <si>
    <t xml:space="preserve">Ash and Allie </t>
  </si>
  <si>
    <t>ash hollywood,allie james</t>
  </si>
  <si>
    <t>FLOOD: Submissive Women Bound in Metal and Made to Squirt</t>
  </si>
  <si>
    <t>https://bdsmmansion.com/video/15258/flood-submissive-women-bound-in-metal-and-made-to-squirt/</t>
  </si>
  <si>
    <t>3f-1f1m,flog at 18m,nipple mousetrap at 34m,spike wheel on pussy at 35m</t>
  </si>
  <si>
    <t>Bdsm Session With Janice GriffithFLOOD: Submissive Women Bound in Metal and Made to Squirt</t>
  </si>
  <si>
    <t>Dominating Nerd Boy</t>
  </si>
  <si>
    <t>https://bdsmstreak.com/video/69888/dominating-nerd-boy</t>
  </si>
  <si>
    <t xml:space="preserve">Dominating Nerd Boy </t>
  </si>
  <si>
    <t>The Reward</t>
  </si>
  <si>
    <t>https://bdsmstreak.com/video/69656/the-reward</t>
  </si>
  <si>
    <t>1f1m-1f,balls tied to ground at 8m,ice on back at 19m,spitroast at 31m,face dildo at 39m</t>
  </si>
  <si>
    <t>Piper Perri Gets it Rough</t>
  </si>
  <si>
    <t>DungeonCorp - Helplessness</t>
  </si>
  <si>
    <t>Society SM – Sia Helplessness – Sia Lust</t>
  </si>
  <si>
    <t>https://bdsmstreak.com/video/91062/infernal-restraints-katie-kush-crush</t>
  </si>
  <si>
    <t xml:space="preserve">INFERNAL RESTRAINTS - Katie Kush - Crush </t>
  </si>
  <si>
    <t xml:space="preserve">infernalrestraints.com - CRASH - Katie Kush </t>
  </si>
  <si>
    <t>No Mercy Under Heavy Submission</t>
  </si>
  <si>
    <t>Katie Kush: Bendy Bitch in Bondage</t>
  </si>
  <si>
    <t>HARDTIED - ﻿Cherie DeVille Deception</t>
  </si>
  <si>
    <t xml:space="preserve">Deception – Cherie DeVille HardTied com </t>
  </si>
  <si>
    <t xml:space="preserve">Riley Reid Paige Owens Anal Threesome </t>
  </si>
  <si>
    <t>Take My Girlfriend For Your Birthday</t>
  </si>
  <si>
    <t>INFERNAL RESTRAINTS - Dakota Marr - Wrong House - Pretzel</t>
  </si>
  <si>
    <t xml:space="preserve">infernalrestraints.com - Wrong House: Pretzel - Dakota Marr </t>
  </si>
  <si>
    <t>https://bdsmstreak.com/video/86730/infernal-restraints-dakota-marr-wrong-house-pretzel</t>
  </si>
  <si>
    <t>Lauren Phillips and Ashley Lane used Brutally in Dungeon</t>
  </si>
  <si>
    <t xml:space="preserve">infernalrestraints.com - Paired - Lauren Phillips | Ashley Lane </t>
  </si>
  <si>
    <t>Hazel Hypnotic - Part 4</t>
  </si>
  <si>
    <t>Hybristophilia – Surrealism Episode 4 (Hazel Hypnotic)</t>
  </si>
  <si>
    <t>insex infernal restraints</t>
  </si>
  <si>
    <t>insex hardtied</t>
  </si>
  <si>
    <t>Rope Walk</t>
  </si>
  <si>
    <t xml:space="preserve">20010110 - Tyler Scot - Insex </t>
  </si>
  <si>
    <t xml:space="preserve">hardtied.com - Glass Injection - Wenona </t>
  </si>
  <si>
    <t>HARDTIED -﻿ ﻿Wenona Glass Injection</t>
  </si>
  <si>
    <t>INSEX - Burning Bush (313)</t>
  </si>
  <si>
    <t>llela 313</t>
  </si>
  <si>
    <t>insex sexually broken</t>
  </si>
  <si>
    <t xml:space="preserve">Riding On An Unsafe Thrill - Liv Revamped </t>
  </si>
  <si>
    <t>Steel and Leather</t>
  </si>
  <si>
    <t>Kinky femdom porn clip</t>
  </si>
  <si>
    <t>bondage techniques for a male sub part 2 hislut</t>
  </si>
  <si>
    <t>adria rae,anna bell</t>
  </si>
  <si>
    <t>Tough Anna Bell Peaks and Adria Rae - kink video - The Lesbian Experience</t>
  </si>
  <si>
    <t>https://ok.porn/video/122346/</t>
  </si>
  <si>
    <t>ZIPPED</t>
  </si>
  <si>
    <t>Whipping 6728465</t>
  </si>
  <si>
    <t xml:space="preserve">BDSM T0RTURE CHAlR </t>
  </si>
  <si>
    <t>BDSM Hardcore Anal Fuck Skinny Big Tits Teen Loud Orgasm While Ass Fucked Rough - WHORNYFILMS.COM</t>
  </si>
  <si>
    <t>evilyn jezebel</t>
  </si>
  <si>
    <t>Doll House Evilyn Jezebel</t>
  </si>
  <si>
    <t>https://www.xvideos2.com/video.uutkhhke7a9/bdsm_hardcore_anal_fuck_skinny_big_tits_teen_loud_orgasm_while_ass_fucked_rough_-_whornyfilms.com</t>
  </si>
  <si>
    <t>Slave AnaKatana gets throat trained on the ThroatMaster 2! Predicament latex bondage! HARDCORE BDSM</t>
  </si>
  <si>
    <t>TKI-039 MASOTRONIX 08</t>
  </si>
  <si>
    <t>Lesbian teens licking each others pussies</t>
  </si>
  <si>
    <t>https://bdsmstreak.com/video/66353/the-fetish-shop-storythieves-deserves-cruel-punishment-extreme-bdsm-moviethe-full-movie</t>
  </si>
  <si>
    <t>The Fetish Shop Story.thieves Deserves Cruel Punishment. Extreme Bdsm Movie.the Full Movie.</t>
  </si>
  <si>
    <t>Double zippers and a double Sybians These girls are made to cum until they forget their names</t>
  </si>
  <si>
    <t>https://bdsmstreak.com/video/69045/double-zippers-and-a-double-sybians-these-girls-are-made-to-cum-until-they-forget-their-names</t>
  </si>
  <si>
    <t>Latex Goddess Julia Ann Dominates Dripping Cock Whore</t>
  </si>
  <si>
    <t>HOGTIED - Beretta James - Challenged with Wanton Cruelty</t>
  </si>
  <si>
    <t>Beretta - Challenged with Wanton Cruelty</t>
  </si>
  <si>
    <t>19 year old's Fierce Introduced to the Bitches!</t>
  </si>
  <si>
    <t>Jade Indica gets Spanked and Shocked in hot Lesbian BDSM Scene</t>
  </si>
  <si>
    <t>https://bdsmstreak.com/video/74140/jade-indica-gets-spanked-and-shocked-in-hot-lesbian-bdsm-scene</t>
  </si>
  <si>
    <t xml:space="preserve">Jade Indica gets Spanked and Shocked in hot Lesbian BDSM Scene </t>
  </si>
  <si>
    <t>Filling The Void</t>
  </si>
  <si>
    <t>https://bdsmstreak.com/video/71098/filling-the-void</t>
  </si>
  <si>
    <t xml:space="preserve">Filling The Void </t>
  </si>
  <si>
    <t>Lesbian mistress bondage</t>
  </si>
  <si>
    <t>Scorned No More</t>
  </si>
  <si>
    <t>https://www.tnaflix.com/amateur-porn/Maintain-your-balance%21/video24986231</t>
  </si>
  <si>
    <t>Maintain your balance! (Octavia Red)</t>
  </si>
  <si>
    <t>Arabelle's Trashcan: Arabelle Raphael Destroys Marcelo</t>
  </si>
  <si>
    <t>https://bdsmstreak.com/video/89632/arabelles-trashcan-arabelle-raphael-destroys-marcelo</t>
  </si>
  <si>
    <t>HOGTIED - Abella Danger - Masochistic Pain Slut</t>
  </si>
  <si>
    <t>Sensi Pearl on WiredPussy</t>
  </si>
  <si>
    <t>Sexy Sensi learns to love electro</t>
  </si>
  <si>
    <t>Bondage Slut</t>
  </si>
  <si>
    <t>Hogtied - Katrina Colt</t>
  </si>
  <si>
    <t>Return of the Pain Slut: Katrina Colt</t>
  </si>
  <si>
    <t>https://bdsmstreak.com/video/95413/return-of-the-pain-slut-katrina-colt</t>
  </si>
  <si>
    <t>prepare and bind by rope at 7m (super hot),flog at 9m,pussy flog at 27m,ass up at 38m</t>
  </si>
  <si>
    <t>Psycho Bitch</t>
  </si>
  <si>
    <t>Kink - Psycho Bitch</t>
  </si>
  <si>
    <t>DEVICE BONDAGE Cherry Torn</t>
  </si>
  <si>
    <t>Unforgiving Metal</t>
  </si>
  <si>
    <t>Gorgeous Gusher</t>
  </si>
  <si>
    <t>https://pornone.com/au/domination/dungeon-sex-penny-barber-gorgeous-gusher/280045959/</t>
  </si>
  <si>
    <t>dungeon sex penny barber gorgeous gusher</t>
  </si>
  <si>
    <t>strip at 6m,tit flog at 6m,oiled at 15m,foot in pussy at 35m</t>
  </si>
  <si>
    <t xml:space="preserve">The Sadist's Apprentice </t>
  </si>
  <si>
    <t>The Sadist's Apprentice</t>
  </si>
  <si>
    <t>Sasha Sparks and Lacie Hart</t>
  </si>
  <si>
    <t>Riley Reid And Melissa Moore Hot StepSisters</t>
  </si>
  <si>
    <t>Twinning 2: Part Two by Girlsway</t>
  </si>
  <si>
    <t>I'm Gonna Fuck You Up</t>
  </si>
  <si>
    <t>https://www.femdomvc.com/video/139784/riley-reid-and-ryan-reid-im-gonna-fuck-you-up-hotandmean/</t>
  </si>
  <si>
    <t>Riley Reid And Ryan Reid - Im Gonna Fuck You Up - HotAndMean</t>
  </si>
  <si>
    <t>https://abxxx.com/video/485066/lie-face-down/?campaign_id=520379779&amp;subid1=79779</t>
  </si>
  <si>
    <t>Lie Face Down</t>
  </si>
  <si>
    <t>FOOT FISTING - ABBY</t>
  </si>
  <si>
    <t>Shameless dykes LESDOM breathtaking xxx scene</t>
  </si>
  <si>
    <t>abby,jessica</t>
  </si>
  <si>
    <t>Chastity tease with Melody Pleasure and Cheffie Shot</t>
  </si>
  <si>
    <t>https://www.whoreshub.com/videos/365457/mollyredwolf-valorant-viper-fuck-her-teammate-femdom/</t>
  </si>
  <si>
    <t>mollyredwolf</t>
  </si>
  <si>
    <t>Mollyredwolf - Valorant Viper Fuck Her Teammate Femdom</t>
  </si>
  <si>
    <t>1f-1f,fist,oiled,foot in ass,vibrator</t>
  </si>
  <si>
    <t>Whole Foot Into Her Ass - Siswet</t>
  </si>
  <si>
    <t>Princess of Kink</t>
  </si>
  <si>
    <t>https://bdsmstreak.com/video/88158/sex-and-submission-princess-of-kink</t>
  </si>
  <si>
    <t>SEX AND SUBMISSION - Princess of Kink</t>
  </si>
  <si>
    <t>Japanese Mistress Whipping Training Male Slave and Female Slave at the Same Time</t>
  </si>
  <si>
    <t>Butt Sluts: Casey Calvert and Katja Kassin</t>
  </si>
  <si>
    <t xml:space="preserve">Welcome Mz Berlin to Divine Bitches! </t>
  </si>
  <si>
    <t>A Ruthless Work Environment</t>
  </si>
  <si>
    <t>MILF with a tiny body and HUGE tits Gangbanged by Co-Workers</t>
  </si>
  <si>
    <t>SEX AND SUBMISSION - Feeding the Gimp</t>
  </si>
  <si>
    <t>Feeding the Gimp</t>
  </si>
  <si>
    <t>Cheerleader and dominant brunette</t>
  </si>
  <si>
    <t xml:space="preserve">Halloween Party! </t>
  </si>
  <si>
    <t>DEVICE BONDAGE Claire Adams Tricia Oaks</t>
  </si>
  <si>
    <t>asphyxiation- we oblige.</t>
  </si>
  <si>
    <t>HOGTIED - Yhivi</t>
  </si>
  <si>
    <t>baylee lee</t>
  </si>
  <si>
    <t>https://hcbdsm.com/video/90672/hot-asian-is-finger-banged-to-multiple-orgasms-then-vibrated-to-multiple-back-and-forth-no-mercy2/</t>
  </si>
  <si>
    <t xml:space="preserve">The Training of David Chase: Episode 1 "one week in chastity" </t>
  </si>
  <si>
    <t>The Training of David Chase: Episode 1 "one week in chastity"</t>
  </si>
  <si>
    <t>Bound and Breathless</t>
  </si>
  <si>
    <t>https://bdsmstreak.com/video/95490/bound-and-breathless</t>
  </si>
  <si>
    <t>New male sub falls deep into sub space like never seen before on Divine Bitches.</t>
  </si>
  <si>
    <t xml:space="preserve"> New male sub falls deep into sub space like never seen before on Divine Bitches. </t>
  </si>
  <si>
    <t>Whore bdsm</t>
  </si>
  <si>
    <t>European Import</t>
  </si>
  <si>
    <t>https://hcbdsm.com/video/82596/european-import/</t>
  </si>
  <si>
    <t>Insex - 20040508 - Burning Bush (313)</t>
  </si>
  <si>
    <t>April Olsen: Helplessly Bound</t>
  </si>
  <si>
    <t>HOGTIED - Kendra James</t>
  </si>
  <si>
    <t>Kendra James Sophistication</t>
  </si>
  <si>
    <t xml:space="preserve">infernalrestraints.com - The Fly (BONUS) - Sister Dee </t>
  </si>
  <si>
    <t>INFERNAL RESTRAINTS - Sister Dee - The Fly</t>
  </si>
  <si>
    <t>Kink - Your Boss is Your Bitch Now</t>
  </si>
  <si>
    <t>Your Boss is Your Bitch Now</t>
  </si>
  <si>
    <t>oiled up at 8m,wax at 20m,chained legs at 24m,not enough bondage or stuff to jerk off to,strapon</t>
  </si>
  <si>
    <t>Alex and Jay – Bondage with Bonnie</t>
  </si>
  <si>
    <t>Fresh Talent</t>
  </si>
  <si>
    <t>Anal Campus Sluts</t>
  </si>
  <si>
    <t>Fist Punching Sarah</t>
  </si>
  <si>
    <t>1f-1f,oiled,massage,stone massage,fingering</t>
  </si>
  <si>
    <t>Riley Reid and Carter Cruise Eating Ass of Eachother and Friends</t>
  </si>
  <si>
    <t>WhenGirlsPlay – Riley Reid And Jill Kassidy – Lesbian Bed Death</t>
  </si>
  <si>
    <t>TWISTYS - When Girls Play - Riley Reid Jill Kassidy - Lesbian Bed Death</t>
  </si>
  <si>
    <t>https://www.tnaflix.com/lesbian-porn/TWISTYS-When-Girls-Play-Riley-Reid-Jill-Kassidy-Lesbian-Bed-Death/video3824953</t>
  </si>
  <si>
    <t>First We Play - S10:E17</t>
  </si>
  <si>
    <t>https://www.porntrex.com/video/1930390/maddy-oreilly-first-we-play</t>
  </si>
  <si>
    <t>Maddy Oreilly First We Play</t>
  </si>
  <si>
    <t>blindfolded guy</t>
  </si>
  <si>
    <t>blowjob,piv,strip,blindfold</t>
  </si>
  <si>
    <t>Melody Marks in her very first professional porn video! excited &amp; nervous!</t>
  </si>
  <si>
    <t>https://www.porntry.com/videos/22564932/d6a61431b1f56521b376baf702bbfded/</t>
  </si>
  <si>
    <t>Kink - Scandalous Anal College Admission For Bratty Step-Daughter</t>
  </si>
  <si>
    <t xml:space="preserve"> Physically Exercise This Dick</t>
  </si>
  <si>
    <t xml:space="preserve">Presley dawson physically exercise this dick </t>
  </si>
  <si>
    <t>https://ukdevilz.com/watch/-155978534_456239968</t>
  </si>
  <si>
    <t>https://www.pornhub.org/view_video.php?viewkey=ph6064cff14a9ce</t>
  </si>
  <si>
    <t>BANGBROS - Petite  Piper Perri Ragdolled By Jmac</t>
  </si>
  <si>
    <t>Melody Marks To Watch A Predator</t>
  </si>
  <si>
    <t>To Watch a Predator</t>
  </si>
  <si>
    <t>HOW DOES IT FIT! TEEN PIPER PERRI SQUIRTS &amp; GETS CREAMPIED BY A MONSTER BBC</t>
  </si>
  <si>
    <t xml:space="preserve">Hot Petite BlondeBabysitter Piper Perri Gets Caught Masturbating </t>
  </si>
  <si>
    <t>https://www.eporner.com/video-LxACPfku8NS/emily-willis/</t>
  </si>
  <si>
    <t>evil angel</t>
  </si>
  <si>
    <t>Latina Emily Willis: Oil-Drenched Anal</t>
  </si>
  <si>
    <t xml:space="preserve">Emily Willis </t>
  </si>
  <si>
    <t>Fucking Wet beer Festival with Selvaggia Balls Petite Body Deep Anal DAP Gapes Pee Drink Swallow GIO953</t>
  </si>
  <si>
    <t>Petite Piper Perri Get  Face Fucked by BBCs</t>
  </si>
  <si>
    <t>Two Beautiful Cock Sluts Entertain the Sunday Brunch Crowd</t>
  </si>
  <si>
    <t>Nikki Darling in Public Disgrace</t>
  </si>
  <si>
    <t>Nikki Darling Surrenders Her Holes In Spanish Nightclub</t>
  </si>
  <si>
    <t>Lew Rubens Alpha Productions Michelle &amp; Drea Liplocked</t>
  </si>
  <si>
    <t>Brooke Lee Adams Orgasmed to near unconsciousness. Seriously.</t>
  </si>
  <si>
    <t>Brooke Lee Adams Orgasmed to near insanity. Seriously.</t>
  </si>
  <si>
    <t>A For Anal</t>
  </si>
  <si>
    <t>SEX AND SUBMISSION - Jane Wilde - Wild Anal Seductress</t>
  </si>
  <si>
    <t>Wild Anal Seductress</t>
  </si>
  <si>
    <t>Black Mailed: Step-Mother &amp; Daughter Sexually Punished</t>
  </si>
  <si>
    <t>DungeonCorp - Katie Kush - Bondage Freak 1</t>
  </si>
  <si>
    <t>DungeonCorp - Sabrina Banks - Introducing His Demons 3</t>
  </si>
  <si>
    <t>DungeonCorp - L.A. Noir 3</t>
  </si>
  <si>
    <t>Shocking Her Holes</t>
  </si>
  <si>
    <t xml:space="preserve">infernalrestraints.com - Shocking The Slut - Cici Rhodes </t>
  </si>
  <si>
    <t xml:space="preserve">infernalrestraints.com - Spa Day - Keira Croft </t>
  </si>
  <si>
    <t>INFERNAL RESTRAINTS - Keira Croft - Spa Day</t>
  </si>
  <si>
    <t>Wenona Gets it Hard Once Again</t>
  </si>
  <si>
    <t>hardtied.com - Sweat - Wenona</t>
  </si>
  <si>
    <t>hardtied.com - Brooke Report - Brooke Johnson</t>
  </si>
  <si>
    <t>hardtied.com - Tied Together - Kate Kenzi | Dolly Mattel</t>
  </si>
  <si>
    <t>Tied Together Kate Kennedy and Dolly Mattel</t>
  </si>
  <si>
    <t>Syren De Mer is ready to endure all sorts of kinky games with her friends</t>
  </si>
  <si>
    <t>sexuallybroken.com - MILF-tastic Syren De Mer on a fucking machine for the 1st time while 2 cocks use her throat hole! - Syren De Mer | Matt Williams | Jack Hammer</t>
  </si>
  <si>
    <t>sexuallybroken.com - Tiny blonde Odette Delacroix bound inside a box and roughly fucked from both ends by cock! - Odette Delacroix | Matt Williams | Jack Hammer</t>
  </si>
  <si>
    <t>Latina Bound To Wood Stake And Fucked - Jynx Maze</t>
  </si>
  <si>
    <t>SEXUALLY BROKEN - The Farmer‘s Daughter</t>
  </si>
  <si>
    <t>sexuallybroken.com - Hot Latina Jynx Maze suffers Rope Bondage is Deep Throated &amp; Roughly Fucked Hogtied &amp; Made to Cum - Jynx Maze | Matt Williams</t>
  </si>
  <si>
    <t>sexuallybroken.com - The Farmer‘s Daughter: Real life fantasies from your favorite porn stars! A feature Presentation! - Allie James | Matt Williams</t>
  </si>
  <si>
    <t>Newbie is Trapped in Evil Devices and Tormented</t>
  </si>
  <si>
    <t>Tiny Sex Kitten Isabella Nice Submits in Rope Bondage and Anal Fucking</t>
  </si>
  <si>
    <t>Mark Davis and Nadia Styles</t>
  </si>
  <si>
    <t>Public Gangbang 3</t>
  </si>
  <si>
    <t>Pom Pom Girl gets Gang Banged by Basketball Coach and Team</t>
  </si>
  <si>
    <t>https://bdsmstreak.com/video/89966/face-down-ass-up-x-2</t>
  </si>
  <si>
    <t>Petite Slut Serena Blair Punished and Made to Cum in Metal Bondage!!</t>
  </si>
  <si>
    <t>DEVICE BONDAGE Isis Love Sensi Pearl 1</t>
  </si>
  <si>
    <t>Alexis Tae: Exploring The Dark Side of Porn</t>
  </si>
  <si>
    <t>https://hcbdsm.com/video/99989/alexis-tae-exploring-the-dark-side-of-porn6/</t>
  </si>
  <si>
    <t>Super Slut</t>
  </si>
  <si>
    <t>alexis tae</t>
  </si>
  <si>
    <t>DEVICE BONDAGE Isis Love Sensi Pearl</t>
  </si>
  <si>
    <t>The Dancer - distraught and teased</t>
  </si>
  <si>
    <t>Super Slut 2: Fistful of Donna</t>
  </si>
  <si>
    <t>DEVICE BONDAGE Lily 2</t>
  </si>
  <si>
    <t>Two Mean Bitches and One Worthless Little Prick</t>
  </si>
  <si>
    <t>Basement Bitch Cuckold</t>
  </si>
  <si>
    <t>https://hcbdsm.com/video/95532/basement-bitch-cuckold2/</t>
  </si>
  <si>
    <t>DivineBitches – Ashley Fires – Educating A Bitchboy Episode 2</t>
  </si>
  <si>
    <t>Educating a Bitchboy Episode: 2</t>
  </si>
  <si>
    <t>TheEnglishMansion - Leather Mistress Milking</t>
  </si>
  <si>
    <t xml:space="preserve">Leather Mistress Milking </t>
  </si>
  <si>
    <t>mistress sidonia</t>
  </si>
  <si>
    <t>Brat Princess Cuckoldress with Chastity Lynn</t>
  </si>
  <si>
    <t>The New Bitch</t>
  </si>
  <si>
    <t>Sandra Romain and Wild Bill</t>
  </si>
  <si>
    <t>The English Mansion – Owned By Kiana</t>
  </si>
  <si>
    <t>mistress kiana</t>
  </si>
  <si>
    <t>Owned By Kiana</t>
  </si>
  <si>
    <t xml:space="preserve">MXPA-012 Japanese Strapon Femdom </t>
  </si>
  <si>
    <t>MXPA-012 Mo-Paradise 12 Masochism for a man that erects in Bing Bin and such Koto</t>
  </si>
  <si>
    <t xml:space="preserve">Permanent Chastity </t>
  </si>
  <si>
    <t>aidra fox,katrina jade</t>
  </si>
  <si>
    <t>Dominates Over Aidra Foxs Pussy - Katrina Jade</t>
  </si>
  <si>
    <t>https://f1.upornia.online/videos/4226269/dominates-over-aidra-foxs-pussy-katrina-jade/?promo=16271</t>
  </si>
  <si>
    <t>TRAMPLING - HOLLY</t>
  </si>
  <si>
    <t>TOILET BRUSH - NAZRYANA</t>
  </si>
  <si>
    <t>queensnake,nazryana</t>
  </si>
  <si>
    <t>Insex - 20051012 - Ridin' (Live Feed From July)</t>
  </si>
  <si>
    <t xml:space="preserve">Cherry Torn's DirtyTalking Anal Lesbian Slut </t>
  </si>
  <si>
    <t>Cherry Torn's Dirty-Talking Anal Lesbian Slut</t>
  </si>
  <si>
    <t xml:space="preserve">Lorelei's New Pet </t>
  </si>
  <si>
    <t>1f-fgb</t>
  </si>
  <si>
    <t>Vendetta and Claire Adams</t>
  </si>
  <si>
    <t>Claire Adams vs. Vendetta</t>
  </si>
  <si>
    <t>One girl is stretched to the limit of her body The other takes the cane and takes it hard!</t>
  </si>
  <si>
    <t>Claire Adams vs Rough Rider Wenona</t>
  </si>
  <si>
    <t>Claire Adams vs Dahlia Sky</t>
  </si>
  <si>
    <t>Missy MinksLive Show Edited</t>
  </si>
  <si>
    <t>Missy Minks-Live Show Edited</t>
  </si>
  <si>
    <t>Mz Berlin vs Odile</t>
  </si>
  <si>
    <t>Tomi Knox Assaults Fuck Doll Kristine Kahill With Creative Devices and Sadism</t>
  </si>
  <si>
    <t>Missy Minks: Tough Lesbian Slut</t>
  </si>
  <si>
    <t>Jada Marxxx and Sarah Jane Ceylon - DB</t>
  </si>
  <si>
    <t xml:space="preserve">Nikki Darling &amp; Katharine Cane Complete Edited Live Show </t>
  </si>
  <si>
    <t>Nikki Darling &amp; Katharine Cane - Complete Edited Live Show</t>
  </si>
  <si>
    <t>Fragments VIII</t>
  </si>
  <si>
    <t>Mia Lelani Big Titted Cunt Tormented Complete Edited Live Show</t>
  </si>
  <si>
    <t xml:space="preserve">Beretta James Live Show Complete Edited Version </t>
  </si>
  <si>
    <t>Newcomer Loses Her Innocence</t>
  </si>
  <si>
    <t>OMEGA fucks another tiny brunette into sub space!</t>
  </si>
  <si>
    <t>Sarah Shevon The Pile Driver</t>
  </si>
  <si>
    <t>Machine fucked with zipper inducing orgasms</t>
  </si>
  <si>
    <t>Miss Kitty</t>
  </si>
  <si>
    <t>One BadAss Bitch Mona Wales</t>
  </si>
  <si>
    <t>One BadAss Bitch - Mona Wales</t>
  </si>
  <si>
    <t>Beauty and The Beast: Kristen Scott vs The Pope</t>
  </si>
  <si>
    <t>Bound by the Beast: Kristen Scott vs The Pope</t>
  </si>
  <si>
    <t>Elecro Lezdom Isis Love Opens Audrey's tight Asshole</t>
  </si>
  <si>
    <t>No Holds Barred: Daisy Ducati shocks &amp; fucks lesbian pain slut!</t>
  </si>
  <si>
    <t>The Intern</t>
  </si>
  <si>
    <t>Wenona Suffers</t>
  </si>
  <si>
    <t>The Electroslut Next Door</t>
  </si>
  <si>
    <t>Anal Girls Slumber Holiday</t>
  </si>
  <si>
    <t>Anal Exploring Sexy Slut Gaia</t>
  </si>
  <si>
    <t>Two Cunts One Game</t>
  </si>
  <si>
    <t>Blonde Bombshell Anal Electrofucked LIVE</t>
  </si>
  <si>
    <t>Anal Sluts: Lily Thot and Stevie Moon</t>
  </si>
  <si>
    <t>Stella Cox learns the hard way not to mess with a Domme's Money</t>
  </si>
  <si>
    <t>EverythingButt – Casey Calvert And Tommy King</t>
  </si>
  <si>
    <t>Epic Anal: Casey Calvert Dominates Tommy King</t>
  </si>
  <si>
    <t>Bella Rossi Dispenses pain and Pleasure to Gabriella &amp; Violet's Asses</t>
  </si>
  <si>
    <t>Come Enema and Anal Domination</t>
  </si>
  <si>
    <t>ASS FUCKING ENEMAS GALORE: Bobbi Starr &amp; Ariel X</t>
  </si>
  <si>
    <t>Anal Perversion</t>
  </si>
  <si>
    <t>Anal Action at it's Deepest &amp; Hardest: Claire Adams &amp; Lorelei Lee</t>
  </si>
  <si>
    <t>Rain DeGrey Makes Ashli Orion Cum in an Inverted Suspension</t>
  </si>
  <si>
    <t>Cute red head plucked off the street hung upside down and double penetrated!</t>
  </si>
  <si>
    <t>1f-3f</t>
  </si>
  <si>
    <t>Petite Bondage Slut: Sensi Pearl</t>
  </si>
  <si>
    <t>Whipped Ass - Alexa Von Tess And Sandra Romain</t>
  </si>
  <si>
    <t>Alexa Von Tess and Sandra Romain</t>
  </si>
  <si>
    <t>First Kinky Lesbian Experience</t>
  </si>
  <si>
    <t>Office Take Down</t>
  </si>
  <si>
    <t>Popping her lesbian cherry!</t>
  </si>
  <si>
    <t>Marie McCray</t>
  </si>
  <si>
    <t>Brunettes Have More Fun: "Sweet Revenge"</t>
  </si>
  <si>
    <t>Chanel Preston's Hot New Play Thing</t>
  </si>
  <si>
    <t>A Few Of Felony's Favorite Things</t>
  </si>
  <si>
    <t>Destroying The Homecoming Queen</t>
  </si>
  <si>
    <t>Lesbian Femdom Role Switch Leaves Both Women Begging For More</t>
  </si>
  <si>
    <t xml:space="preserve">Lesbian Femdom Role Switch Leaves Both Women Begging For More </t>
  </si>
  <si>
    <t>Ballerina Sluts</t>
  </si>
  <si>
    <t xml:space="preserve">Adorable 19 year old has a tough first ever lesbian experience on WhippedAss.com! </t>
  </si>
  <si>
    <t>Beautiful Blonde with Big Tits gets Oiled up and Used as a Cum Canvas</t>
  </si>
  <si>
    <t>The Veteran and the Newbie</t>
  </si>
  <si>
    <t>Phoenix Marie gets her ass Fisted in Bondage!!!!</t>
  </si>
  <si>
    <t>https://hcbdsm.com/video/85950/journalist-ash-hollywood-learns-what-is-means-to-be-nonbiased-through-electro-motivation/</t>
  </si>
  <si>
    <t xml:space="preserve">Tough as Nails </t>
  </si>
  <si>
    <t>Tough As Nails - Cassandra Nix</t>
  </si>
  <si>
    <t>Tough As Nails Cassandra Nix</t>
  </si>
  <si>
    <t>Kink - Amateur Hottie Tries Electricity With Isis Love</t>
  </si>
  <si>
    <t>Amateur Hottie Tries Electricity With Isis Love</t>
  </si>
  <si>
    <t>PUSSY Princess Donna is Sandra's ElectroSubmissive!</t>
  </si>
  <si>
    <t xml:space="preserve">Princess Donna is Sandra's Electro-Submissive!! </t>
  </si>
  <si>
    <t>QUEENSNAKE - ﻿﻿Scorched Jessica</t>
  </si>
  <si>
    <t>SCORCHED - JESSICA</t>
  </si>
  <si>
    <t>SPLINTERS - QS VS JESSICA</t>
  </si>
  <si>
    <t>queensnake,jessica</t>
  </si>
  <si>
    <t>full</t>
  </si>
  <si>
    <t>full,mp4 from bdsmmansion</t>
  </si>
  <si>
    <t>SEX AND SUBMISSION Joslyn James Ki Chodai</t>
  </si>
  <si>
    <t>Tiger Woods Mistress Dominated!</t>
  </si>
  <si>
    <t>Calico Lane - Ice Pony Outdoors</t>
  </si>
  <si>
    <t>realtimebondage</t>
  </si>
  <si>
    <t>TheTrainingOfO - Daisy Ducati 2</t>
  </si>
  <si>
    <t>Lorelei Lee is Bent in Unforgiving Device Bondage</t>
  </si>
  <si>
    <t>Fresh Meat: Rosalyn Sphinx</t>
  </si>
  <si>
    <t>Annie Cruz Bitch in Heat</t>
  </si>
  <si>
    <t>Annie Cruz - Bitch in Heat</t>
  </si>
  <si>
    <t>Damage Me Please!!</t>
  </si>
  <si>
    <t>https://bdsmstreak.com/video/93199/mason-winter-sky-and-christina-carter-part-1-of-4-of-the-july-live-feed</t>
  </si>
  <si>
    <t>Super Sexy ALT Pain Slut Captured in Brutal Bondage and Tormented</t>
  </si>
  <si>
    <t>Super Sexy ALT Pain Slut Captured in ruthless Bondage and Tormented</t>
  </si>
  <si>
    <t>Cheyenne Jewel Punished with Unwilling Orgasms and Mean Metal Bondage!</t>
  </si>
  <si>
    <t>Cheyenne Jewel Punished with Uncontrollable Orgasms and Mean Metal Bondage!</t>
  </si>
  <si>
    <t>Presenting Chloe's Cunt: Folded opened and exposed.</t>
  </si>
  <si>
    <t>The New Bitch Gets Initiated</t>
  </si>
  <si>
    <t xml:space="preserve">Sexy Bad Girl Tamed By Chain </t>
  </si>
  <si>
    <t>https://bdsmstreak.com/video/78292/angela-white-begs-to-suffer-for-her-master-in-metal-bondage</t>
  </si>
  <si>
    <t xml:space="preserve">Angela White Begs to Suffer For Her Master in Metal Bondage </t>
  </si>
  <si>
    <t>Angela White Begs to Suffer For Her Master in Metal Bondage</t>
  </si>
  <si>
    <t>Ariel X: Body Builder Double Penetrated in Diabolical Devices</t>
  </si>
  <si>
    <t xml:space="preserve">Sheena Shaw Rough Rider </t>
  </si>
  <si>
    <t>Athletic MILF Fuck Toy Cherie Deville Punished in Bondage and Sybian!!</t>
  </si>
  <si>
    <t>https://bdsmstreak.com/video/78470/rain-degrey-gets-destroyed-with-extreme-torment-and-brutal-orgasms</t>
  </si>
  <si>
    <t>Rain DeGrey gets Destroyed with Extreme Torment and ruthless Orgasms!!</t>
  </si>
  <si>
    <t>Rain DeGrey gets Destroyed with Extreme Torment and Brutal Orgasms!!</t>
  </si>
  <si>
    <t>Keira Croft: Pain Slut Gets Destroyed &amp; Squirts Everywhere</t>
  </si>
  <si>
    <t>Juliette March: Perfect Pain Slut Pushed to the Extreme</t>
  </si>
  <si>
    <t>Claire's Day Off</t>
  </si>
  <si>
    <t>19 year old is Devastated in Brutal Bondage</t>
  </si>
  <si>
    <t>19 year old is Devastated in merciless Bondage</t>
  </si>
  <si>
    <t>Lyla Storm vs Jack Hammer</t>
  </si>
  <si>
    <t>Pushing Her Buttons</t>
  </si>
  <si>
    <t>The Return of Darling</t>
  </si>
  <si>
    <t>Popping the Cherry</t>
  </si>
  <si>
    <t>Breaking the Innocent</t>
  </si>
  <si>
    <t xml:space="preserve">Helpless Whore Begs For More </t>
  </si>
  <si>
    <t>Iona Grace Punished Wanton Slut</t>
  </si>
  <si>
    <t xml:space="preserve">Breaking the Innocent </t>
  </si>
  <si>
    <t>Falling Into Ashes Ash Hollywood</t>
  </si>
  <si>
    <t>Falling Into Ashes - Ash Hollywood</t>
  </si>
  <si>
    <t>https://bdsmlust.com/hogtied-hogtie-suspension-domination-and-use</t>
  </si>
  <si>
    <t>https://heavyfetish.com/videos/86573/tall-blonde-amateur-gets-fucked-while-wearing-blackout-contact-lenses</t>
  </si>
  <si>
    <t>Final Reckoning</t>
  </si>
  <si>
    <t>Penned In</t>
  </si>
  <si>
    <t>Double Your Pleasure</t>
  </si>
  <si>
    <t>Slutty Anal Nurses</t>
  </si>
  <si>
    <t>Little Nympho Whore</t>
  </si>
  <si>
    <t>Father Issues</t>
  </si>
  <si>
    <t>Hot Blonde Anikka Albright's FIRST BONDAGE SHOOT EVER!</t>
  </si>
  <si>
    <t xml:space="preserve">Hot Blonde Anikka Albright's FIRST BONDAGE SHOOT EVER! </t>
  </si>
  <si>
    <t>Device Bondage Live in HD</t>
  </si>
  <si>
    <t>All Natural Blonde Babe Lisey Sweet AssFucked and Abused in Bondage</t>
  </si>
  <si>
    <t>All Natural Blonde Babe Lisey Sweet Ass-Fucked and Used in Bondage</t>
  </si>
  <si>
    <t>Cute Young Blonde Overwhelmed with Bondage and Cock</t>
  </si>
  <si>
    <t>Newbie gets savagely fucked in tight bondage</t>
  </si>
  <si>
    <t>Vulgar Display of Power</t>
  </si>
  <si>
    <t>BDSM - Vendetta</t>
  </si>
  <si>
    <t>Vendetta vs. The Machines</t>
  </si>
  <si>
    <t>Madison Scott is Bound in a Traditional Japanese torment PositionMake to Cum and Squirt.</t>
  </si>
  <si>
    <t>Madison Scott is Bound in a Traditional Japanese Torment Position Make to Cum and Squirt.</t>
  </si>
  <si>
    <t>Amber Rayne Live Show Part 2 Drawn and Quartered</t>
  </si>
  <si>
    <t>Amber Rayne Live Show Part 2 - Drawn and Quartered</t>
  </si>
  <si>
    <t>Amber Rayne Live Show Part 3 Bent and Fisted</t>
  </si>
  <si>
    <t>Amber Rayne Live Show Part 3 - Bent and Fisted</t>
  </si>
  <si>
    <t>Part 2 Felony Live Show Most Flexible MILF</t>
  </si>
  <si>
    <t>Part 2 - Felony Live Show - Most Flexible MILF</t>
  </si>
  <si>
    <t>Savage Rope Bondage: Crystal Frost</t>
  </si>
  <si>
    <t>Crystal Frost</t>
  </si>
  <si>
    <t>Candy Manson</t>
  </si>
  <si>
    <t>Katie Summers Tormented Cunt</t>
  </si>
  <si>
    <t>Katya Rodriguez: Hogtied Newcomer Bound and Tormented in Bondage</t>
  </si>
  <si>
    <t>Red head with massive huge tits? Then it must be Berlin. We love a girl who loves bondage</t>
  </si>
  <si>
    <t>Red head with massive huge tits? Then it must be Berlin. We love a girl who loves bondage.</t>
  </si>
  <si>
    <t>Ashli Orion Cums Back for More Brutal Ties only on HogTied</t>
  </si>
  <si>
    <t>Ashli Orion Cums Back for More savage Ties only on HogTied</t>
  </si>
  <si>
    <t>oiled,nipple suction</t>
  </si>
  <si>
    <t>Harmony Wonder: 19 Year Old Tormented and Cums in Grueling Bondage</t>
  </si>
  <si>
    <t>Berlin and her massive 32F breasts visit for her first ever Hogtied shoot</t>
  </si>
  <si>
    <t>Berlin and her massive 32F breasts visit for her first ever Hogtied shoot.</t>
  </si>
  <si>
    <t>Jenni Lee and Jade Marxxx</t>
  </si>
  <si>
    <t>https://bdsmstreak.com/video/94552/jenni-lee-and-jade-marxxx</t>
  </si>
  <si>
    <t>Dolly's Innocence Lost</t>
  </si>
  <si>
    <t>Buff MILF Cherie Deville Submits to Rope Bondage and Unwilling Orgasms</t>
  </si>
  <si>
    <t>Buff MILF Cherie Deville Submits to Rope Bondage and Orgasms</t>
  </si>
  <si>
    <t>HOT girl next door tomboy gets bent in unforgiving bondage.</t>
  </si>
  <si>
    <t>HOT Girl Next Door Tomboy Gets Bent In Unforgiving Bondage.</t>
  </si>
  <si>
    <t>Helpless in Rope</t>
  </si>
  <si>
    <t>oiled,nipple sticks,anal hook</t>
  </si>
  <si>
    <t>Felony Amazing MILF Squirter</t>
  </si>
  <si>
    <t>Felony - Amazing MILF Squirter</t>
  </si>
  <si>
    <t>Blonde fuck slut squeals and begs to cum.</t>
  </si>
  <si>
    <t>Bitch Bound In Bag &amp; Extreme Spread Eagle Special!</t>
  </si>
  <si>
    <t>Cyd Black and Amber Rayne</t>
  </si>
  <si>
    <t>One Tough Bitch: Holly Heart and Maestro</t>
  </si>
  <si>
    <t>amber rayne,cyd black</t>
  </si>
  <si>
    <t>All Natural Beauty in Pile Driver Orgasm Overload</t>
  </si>
  <si>
    <t>DyNaMiTe Katie Summers Brings It LIVE</t>
  </si>
  <si>
    <t>DyNaMiTe - Katie Summers Brings It - LIVE</t>
  </si>
  <si>
    <t>Blonde with Big Natural Breasts RODE HARD!</t>
  </si>
  <si>
    <t>Cherry Torn: Blonde with Big Natural Breasts RODE HARD!</t>
  </si>
  <si>
    <t>FEATURE SHOOT : WET ROCK CANYON</t>
  </si>
  <si>
    <t xml:space="preserve">Welcome Sheena Shaw </t>
  </si>
  <si>
    <t>Tracey Sweet</t>
  </si>
  <si>
    <t>The Naive Model And The Creepy Photographer</t>
  </si>
  <si>
    <t>Lyla Storm Complete Edited Live Show</t>
  </si>
  <si>
    <t>Anal Slut Gets Cold Steel Anal Invasion</t>
  </si>
  <si>
    <t>Ariel X Live Show Complete Edited Version</t>
  </si>
  <si>
    <t>College Girl Ravished</t>
  </si>
  <si>
    <t>Hogtied – Holly Michaels – Suspension and Domination</t>
  </si>
  <si>
    <t>First Time Bound Holly Michaels Gets Crazy Bondage Predicaments</t>
  </si>
  <si>
    <t>Chanel Preston Returns to Hogtied!!</t>
  </si>
  <si>
    <t>Lyla Storm - Complete Edited Live Show</t>
  </si>
  <si>
    <t>Ariel X Live Show - Complete Edited Version</t>
  </si>
  <si>
    <t>Tough Blonde Bombshell &amp; Fan Favorite Lorelei Lee Complete Edited Live Show</t>
  </si>
  <si>
    <t>Tough Blonde Bombshell &amp; Fan Favorite Lorelei Lee - Complete Edited Live Show</t>
  </si>
  <si>
    <t>ENCORE OF AMBER RAYNES APRIL 6TH LIVE SHOW</t>
  </si>
  <si>
    <t>Birthday party for the Princess pt.2</t>
  </si>
  <si>
    <t>Birthday Party For The Princess pt.2</t>
  </si>
  <si>
    <t>Tiny Blonde tied up and Ass Fucked in Public</t>
  </si>
  <si>
    <t>Princess Donna's BDay Bash</t>
  </si>
  <si>
    <t>Princess Donna's B-Day Bash</t>
  </si>
  <si>
    <t>Jaelyn Fox SAS</t>
  </si>
  <si>
    <t>Little Giver</t>
  </si>
  <si>
    <t>Mark Davis and Jade Marxxx</t>
  </si>
  <si>
    <t>SEX AND SUBMISSION - Pushing Limits with Hardcore BDSM Sex</t>
  </si>
  <si>
    <t>Pushing Limits with Hardcore BDSM Sex</t>
  </si>
  <si>
    <t>SEX AND SUBMISSION - The Night Nurse Dani Daniels</t>
  </si>
  <si>
    <t>The Night Nurse: Dani Daniels</t>
  </si>
  <si>
    <t>No Cuntry for Dirty Sluts</t>
  </si>
  <si>
    <t>SEX AND SUBMISSION - Obedient Girl Sensi Pearl</t>
  </si>
  <si>
    <t>Obedient Girl: Sensi Pearl</t>
  </si>
  <si>
    <t>SEX AND SUBMISSION - Riley Reid - Step Sister Slut Featuring Riley Reid</t>
  </si>
  <si>
    <t>Riley Reid: Step Sister Slut</t>
  </si>
  <si>
    <t>Stolen Goods</t>
  </si>
  <si>
    <t>Jessie Rogers &amp; Riley Evans: Stolen Goods</t>
  </si>
  <si>
    <t>Service Session: Clit Appreciation Day</t>
  </si>
  <si>
    <t>Masochistic Anal Sluts Suffer and Squirt For BDSM Party</t>
  </si>
  <si>
    <t>BONDAGE The Sarge meets Mia Bangg</t>
  </si>
  <si>
    <t>The Sarge meets Mia Bangg</t>
  </si>
  <si>
    <t>Dragonlilly &amp; The Sarge</t>
  </si>
  <si>
    <t>Wenona &amp; The Sarge</t>
  </si>
  <si>
    <t>Busty Machine Babe Double Dildo Fucked - Ariel X</t>
  </si>
  <si>
    <t>1f-1f,electric,fingering,flog,pussy eat,cane,probe</t>
  </si>
  <si>
    <t>1f-1f,electric,flog,anal hook,nipple sticks,oiled,cane</t>
  </si>
  <si>
    <t>offline</t>
  </si>
  <si>
    <t>website-link femdom empire</t>
  </si>
  <si>
    <t>website-link innocent high</t>
  </si>
  <si>
    <t>website-link kink divine bitches</t>
  </si>
  <si>
    <t>website-link kink men in pain</t>
  </si>
  <si>
    <t>website-link kink originals</t>
  </si>
  <si>
    <t>NtApp</t>
  </si>
  <si>
    <t>res</t>
  </si>
  <si>
    <t>1f-1f,wax</t>
  </si>
  <si>
    <t>1f-1f,oiled,paddle</t>
  </si>
  <si>
    <t>1f-1f,wax tits</t>
  </si>
  <si>
    <t>wooden horse</t>
  </si>
  <si>
    <t>1f-1f,crotch rope</t>
  </si>
  <si>
    <t>electric,probe,anal</t>
  </si>
  <si>
    <t>1f-1f,anal hook</t>
  </si>
  <si>
    <t>1f-1f1m,enema</t>
  </si>
  <si>
    <t>1f-1f,pussy clamps</t>
  </si>
  <si>
    <t>2f-2f,toilet,plastic</t>
  </si>
  <si>
    <t>1f-1f,sensual</t>
  </si>
  <si>
    <t>1f-2f,electric,probe,anal</t>
  </si>
  <si>
    <t>1f-1f,fist</t>
  </si>
  <si>
    <t>chains</t>
  </si>
  <si>
    <t>fat</t>
  </si>
  <si>
    <t>https://hcbdsm.com/video/83298/pom-pom-girl-gets-gang-banged-by-basketball-coach-and-team/</t>
  </si>
  <si>
    <t>suspended</t>
  </si>
  <si>
    <t>wax,anal hook</t>
  </si>
  <si>
    <t>pussy hose,wax ass,oiled,anal hook</t>
  </si>
  <si>
    <t>og</t>
  </si>
  <si>
    <t>nipple ropes,anal hook</t>
  </si>
  <si>
    <t>50m</t>
  </si>
  <si>
    <t>spreader bar,sweat</t>
  </si>
  <si>
    <t>step on neck</t>
  </si>
  <si>
    <t>3f-fmgb</t>
  </si>
  <si>
    <t>pretzel extreme</t>
  </si>
  <si>
    <t>2f-1m,outdoor</t>
  </si>
  <si>
    <t>bobbi starr,ariel x</t>
  </si>
  <si>
    <t>sensi pearl,bobbi starr</t>
  </si>
  <si>
    <t>felony,bobbi starr</t>
  </si>
  <si>
    <t>vendetta,claire adams</t>
  </si>
  <si>
    <t>jade marxxx,sarah jane ceylon,claire adams</t>
  </si>
  <si>
    <t>claire adams,adrianna nicole</t>
  </si>
  <si>
    <t>1f-1f1m,tiny,small tits,teen</t>
  </si>
  <si>
    <t>penny pax,cherry torn</t>
  </si>
  <si>
    <t>2f-1m,tiny,small tits,teen</t>
  </si>
  <si>
    <t>https://bdsmstreak.com/video/79253/nikki-darling-surrenders-her-holes-in-spanish-nightclub</t>
  </si>
  <si>
    <t>normal-rough-maledom</t>
  </si>
  <si>
    <t>Perfect 10 Anal Creampie</t>
  </si>
  <si>
    <t>Perfect Anal Creampie of Elena Koshka</t>
  </si>
  <si>
    <t>https://www.xozilla.xxx/videos/343355/perfect-anal-creampie-of-elena-koshka/</t>
  </si>
  <si>
    <t>https://www.justporn.com/video/7455/elena-koshka-in-sensual-porn/?src=tubetraffic</t>
  </si>
  <si>
    <t>Elena Koshka in sensual porn</t>
  </si>
  <si>
    <t>69 at 16m,pretzel at 28m,inverted at 32m</t>
  </si>
  <si>
    <t>1f-1f,oiled,massage,fingering,orgasm,fit girl</t>
  </si>
  <si>
    <t>1f-1f,spank,paddle,hair pull</t>
  </si>
  <si>
    <t>2f-2m,flog,flame,switchdom,wax,body clothespin,nipple clamps</t>
  </si>
  <si>
    <t>unknown-stars</t>
  </si>
  <si>
    <t xml:space="preserve">1f-1f,remote control,spank,anal beads,electric,wax,strapon </t>
  </si>
  <si>
    <t>felony,isis love</t>
  </si>
  <si>
    <t>https://heavyfetish.com/es/videos/89132/siswet-receives-a-whole-foot-into-her-asshole/</t>
  </si>
  <si>
    <t>jodi taylor,mz berlin,ivy addams</t>
  </si>
  <si>
    <t>pussy wedgie at 3m,flog at 3m,anal hook at 9m,spank at 20m,clit suction at 24m,slap at 26m,smothered in tits at 29m,tit slap at 33m,dp dildo at 39m,nipple clamps weight at 43m,oiled at 46m,one bar prison at 46m,oil spit at 47m,ass cane at 47,fucking machine at 51m</t>
  </si>
  <si>
    <t>Hogtied – Hogtie Suspension,Domination and Use</t>
  </si>
  <si>
    <t>lay down,suspended upside down,sit</t>
  </si>
  <si>
    <t>Felony Bound in Cruel Latex,Metal and Leather Bondage!</t>
  </si>
  <si>
    <t>spank at 6m,enema at 9m,oil at 19m,anal hook at 41m</t>
  </si>
  <si>
    <t>high quality full length maledom and lesdom porn,acts as aggregator so some are paid</t>
  </si>
  <si>
    <t>missionary,sit,lay down</t>
  </si>
  <si>
    <t>cute and pretty girls with vanilla style basic porn,not very realistic but overall fun</t>
  </si>
  <si>
    <t>Squirt Alert,Device Bondage</t>
  </si>
  <si>
    <t xml:space="preserve">Wenona,Jessie Cox,and Isis Love Part 1 of 4 of the March Live Show. </t>
  </si>
  <si>
    <t>Wenona,Jessie Cox,and Isis Love Part 1 of 4 of the March Live Show.</t>
  </si>
  <si>
    <t>abduction at 16m,dick smell at 22m,tit and pussy flog at 24m,throat fist at 28m,ass spank at 30m,pretzel at 58m,kneel down frog flog at 60m,very natural actors</t>
  </si>
  <si>
    <t>08.04.04 5181 Daisy Marie,Aiden Starr (Daisy's Promotion)</t>
  </si>
  <si>
    <t>WhippedAss - A Double Debut - Leah Gotti,Madelynn May</t>
  </si>
  <si>
    <t>WIRED PUSSY - Nineteen Year Old Beauty (Princess Donna Dolore,Lily LaBeau)</t>
  </si>
  <si>
    <t>QUEENSNAKE Long March - Jessica - Jessica,Tanita</t>
  </si>
  <si>
    <t>cassandra nix,lana s,diana stewart,jenna rose,ashley brooke</t>
  </si>
  <si>
    <t>pretzel at 15m,vibrator insider pussy at 19m,nipple pull and tickling at 31m,wax at 34m,m legs fingering</t>
  </si>
  <si>
    <t>bonnie rotten,daisy ducati,roxanne rae,janice griffith,lilly lit,ashley lane</t>
  </si>
  <si>
    <t>cane at 10m,flog at 15m,flexible pipe flog at 19m,shave at 20m,rope on pussy at 24m,spank at 42m,water boarding at 45m</t>
  </si>
  <si>
    <t>1f-1f,shocking cane at 8m,tit pull and slap at 10m,panties in mouth at 10m,oil at 18m,electric steel plug and hook at 19m,nipple sticks at 42m</t>
  </si>
  <si>
    <t>Allie James,Ash Hollywood in Rocco's Perfect Slaves 4</t>
  </si>
  <si>
    <t xml:space="preserve">Piper Perri Endures Outdoor Bondage,Domination &amp; Rough Sex for Help </t>
  </si>
  <si>
    <t>cloth tear at 12m,flog at 14m,trample at 18m,foot on dick at 20m,ass eat at 24m,peg at 40m</t>
  </si>
  <si>
    <t xml:space="preserve">Chastity,gloves and condoms. How many until he doesn't feel anything? </t>
  </si>
  <si>
    <t>basic femdom handjob videos,nothing super exlusive</t>
  </si>
  <si>
    <t>sexy oiled rocks on body,girl wearing a white crop top,blonde short hair and black long single braid hair</t>
  </si>
  <si>
    <t>Oops,she did it again: Prostate Milking</t>
  </si>
  <si>
    <t>preping at 9m,ass flog at 17m,legs up tied to wall at 30m</t>
  </si>
  <si>
    <t>isis love,jessie cox,ami emerson</t>
  </si>
  <si>
    <t xml:space="preserve">Jessie Cox,Ami Emerson,and Isis Love Part 1 of 4 of the September Live Feed </t>
  </si>
  <si>
    <t>Jessie Cox,Ami Emerson,and Isis Love Part 1 of 4 of the September Live Feed</t>
  </si>
  <si>
    <t xml:space="preserve">Ass hooked,caned &amp; made to cum so much she begs for mercy Humiliated and used,so helpless! </t>
  </si>
  <si>
    <t xml:space="preserve">First Timer in Extreme Bondage with savage Tormented,and Made to Cum </t>
  </si>
  <si>
    <t>First Timer in Extreme Bondage with Brutal Tormented,and Made to Cum</t>
  </si>
  <si>
    <t>Masochistic Pain Slut in Bondage,Tormented,and Used for Her Holes</t>
  </si>
  <si>
    <t>1f-1f,pussy shock,flog,nipple clamps,electric,blindfold,strapon,spreader bar</t>
  </si>
  <si>
    <t>mei akikusa,misato nonomiya</t>
  </si>
  <si>
    <t>average quality humiliation videos,mostly feet and cum service</t>
  </si>
  <si>
    <t>sensual strip at 1m,69 at 11m</t>
  </si>
  <si>
    <t>foot in ass at 0m,whole foot in ass at 3m</t>
  </si>
  <si>
    <t>pick up and eat pussy at 1m,619 at 1m,stand up fuck at 10m</t>
  </si>
  <si>
    <t>side fuck few times,petite model and accurate to high school girl</t>
  </si>
  <si>
    <t>general videos mainly for random cases,not big studios</t>
  </si>
  <si>
    <t>undress struggle,lay down on side,69 at 9m,high heels in ass at 11m,enema at 42m</t>
  </si>
  <si>
    <t>Tara Lynn Fox,Mellanie Monroe,and Isis Love Part 3 of 4 of the December Live Show</t>
  </si>
  <si>
    <t>Hand,Prosthetic,Machine - There's more than one way to fuck a slut</t>
  </si>
  <si>
    <t>Girl next door,severely bound and helpless Stripped,elbows bound,legs split,multi-orgasms!</t>
  </si>
  <si>
    <t>Sweet Yhivi is Decimated in merciless Bondage,Torment,and Screaming Orgasms!</t>
  </si>
  <si>
    <t xml:space="preserve">Long legs,and huge nipples,suffers foot caning,finger fucking 'til squirting. Agony &amp; Ecstasy ! </t>
  </si>
  <si>
    <t>Long legs,and huge nipples,suffers foot caning,finger fucking 'til squirting</t>
  </si>
  <si>
    <t>Happy Birthday,Felony!</t>
  </si>
  <si>
    <t>flagged suspicious,doesn’t load well,katie kush full length bdsm videos</t>
  </si>
  <si>
    <t>QUEENSNAKE Trampling - Holly - QS,Holly</t>
  </si>
  <si>
    <t>INSEX - Ridin' (Live Feed From July) (Wenona,Az)</t>
  </si>
  <si>
    <t>Behave,Or The Fist Goes Elbow Deep</t>
  </si>
  <si>
    <t>Training a Slave to Take it in the Ass,Day Three</t>
  </si>
  <si>
    <t>Toilet brush cunt scrubbing? With Queensnake's sexual history,maybe not such a bad idea</t>
  </si>
  <si>
    <t>The Terminator,the Groovy and the Faithful Slave - part 2 - Cruel Challenge II</t>
  </si>
  <si>
    <t>GRAIAS The Terminator,The Groovy And The Faithful Slave 04</t>
  </si>
  <si>
    <t>Humiliation,BDSM,Torture,Whipping Brooke Johnson. Brooke Report HardTied.com</t>
  </si>
  <si>
    <t>sexuallybroken.com - Tiny Casey Calvert is inverted,skull fucked pussy fucked nipple tortured &amp; squirts like a fountain - Casey Calvert | Matt Williams</t>
  </si>
  <si>
    <t xml:space="preserve">Tiny Casey Calvert Is Inverted,Skull Fucked Pussy </t>
  </si>
  <si>
    <t>SEXUALLY BROKEN - Penny Lay,Jessie Dean - Stock Fucked</t>
  </si>
  <si>
    <t>Chanta'sbitches - New Pet Lorelei Lee,Mason Moore</t>
  </si>
  <si>
    <t>Alicia Stone,Sienna,and Isis Love Part 2 of 4 of the February Live Show</t>
  </si>
  <si>
    <t>Ashley Jane,Ally Ann,and Princess Donna Part 1 of 4 of the November Live show</t>
  </si>
  <si>
    <t xml:space="preserve">Ariel X,Annie Cruz Part 1 of 4 of the March Live Feed </t>
  </si>
  <si>
    <t>Ariel X,Annie Cruz Part 1 of 4 of the March Live Feed</t>
  </si>
  <si>
    <t>Ariel X,Annie Cruz Part 4 of 4 of the March Live Feed The domination of Isis</t>
  </si>
  <si>
    <t>Jade Marxxx Live,Part 1</t>
  </si>
  <si>
    <t>Bound by metal,covered in wax,fucked by machine</t>
  </si>
  <si>
    <t>Hot Blond,is caned,ass fucked &amp; made to cum over and over 4 DOM's ruthlessly work the whore over</t>
  </si>
  <si>
    <t>Hot Blond,is caned,ass fucked &amp; made to cum over and over4 DOM's brutally work the whore over</t>
  </si>
  <si>
    <t>Jade Indica Oiled,fucked,bound and tormented. Countdown to Relaunch - 5 of 20</t>
  </si>
  <si>
    <t>Jade Indica Oiled,fucked,bound and tortured.Countdown to Relaunch 5 of 20</t>
  </si>
  <si>
    <t>nice positions,crotch chain</t>
  </si>
  <si>
    <t>Her Body,Her Pain!</t>
  </si>
  <si>
    <t>Petite Asian Bondage Virgin,Gets a Dose of Suffering</t>
  </si>
  <si>
    <t>Mason,Winter Sky and Christina Carter Part 1 of 4 of the July Live Feed</t>
  </si>
  <si>
    <t>**Kelly Divine: Stretched,Fucked,Flogged,and Squirting Everywhere; Rosebud Exposed!!**</t>
  </si>
  <si>
    <t>Kelly Divine: Stretched,Fucked,Flogged,and Squirting Everywhere; Rosebud Exposed!!</t>
  </si>
  <si>
    <t>Red Hair Fair Skin - finger fucked,machine fucked,extreme nipple play,hot wax,hard caning.</t>
  </si>
  <si>
    <t>Red Hair Fair Skin finger fucked,machine fucked,extreme nipple play,hot wax,hard caning.</t>
  </si>
  <si>
    <t>Double Teamed-Extreme Bondage,merciless Suffering,and Squirting Orgasms</t>
  </si>
  <si>
    <t>Double Teamed Extreme Bondage,Brutal Suffering,and Squirting Orgasms</t>
  </si>
  <si>
    <t>sara faye,elyse,claire adams</t>
  </si>
  <si>
    <t>Sara Faye,Elyse and Claire Adams</t>
  </si>
  <si>
    <t>Casey Calvert: Bondage,Torment,and Sexual Servitude</t>
  </si>
  <si>
    <t>isis love,daisy ducati</t>
  </si>
  <si>
    <t>anikka albrite,lea lexis</t>
  </si>
  <si>
    <t>Fucked and bound [2014-01-17]Cute Young Blonde Overwhelmed with Bondage and Cock(Elyssa Greene,Mickey Mod)</t>
  </si>
  <si>
    <t>Fucked and bound [2014-04-04]Newbie gets brutally fucked in tight bondage(Derrick Pierce,Sophia Locke)</t>
  </si>
  <si>
    <t xml:space="preserve">Fucked and bound [2014-07-11]Vulgar Display of Power on Ebony Slut(Skin Diamond,Tommy Pistol) </t>
  </si>
  <si>
    <t>kristina rose,lorelei lee</t>
  </si>
  <si>
    <t>cytherea,dylan ryan</t>
  </si>
  <si>
    <t>Super cute blond is tormented,cloths pins on her body are ripped off,made to cum over and over!!</t>
  </si>
  <si>
    <t>riley james,lea lexis</t>
  </si>
  <si>
    <t>Sexy brunette experiences nipple torment,ruthless crotch rope and extreme bondage.</t>
  </si>
  <si>
    <t>Sexy brunette experiences nipple torture,brutal crotch rope and extreme bondage.</t>
  </si>
  <si>
    <t>Tall long legged blond is hung upside down,made to cum Choked,clamped &amp; tormented,left hanging..</t>
  </si>
  <si>
    <t>Tall long legged blond is hung upside down,made to cumChoked,clamped &amp; abused,left hanging..</t>
  </si>
  <si>
    <t>Hogtied: The most beautiful girls on the planet,suffering and cumming</t>
  </si>
  <si>
    <t>orgasms. Then vibrated to multiple,back and forth,no mercy!</t>
  </si>
  <si>
    <t>Hot Asian is finger banged to multiple orgasms. Then vibrated to multiple,back and forth,no mercy!</t>
  </si>
  <si>
    <t xml:space="preserve">Pain slut,destroyed with pleasure. Massive orgasm overload totally implodes this whore's brain. </t>
  </si>
  <si>
    <t>oiled,closeup</t>
  </si>
  <si>
    <t>Big Tits,ruthless Bondage,Extreme Corporal Punishment,and Squirting Orgasms!!!</t>
  </si>
  <si>
    <t>Big Tits,Brutal Bondage,Extreme Corporal Punishment,and Squirting Orgasms!!!</t>
  </si>
  <si>
    <t>Dani Daniels in merciless Bondage,Tormented,and Made to Cum Uncontrollably.</t>
  </si>
  <si>
    <t>Dani Daniels in Brutal Bondage,Tormented,and Made to Cum Uncontrollably</t>
  </si>
  <si>
    <t>Ariel X - Extreme Bondage,savage Torment,and Squirting Orgasms!!!</t>
  </si>
  <si>
    <t>Ariel X Extreme Bondage,Brutal Torment,and Squirting Orgasms!!!</t>
  </si>
  <si>
    <t>Extreme bondage,ruthless torment,and intense orgasm denial.</t>
  </si>
  <si>
    <t>Extreme bondage,brutal torment,and intense orgasm denial</t>
  </si>
  <si>
    <t>Busty California Blonde Courtney Gets Bent,Fucked &amp; Challenged!</t>
  </si>
  <si>
    <t>Jodi Taylor: Eager slut elaborately bound,caned,zapped and fucked!</t>
  </si>
  <si>
    <t>elyssa greene,cherie deville,madeline marlowe</t>
  </si>
  <si>
    <t>lorelei lee,mz berlin</t>
  </si>
  <si>
    <t xml:space="preserve">Looking for Trouble Lily LaBeau Endures Extreme Bondage,savage Foot Torment,and Screaming Orgasms!! </t>
  </si>
  <si>
    <t xml:space="preserve">March Madness - Extreme Bondage,Orgasm Overload,merciless Torment,Hair Suspension! </t>
  </si>
  <si>
    <t>Tiny Slut,Big Pain!!</t>
  </si>
  <si>
    <t>aiden starr,victoria voxxx,zoe sparx</t>
  </si>
  <si>
    <t>Abella Danger: Fisted,DP'd and Dominated by Wild Dyke Bar Lesbians!</t>
  </si>
  <si>
    <t>Dyke Bar 3: Abella Danger fisted,DP'd and dominated by wild lesbians!</t>
  </si>
  <si>
    <t>Blonde Bombshell bound,spanked and anally fisted!</t>
  </si>
  <si>
    <t>krystal main,madeline marlowe,lilla katt</t>
  </si>
  <si>
    <t>1 Blonde,1 Brunette,1 Redhead = Hot Lesbian Punishment and Sex!</t>
  </si>
  <si>
    <t xml:space="preserve">1 Blonde,1 Brunette,1 Redhead = Hot Lesbian Punishment and Sex! </t>
  </si>
  <si>
    <t xml:space="preserve">lorelei lee,remy lacroix </t>
  </si>
  <si>
    <t>Lorelei Lee,Remy LaCroix (Popping her lesbian cherry!)</t>
  </si>
  <si>
    <t>aiden starr,marie mccray</t>
  </si>
  <si>
    <t>Aiden Starr,Marie McCray (Marie McCray)</t>
  </si>
  <si>
    <t>Bobbi Starr,Felony (A Few Of Felony's Favorite Things)</t>
  </si>
  <si>
    <t>anikka albrite,ash hollywood,isis love,gia dimarco</t>
  </si>
  <si>
    <t>Wenona,Maitresse Madeline Marlowe,Sasha Lexing (Ballerina Sluts)</t>
  </si>
  <si>
    <t>Aiden Starr,Naidyne (Adorable 19 year old has a tough first ever lesbian experience on WhippedAss.com!)</t>
  </si>
  <si>
    <t>lorelei lee,marie mccray,krysta kaos</t>
  </si>
  <si>
    <t>halie james,sarah jane ceylon,donna dolore</t>
  </si>
  <si>
    <t xml:space="preserve">Journalist,Ash Hollywood,learns what is means to be non-biased through electro motivation! </t>
  </si>
  <si>
    <t>Journalist,Ash Hollywood,learns what is means to be nonbiased through electro motivation!</t>
  </si>
  <si>
    <t>tit bite,flog,blowjob,oiled,nipple clamps,piv,foot in pussy</t>
  </si>
  <si>
    <t>sit,missionary,doggy</t>
  </si>
  <si>
    <t>generic bdsm with lot of spank and flog,pussy and tit slap at 3m,nipple bite at 3m,laydown bj at 13m,lesbian bdsm at 59m,pussy ornament at 75m</t>
  </si>
  <si>
    <t>sticks up the nose at 2m,hair in mouth at 5m,spreader bar on legs at 31m</t>
  </si>
  <si>
    <t>main fingering at 19m</t>
  </si>
  <si>
    <t>undress at 5m,spank at 11m,flog at 14m,ass flog at 16m,clit and nipple suction at 31m</t>
  </si>
  <si>
    <t>undress at 1m,piv at 1m</t>
  </si>
  <si>
    <t>stand,doggy</t>
  </si>
  <si>
    <t>blowjob,piv,pussy eat,oiled</t>
  </si>
  <si>
    <t>inverted pussy over face,pretzel</t>
  </si>
  <si>
    <t>sit,inverted pussy over face,suspended bent</t>
  </si>
  <si>
    <t>missionary,lay down</t>
  </si>
  <si>
    <t>https://bdsmvilla.com/video/30350/calico-lane-ice-pony-outdoors</t>
  </si>
  <si>
    <t>stand on ice,wooden horse</t>
  </si>
  <si>
    <t>missionary</t>
  </si>
  <si>
    <t>suspended,bent on wheel</t>
  </si>
  <si>
    <t>bent on wheel,pretzel vertical suspended</t>
  </si>
  <si>
    <t>stand,pretzel,bent on wheel</t>
  </si>
  <si>
    <t>pillory,bent on wheel,wooden horse</t>
  </si>
  <si>
    <t>arms up tied,suspended bent,pretzel</t>
  </si>
  <si>
    <t>inverted pussy over face,missionary</t>
  </si>
  <si>
    <t>suspended bent</t>
  </si>
  <si>
    <t>https://bdsmstreak.com/video/87203/sexually-broken-annie-cruz-trapped-in-a-piledriver</t>
  </si>
  <si>
    <t>inverted pussy over face,sit</t>
  </si>
  <si>
    <t>leg up stand,69,inverted pussy over face</t>
  </si>
  <si>
    <t>reverse cowgirl,inverted pussy over face,pretzel</t>
  </si>
  <si>
    <t>spitroast,cowgirl,inverted pussy over face</t>
  </si>
  <si>
    <t>suspended upside down</t>
  </si>
  <si>
    <t>stand,suspended face down horizontal,arched n</t>
  </si>
  <si>
    <t>arched n,arched u,missionary</t>
  </si>
  <si>
    <t>arched n,inverted pussy over face</t>
  </si>
  <si>
    <t>arched n</t>
  </si>
  <si>
    <t>humbler vertical,arched n,lay down</t>
  </si>
  <si>
    <t>aufd,inverted pussy over face,doggy</t>
  </si>
  <si>
    <t>stand,suspended,lay down,aufd</t>
  </si>
  <si>
    <t>doggy,over knee,pretzel,aufd</t>
  </si>
  <si>
    <t>sit,spread eagle,lay down,aufd</t>
  </si>
  <si>
    <t>lay down face down,aufd,stand</t>
  </si>
  <si>
    <t>aufd,doggy,missionary</t>
  </si>
  <si>
    <t>aufd</t>
  </si>
  <si>
    <t>lay down,aufd</t>
  </si>
  <si>
    <t>aufd,suspended,face sit</t>
  </si>
  <si>
    <t>pretzel,inverted pussy over face,spread eagle</t>
  </si>
  <si>
    <t>hogtied,stand,lay down</t>
  </si>
  <si>
    <t>stand,stand leg up</t>
  </si>
  <si>
    <t>stand,squat,bent on wheel</t>
  </si>
  <si>
    <t>sit,pretzel,lay down,missionary,doggy,bent on wheel</t>
  </si>
  <si>
    <t>suspended upside down,lay down</t>
  </si>
  <si>
    <t>wooden horse,bent on wheel,doggy</t>
  </si>
  <si>
    <t>doggy,sit</t>
  </si>
  <si>
    <t>lay down,suspended face down,bent on wheel,arched n</t>
  </si>
  <si>
    <t>doggy,arched n</t>
  </si>
  <si>
    <t>against wall</t>
  </si>
  <si>
    <t>legs up joined,lay down,face sit</t>
  </si>
  <si>
    <t>doggy,spread eagle,legs up joined</t>
  </si>
  <si>
    <t>stand,sit,hogtied</t>
  </si>
  <si>
    <t>pretzel,one bar,split sit</t>
  </si>
  <si>
    <t>sit,inverted pussy over face,lay down</t>
  </si>
  <si>
    <t>aufd,missionary,split half stand</t>
  </si>
  <si>
    <t>doggy,split half stand</t>
  </si>
  <si>
    <t>split suspended</t>
  </si>
  <si>
    <t>split sit</t>
  </si>
  <si>
    <t>arms up tied,split lay down</t>
  </si>
  <si>
    <t>split sit,lay down</t>
  </si>
  <si>
    <t>split sit,pretzel vertical,split suspended upside down</t>
  </si>
  <si>
    <t>split half stand,spread eagle,suspended upside down</t>
  </si>
  <si>
    <t>frog,aufd hands behind legs,pretzel</t>
  </si>
  <si>
    <t>burried,missionary,pretzel</t>
  </si>
  <si>
    <t>missionary,lay down face down,lay down</t>
  </si>
  <si>
    <t>stand,lay down,missionary,doggy</t>
  </si>
  <si>
    <t>pretzel,doggy,missionary,reverse cowgirl</t>
  </si>
  <si>
    <t>stand,missionary</t>
  </si>
  <si>
    <t>inverted pussy over face,lay down</t>
  </si>
  <si>
    <t>against wall,pretzel,inside cage</t>
  </si>
  <si>
    <t>lay down face down,sit,missionary</t>
  </si>
  <si>
    <t>aufd,arched n,missionary</t>
  </si>
  <si>
    <t>missionary,suspended fetal,frog</t>
  </si>
  <si>
    <t>lay down,doggy,missionary,face sit</t>
  </si>
  <si>
    <t>missionary,aufd,lay down,face sit</t>
  </si>
  <si>
    <t>missionary,suspended upside down,missionary</t>
  </si>
  <si>
    <t>stand,reverse cowgirl,missionary</t>
  </si>
  <si>
    <t>aufd,pretzel extreme,suspended fetal</t>
  </si>
  <si>
    <t>lay down,aufd hands front,suspended upside down,legs up joined,arched n</t>
  </si>
  <si>
    <t>aufd hands between legs,inverted pussy over face</t>
  </si>
  <si>
    <t>lay down,against wall,legs up joined</t>
  </si>
  <si>
    <t>doggy,pretzel,aufd</t>
  </si>
  <si>
    <t>pretzel suspended,missionary,lay down,split suspended face down</t>
  </si>
  <si>
    <t>stand face between legs</t>
  </si>
  <si>
    <t>stand,aufd hands front,inverted pussy over face</t>
  </si>
  <si>
    <t>stand face between legs,inverted pussy over face extreme</t>
  </si>
  <si>
    <t>doggy,missionary</t>
  </si>
  <si>
    <t>doggy,stand</t>
  </si>
  <si>
    <t>strip pole</t>
  </si>
  <si>
    <t>lay down,missionary,doggy</t>
  </si>
  <si>
    <t>upside down,arched n</t>
  </si>
  <si>
    <t>doggy,missionary,arched n</t>
  </si>
  <si>
    <t>stand,inverted pussy over face,upside down</t>
  </si>
  <si>
    <t>doggy,kneel arched n,kneel vertical</t>
  </si>
  <si>
    <t>spitroast,reverse cowgirl</t>
  </si>
  <si>
    <t>lay down,frog,missionary</t>
  </si>
  <si>
    <t>stand,upside down,doggy,missionary</t>
  </si>
  <si>
    <t>kneel vertical,missionary</t>
  </si>
  <si>
    <t>kneel vertical,upside down</t>
  </si>
  <si>
    <t>face sit,missionary,doggy</t>
  </si>
  <si>
    <t>spitroast,doggy,missionary,stand</t>
  </si>
  <si>
    <t>suspended,doggy,stand</t>
  </si>
  <si>
    <t>aufd hands behind legs,inverted pussy over face,pretzel</t>
  </si>
  <si>
    <t>69,619,full nelson,inverted pussy over face</t>
  </si>
  <si>
    <t>lay down,doggy,cowgirl,69,pretzel,pretzel vertical,inverted pussy over face</t>
  </si>
  <si>
    <t>stand one leg up,inverted pussy over face,m legs</t>
  </si>
  <si>
    <t>kneel arched n,doggy,stand,aufd</t>
  </si>
  <si>
    <t>kneel arched n,kneel vertical,spread eagle</t>
  </si>
  <si>
    <t>lay down,stand</t>
  </si>
  <si>
    <t>doggy,suspended</t>
  </si>
  <si>
    <t>stand,lay down,aufd,hogtied,sit,doggy</t>
  </si>
  <si>
    <t>stand,lay down,missionary</t>
  </si>
  <si>
    <t>https://highporn.net/video/174869/tki-039-masotronix-08</t>
  </si>
  <si>
    <t>69,squat,split lay down</t>
  </si>
  <si>
    <t>hogtied,aufd,arched u</t>
  </si>
  <si>
    <t>crotch chain,prone bone,doggy</t>
  </si>
  <si>
    <t>lay down,one bar</t>
  </si>
  <si>
    <t>crotch chain,crotch rope</t>
  </si>
  <si>
    <t>hogtied,spread eagle,crucified,under net</t>
  </si>
  <si>
    <t>under net</t>
  </si>
  <si>
    <t>arms up tied,prone bone,legs up joined,suspended</t>
  </si>
  <si>
    <t xml:space="preserve">sit,stand,aufd hands front </t>
  </si>
  <si>
    <t>lay down,aufd hands between legs,wheel barrow,doggy</t>
  </si>
  <si>
    <t>doggy,spread eagle,missionary,face sit</t>
  </si>
  <si>
    <t>blowjob,titjob,cum,pussy eat</t>
  </si>
  <si>
    <t>1f-1f,massage,oiled,vibrator,blindfold,strapon,chains,pussy eat,butt plug,nipple clamps</t>
  </si>
  <si>
    <t>1f-2f,foot in ass</t>
  </si>
  <si>
    <t>https://hcbdsm.com/video/88632/missy-minks-tough-lesbian-slut2/</t>
  </si>
  <si>
    <t>https://hcbdsm.com/video/81797/dani-daniels-in-brutal-bondage-tormented-and-made-to-cum-uncontrollably/</t>
  </si>
  <si>
    <t>2f-1m,face locked into pussy,face dildo,flog,tit flog,nipple clamps</t>
  </si>
  <si>
    <t>oiled,nipple ropes</t>
  </si>
  <si>
    <t>https://bdsmstreak.com/video/78319/cadence-lux-the-depths-of-hell</t>
  </si>
  <si>
    <t>tit flog,pussy flog,tit slap,flog,cane,spring mattress,step on back</t>
  </si>
  <si>
    <t>stand,spread eagle,prone bone,aufd hands front</t>
  </si>
  <si>
    <t>cbt,electric,dick biting,cane,anal hook,spank,flog,peg,pussy eat</t>
  </si>
  <si>
    <t>pussy eat,flog,nipple bite,ball clamps,face dildo,peg,face underground</t>
  </si>
  <si>
    <t>pussy eat at 10m,flog at 14m,nipple bite at 15m.ball clamp at 18m,pussy on chastity at 24m,face dildo at 27m,peg at 32m,face underground</t>
  </si>
  <si>
    <t>chastity,flog,cane,spank,electric,peg,blindfold,cock plate,pussy eat,face dildo</t>
  </si>
  <si>
    <t>spank at 5m,electric at 21m,electric wand anal at 23m,peg at 30m,pussy eat at 36m,face dildo at 42m</t>
  </si>
  <si>
    <t>2f-1m,cane,flog,nipple clamps,peg,pussy eat,cock plate,feet</t>
  </si>
  <si>
    <t>peg at 28m,pussy eat at 42m,cock plate at 46m,feet licking at 52m</t>
  </si>
  <si>
    <t>1f-1f,pussy eat,fondle,face sit,fingering,dildo,pussy eat</t>
  </si>
  <si>
    <t>1f-1f,spit,vibrator,armpits,pussy eat,fingering,nipple bite,strapon,leash,sybian</t>
  </si>
  <si>
    <t>trample at 12m,bootlicking at 13m,spank at 16m,pussy eat at 19m</t>
  </si>
  <si>
    <t>2f-1m,flog,pussy eat,peg,body clothespin,spank</t>
  </si>
  <si>
    <t>flog at 2m,pussy eat at 15m,peg at 16m,female pretzel,dildo on mouth at 20m,cock clothespin at 26m</t>
  </si>
  <si>
    <t>1f-1f,fist,pussy eat,fingering,anal fingering,kiss</t>
  </si>
  <si>
    <t>arms up tied,pretzel,double 69,aufd</t>
  </si>
  <si>
    <t>flog,vibrator,peg,spank,pussy eat,leash</t>
  </si>
  <si>
    <t>fucking machine,gangbang,vibrator,blowjob</t>
  </si>
  <si>
    <t>flog,chastity,lolipop plug,peg,wax</t>
  </si>
  <si>
    <t>smothering face in ass at 20m,peg at 29m</t>
  </si>
  <si>
    <t>peg,chastity,ball bite,cane,pet play</t>
  </si>
  <si>
    <t>inflatable butt plug,cage,nipple clamps</t>
  </si>
  <si>
    <t>pretzel,head in toilet,double 619,inverted pussy over face</t>
  </si>
  <si>
    <t>head in toilet at 23m,inverted pussy over face at 31m,double 619 at 40m,locked bj with leash at 44m</t>
  </si>
  <si>
    <t>1f-1f1m,toilet,toe in pussy</t>
  </si>
  <si>
    <t>1f-1f,strapon,spank,pussy eat,feet,toe in pussy,inverted pussy over face</t>
  </si>
  <si>
    <t>feet eat at 23m,inverted pussy over face at 40m</t>
  </si>
  <si>
    <t>2f-fmgb,fucking machine,flog,exhibitionism,spank,fingering,chain in pussy and ass</t>
  </si>
  <si>
    <t>bent over at 25m,chain inside pussy and ass at 41m,lesbian spank</t>
  </si>
  <si>
    <t>pick up and fuck at 35m,blindfold cunnilingus at 28m,pussy on pussy at 56m,ass to mouth and dick to ass at 1hr18m,lesbian fist</t>
  </si>
  <si>
    <t>3f-1m,sounding,trample,enema,peg,feet</t>
  </si>
  <si>
    <t>flog,pussy flog,nipple suction,vibrator,cane,nipple ropes,anal hook</t>
  </si>
  <si>
    <t>pussy hair pull</t>
  </si>
  <si>
    <t>latex,butt plug,peg,blindfold,asphyxiation,titjob,footjob,trample,piv</t>
  </si>
  <si>
    <t>pussy shock plugs</t>
  </si>
  <si>
    <t>teen,fingering,butt plug,spank,anal</t>
  </si>
  <si>
    <t>nipple suction at 1m,spike wheel at 5m,wax at 10m</t>
  </si>
  <si>
    <t>nipple suction,oiled,nipple ropes,nipple ropes weights,anal hook mouth,flog,vibrator,crotch rope weight</t>
  </si>
  <si>
    <t>nipple suction at 4m,oiled at 8m,crotch rope weight at 14m</t>
  </si>
  <si>
    <t>crotch rope,nipple clothespin,flog,vibrator</t>
  </si>
  <si>
    <t>basic fingering and nipple torture</t>
  </si>
  <si>
    <t>special weird nipple ropes at 10m</t>
  </si>
  <si>
    <t>inverted pussy over face,one bar,stand</t>
  </si>
  <si>
    <t>hogtied,split suspended upside down,suspended face down horizontal</t>
  </si>
  <si>
    <t>mouse traps at 7m,anal hook at 15m,pussy clamps connected to nipple clamps at 22m</t>
  </si>
  <si>
    <t>https://bdsmstreak.com/video/95643/mark-davis-and-nadia-styles</t>
  </si>
  <si>
    <t>oiled at 8m,pussy clothespin at 12m</t>
  </si>
  <si>
    <t>bent on wheel,kneel vertical,stand face between legs</t>
  </si>
  <si>
    <t>oiled at 4m</t>
  </si>
  <si>
    <t>https://porndude.tv/sexuallybroken-odette-delacroix-tiny-blonde-bound-odette-delacroix-tiny-blonde-bound-inside-a-box-roughly-fucked-from-both-ends-by-cock</t>
  </si>
  <si>
    <t>SexuallyBroken – Odette Delacroix Tiny Blonde Bound - Odette Delacroix Tiny Blonde Bound Inside A Box Roughly Fucked From Both Ends By Cock</t>
  </si>
  <si>
    <t>inside box,doggy,spitroast</t>
  </si>
  <si>
    <t>blowjob,piv,spitroast,bbc</t>
  </si>
  <si>
    <t>box fuck from both sides</t>
  </si>
  <si>
    <t>aufd hands front</t>
  </si>
  <si>
    <t>basic fucking machine type video</t>
  </si>
  <si>
    <t>1f-1f,nipple clamps weights,vibrator,flog,tit flog</t>
  </si>
  <si>
    <t>normal upside down vibrator</t>
  </si>
  <si>
    <t>sit,spread eagle</t>
  </si>
  <si>
    <t>just vibrator</t>
  </si>
  <si>
    <t>1f-1f,electric,anal hook,pussy shock</t>
  </si>
  <si>
    <t>just anal hook</t>
  </si>
  <si>
    <t>inflatable butt plug at 7m</t>
  </si>
  <si>
    <t>cane,spank,fingering,vibrator,butt plug,inflatable butt plug,dildo stick</t>
  </si>
  <si>
    <t>2f-1m,tiny,small tits,teen,flog,fist,tongue clothespin,anal cum,pussy sandwich</t>
  </si>
  <si>
    <t>tiny,small tits,teen,teacher-student,blowjob,piv,anal,plaid</t>
  </si>
  <si>
    <t>tiny,small tits,teen,blowjob,pussy eat,piv</t>
  </si>
  <si>
    <t>tiny,small tits,teen,pinned,undress,piv,fondle</t>
  </si>
  <si>
    <t>tiny,small tits,teen,flog,pussy flog,vibrator,cane</t>
  </si>
  <si>
    <t>tiny,small tits,teen,blowjob,piv,fondle</t>
  </si>
  <si>
    <t>tiny,small tits,teen,bbc,blowjob,pussy eat,piv</t>
  </si>
  <si>
    <t>tiny,small tits,teen,gangbang,bukkake,strip,bbc</t>
  </si>
  <si>
    <t>tiny,small tits,teen,slim,white pussy</t>
  </si>
  <si>
    <t>tiny,small tits,teen</t>
  </si>
  <si>
    <t>nipple suction at 2m</t>
  </si>
  <si>
    <t>suspended upside down,spread eagle,pretzel</t>
  </si>
  <si>
    <t>stand,spread eagle,pretzel,pretzel vertical suspended</t>
  </si>
  <si>
    <t>undress at 5m,spank from 2m to 12m,nipple clamps pullers at 13m,anal hook pussy at 25m,tit flog at 25m,nipple sticks at 28m</t>
  </si>
  <si>
    <t>spread eagle,suspended bent,inverted pussy over face</t>
  </si>
  <si>
    <t>2f-1f1m,live,nipple sandpaper,tit flog,vibrator,nipple clamps,nipple ropes,feet,feet lick,flog,lesbian strapon</t>
  </si>
  <si>
    <t>nipple sandpaper at 0m,tit flog at 4m,suspended bent at 12m,f-f feet lick at 19m,inverted pussy over face at 26m,strapon at 38m</t>
  </si>
  <si>
    <t>suspended upside down,inverted pussy over face,aufd hands between legs</t>
  </si>
  <si>
    <t>pretzel,aufd hands front,split suspended</t>
  </si>
  <si>
    <t>very creative positions and all the hardcore equipment</t>
  </si>
  <si>
    <t>sit,inverted pussy over face extreme,suspended face down horizontal</t>
  </si>
  <si>
    <t>nipple suction at 17m,spank at 22m,nipple pull at 37m,nipple mouse traps at 37m</t>
  </si>
  <si>
    <t>panty gag at 1m,nipple clamps at 16m,oiled at 20m</t>
  </si>
  <si>
    <t>arched n,missionary</t>
  </si>
  <si>
    <t>pussy flog at 10m,spank at 29m,oiled at 41m,stick in nipple clamps at 44m</t>
  </si>
  <si>
    <t>pretzel,aufd hands between legs,lay down</t>
  </si>
  <si>
    <t>pusy eat at 39m,average electro bondage contents</t>
  </si>
  <si>
    <t>spank at 11m,nipple mouse traps at 25m,oiled at 45m</t>
  </si>
  <si>
    <t>undress at 6m,spank at 10m,flog at 10m,nipple clamps at 12m,blindfold at 13m,inverted face over pussy at 29m,anal hook at 34m,electric patches under cloth at 41m,step on tits at 61m</t>
  </si>
  <si>
    <t>wooden horse,split suspended,split lay down</t>
  </si>
  <si>
    <t>face locked into pussy with anal hook at 28m,nose hook at 30m,step on ass at 40m</t>
  </si>
  <si>
    <t>spread eagle,suspended face down horizontal,sit</t>
  </si>
  <si>
    <t>undress at 7m,nipple suck at 7m,nipple sticks at 11m,wax tits at 12m,wax pussy at 12m,suffocation at 13m,spike wheel at 17m,pussy mouse traps at 19m,spank at 34m,nipple suction at 55m,blindfold at 55m,pussy binder clips at 55m</t>
  </si>
  <si>
    <t>stand,lay down,sit,69</t>
  </si>
  <si>
    <t>basic femdom stuff</t>
  </si>
  <si>
    <t>cute and sexy,ball gag put on at 7m,basic femdom but the domina is very sexy</t>
  </si>
  <si>
    <t xml:space="preserve">pretzel,doggy,inverted pussy over face,aufd hands between legs </t>
  </si>
  <si>
    <t>super oiled emily willis video with insane positions</t>
  </si>
  <si>
    <t>spank at 8m,face sit at 16m,slap at 23m,strapon with cane and flog at 27m</t>
  </si>
  <si>
    <t>spread eagle,aufd hands between legs,lay down</t>
  </si>
  <si>
    <t>2f-1m,nipple suction,vibrator,blowjob,flog,dildo stick,crotch rope,nipple binder clips</t>
  </si>
  <si>
    <t>tiny,small tits,teen,torch in pussy,anal hook pussy,anal hook</t>
  </si>
  <si>
    <t>fingering,dildo stick vibrator,flog,cane,oiled,nipple clamps,butt plug,anal hook,gag ball</t>
  </si>
  <si>
    <t>1f-2f,nose hook,gag ball,pussy wedgie,flog,cane,vibrator,anal hook,spank,clit suction,pussy clamps,slap,tit slap,dp dildo,nipple clamps weights,oiled,one bar,spit,fucking machine</t>
  </si>
  <si>
    <t>gag ball,nipple clamps weights,ice,ice in pussy,dildo stick,cane,vibrator,crotch rope,dildo stick vibrator,sybian,body clothespin,flog</t>
  </si>
  <si>
    <t>1f-1f,nipple clamps electric,pussy clamps electric,nose hook,blackout contacts,gag ball,flog,slap,tit slap,nipple suction,clit suction,pussy slap,kiss,strapon,pussy eat</t>
  </si>
  <si>
    <t>gag ball,vibrator,flog,spank,cane</t>
  </si>
  <si>
    <t>gag ball,spank,flog,tit flog</t>
  </si>
  <si>
    <t>gag ball,anal hook,piv,anal,blowjob,body clothespin</t>
  </si>
  <si>
    <t>gag ball,spank,tit slap,blindfold,flog,armpits,armpits sniff,armpits bite,blowjob,anal hook,wax,vibrator</t>
  </si>
  <si>
    <t>nipple mouse traps,oiled,nipple clamps weights,gag ball,anal hook,dildo stick,flog,pussy flog,tongue mouse traps,pussy clamps,fingering,cane</t>
  </si>
  <si>
    <t>oiled,armpits,armpits tickle,flog,cane,pussy clothespin,pussy flog,blowjob,nipple clothespin,nipple clamps,gag ball,piv,anal</t>
  </si>
  <si>
    <t>blindfold,spank,gag ball,whip,cane,nipple clamps pullers,vibrator,anal hook pussy,anal hook,anal hook mouth,tit flog,nipple clamps,nipple sticks,pussy clamps,dildo stick</t>
  </si>
  <si>
    <t>spank,cane,flog,gag ball,vibrator,electric,nipple clamps,paddle</t>
  </si>
  <si>
    <t>gag ball,flog,nipple binder clips,fucking machine,clit suction,tit suction cups</t>
  </si>
  <si>
    <t>2f-1f1m,live,gag ball,flog,vibrator,wheel barrow face down,cane,strapon</t>
  </si>
  <si>
    <t>outdoor,gag ball,armpits,vibrator,fingering,flog,pussy flog,spank</t>
  </si>
  <si>
    <t>1f1f1f1f-1m,pussy slap,tit slap,nipple bite,spank,flog,gag ball,pussy clothespin,pussy eat,spike wheel,pussy ornament</t>
  </si>
  <si>
    <t>chastity,gag ball,anal hook,spank,enema,peg</t>
  </si>
  <si>
    <t>flog,nipple clamps weights,gag ball,blindfold,nipple ropes,fingering</t>
  </si>
  <si>
    <t>2f-2m,live,pussy eat,nipple clamps,nipple suction,gag ball,flog,nipple ropes</t>
  </si>
  <si>
    <t>1f-1f,kiss,pussy clothespin,strapon,electric,feet,pussy bite,pussy eat,pussy flog,gag ball</t>
  </si>
  <si>
    <t>oiled,nipple clamps,sybian,gag ball,dildo stick,vibrator,nipple clamps weights</t>
  </si>
  <si>
    <t>gag ball,flog,tit flog,tickle,armpits,armpits tickle,pussy flog,tit slap,vibrator,oiled,crotch rope,familiar tits</t>
  </si>
  <si>
    <t>oiled,nipple clamps,mummy,spank,nipple mouse traps,vibrator,gag ball,nipple clamps,nipple sticks,dildo stick</t>
  </si>
  <si>
    <t>1f-fmgb,gag ball,body clothespin,spank,waterboard,humiliation</t>
  </si>
  <si>
    <t>gag ball,gangbang,fist</t>
  </si>
  <si>
    <t>gag ball,tit slap,flog,vibrator,spank,cane,nipple clothespin,dildo stick</t>
  </si>
  <si>
    <t>gag ball,fingering,cane,flog,pussy flog,nipple binder clips,armpits,vibrator</t>
  </si>
  <si>
    <t>1f-1f,gag ball,flog,pussy flog,electric,probe,anal,pussy eat,vibrator</t>
  </si>
  <si>
    <t>2f-1m,gag ball,cock ring,body clothespin,flog,peg</t>
  </si>
  <si>
    <t>gag ball,flog,wax,peg,cock ring,feet</t>
  </si>
  <si>
    <t>gag ball,flog,spank,vibrator</t>
  </si>
  <si>
    <t>spank,flog,nipple clamps,nipple suction,fingering,gag ball</t>
  </si>
  <si>
    <t>2f-1m,spank,flog,nipple clamps,gag ball,crotch rope</t>
  </si>
  <si>
    <t>tit bound,gag ball,pussy spank,spank,cane,flog,blindfold,electric</t>
  </si>
  <si>
    <t>spank,butt plug,electric,flog,strapon,gag ball</t>
  </si>
  <si>
    <t>crotch rope walk,tiger balm,nipple clamps,gag ball,fondle</t>
  </si>
  <si>
    <t>nipple clothespin,gag ball,pussy hair pull,straight jacket,fingering,sensory deprivation</t>
  </si>
  <si>
    <t>gag ball,vibrator,lesdom,oiled,fist,nipple clamps</t>
  </si>
  <si>
    <t>feet,spank,handjob,latex,leash,paddle,gag ball,flog,peg,nipple clamps,pussy eat,footjob</t>
  </si>
  <si>
    <t>flog,gag ball,nipple sticks,nipple clamps,vibrator</t>
  </si>
  <si>
    <t>blindfold,flog,gag ball,peg,spank,pussy eat</t>
  </si>
  <si>
    <t>2f-1m,trample,feet,spank,pussy eat,peg,wax,gag ball,anal hook</t>
  </si>
  <si>
    <t>fondle,blindfold,flog,spank,vibrator,gag ball</t>
  </si>
  <si>
    <t>gag ball,vibrator,whip,tit whip,nipple binder clips</t>
  </si>
  <si>
    <t>gag ball,spank,flog,vibrator</t>
  </si>
  <si>
    <t>dildo stick,nipple clamps,rubber band feet,nipple clothespin,vibrator,gag ball</t>
  </si>
  <si>
    <t>gag ball,cane,flog,spank,paddle,strapon,peg,piv,handjob,blowjob</t>
  </si>
  <si>
    <t>ball clamps,body clothespin,gag ball,flog,peg,piv</t>
  </si>
  <si>
    <t>gag ball,spank,flog,dildo stick,anal hook</t>
  </si>
  <si>
    <t>1f-1f,gag ball,strip,flog,cane,vibrator</t>
  </si>
  <si>
    <t>1f-2m,flog,gag ball,electric,oiled,pussy clamps</t>
  </si>
  <si>
    <t>oiled,flog,nipple clamps,gag ball,blowjob,lesdom</t>
  </si>
  <si>
    <t>gag ball,vibrator</t>
  </si>
  <si>
    <t>cane,nipple clamps,gag ball,blowjob,pussy eat</t>
  </si>
  <si>
    <t>1f-2f,gag bite,tit bound,flog,tit flog,oiled,electric,cane,sybian,vibrator</t>
  </si>
  <si>
    <t>1f-2f,gag ball,wax tits,wax pussy,nipple sticks,wax,nipple suction,nipple suck,tit slap,flog,tit flog,pussy flog,suffocation,spike wheel,tickle,pussy mouse traps,cane,vibrator,fingering,spank,pussy eat,blindfold,pussy binder clips,tit binder clips,gag bite,sybian</t>
  </si>
  <si>
    <t>live,oiled,og,nipple clamps,flog,gag bite,pussy flog,pussy clamps,spank,vibrator</t>
  </si>
  <si>
    <t>1f1f1f1f-1m,tit slap,gag bite,flog,rubber band feet,spike wheel,vibrator</t>
  </si>
  <si>
    <t>gag bite,flog,nipple clamps,shave,spank,body clothespin</t>
  </si>
  <si>
    <t>gag bite,cane,nipple clamps,flog,dildo stick,vibrator</t>
  </si>
  <si>
    <t>1f-1f,nipple clamps,shocking,waterboard,gag bite,cane,flog</t>
  </si>
  <si>
    <t>armpits,gag panty,flog,vibrator,nipple clamps,blindfold,oiled</t>
  </si>
  <si>
    <t>1f-1f,gag ball,cane,flog,spank,spike wheel,nipple suction,gag panty,pussy eat,electric</t>
  </si>
  <si>
    <t>spank,peg,body clothespin,gag panty</t>
  </si>
  <si>
    <t>gag panty,nipple suction,flame,spike wheel,nipple clamps,spank</t>
  </si>
  <si>
    <t>nipple clothespin,gag panty,fucking machine,flog,nipple suction,dildo stick vibrator</t>
  </si>
  <si>
    <t>cnc,gangbang,gag panty,blowjob,double penetration,duct tape</t>
  </si>
  <si>
    <t>1f-1f1m,gag panty,flog,pussy flog,vibrator</t>
  </si>
  <si>
    <t>1f-1f,gag tape,pussy clamps,nipple clamps,anal hook,cane,flog,electric,fist,gag ball,sybian</t>
  </si>
  <si>
    <t>1f-1f,gag tape,flog,pussy eat,oiled,strapon,tit torture</t>
  </si>
  <si>
    <t>gag bite,blindfold,gag tape,cane,fingering,vibrator</t>
  </si>
  <si>
    <t>tiny,small tits,teen,flog,gag tape,wax,nipple clamps,gag ball</t>
  </si>
  <si>
    <t>one bar,gag tape,nipple ropes,nose hook,vibrator,dildo stick,gag ball,flog,crotch rope</t>
  </si>
  <si>
    <t xml:space="preserve">gag ball,nipple clamps,needles,gag tape,sybian,strapon </t>
  </si>
  <si>
    <t>tit bound,gag rope,whip,flog,cane,anal hook,nipple suction,spank,oiled,nipple pull,nipple mouse traps,sybian</t>
  </si>
  <si>
    <t xml:space="preserve">spreader bar,whip,pussy clamps,gag rope,pussy hook,dildo stick </t>
  </si>
  <si>
    <t>tutorial,gag rope,anal hook,cbt,shibari,ball suction</t>
  </si>
  <si>
    <t>pussy clamps,flog,nipple clamps,cane,gag rope,gag ball</t>
  </si>
  <si>
    <t>1f-1f,pussy eat,fingering,gag panty,spank,tit flog,pussy flog,gag ball,flog,vibrator,strapon,gag open mouth,pussy clamps,clit suction,nipple suction</t>
  </si>
  <si>
    <t>spank,dildo stick,anal hook,gag open mouth,vibrator,cane</t>
  </si>
  <si>
    <t>nose hook,cane,gag open mouth,shave,pussy clamps,gag panty</t>
  </si>
  <si>
    <t>electric,body clothespin,gag open mouth,gag ball,nipple suction,vibrator</t>
  </si>
  <si>
    <t>gag open mouth,nose hook,dildo stick,chastity belt,suffocation,spreader bar</t>
  </si>
  <si>
    <t>1f-1f,teen,gag tunnel,spank,flog,nipple clamps,vibrator,taser,electric,gag ball,sybian,strapon</t>
  </si>
  <si>
    <t>gag tunnel,closeup,oiled</t>
  </si>
  <si>
    <t>outdoor,head mask,flog,ice on pussy,anal hook,gag tunnel</t>
  </si>
  <si>
    <t>gag ball,cane,spank,nipple clamps,tit bound,gag inflatable,inflatable butt plug,tit flog,nipple sticks,pussy flog,vibrator,dildo stick</t>
  </si>
  <si>
    <t>cane,gag funnel,flog,fingering</t>
  </si>
  <si>
    <t>2f-1m,gag liplocker</t>
  </si>
  <si>
    <t>blowjob,oiled,cane,fingering,butt plug,gag butt plug</t>
  </si>
  <si>
    <t>1f-2f,live,gag ball,whip,oiled,nipple clamps,flog,body clothespin,vibrator,dildo stick,gag funnel,pussy clamps,pussy fist,sybian,blindfold,gag wire,slap</t>
  </si>
  <si>
    <t>stand,missionary,aufd hands between legs</t>
  </si>
  <si>
    <t>arched n,spread eagle,doggy</t>
  </si>
  <si>
    <t>ball gag at 3m,undress at 6m,slap and tit slap at 14m,nipple clothespin at 14m,oiled at 26m,body clothespin at 29m zipper style,crotch rope weight at 32m,anal hook at 37m</t>
  </si>
  <si>
    <t>trimed start and end,mp4 from pornolab</t>
  </si>
  <si>
    <t>felony cleaned (720p).mp4</t>
  </si>
  <si>
    <t>https://heavyfetish.com/videos/58872/splits/</t>
  </si>
  <si>
    <t>1f-1f,crotch rope walk,crotch chain walk,hot sauce,whip,goth</t>
  </si>
  <si>
    <t>1f-1f,gag bite,stapler,flog,goth</t>
  </si>
  <si>
    <t>1f-1f,oiled,feet,foot in ass,foot in pussy,silver powder,fishnet,scissor,goth</t>
  </si>
  <si>
    <t>1f-1f,toilet brush,goth</t>
  </si>
  <si>
    <t>1f-1f,cigg,pantyhose,tit slap,vibrator,goth</t>
  </si>
  <si>
    <t>cock ring,flog,high heels,high heels worship,gag ball,high heels step on dick,high heels step on balls,pussy eat,strapon,peg</t>
  </si>
  <si>
    <t>1f-1f,live,anal hook,anal hook weight,cane,spank,flog,gag ball,cage,nipple clamps,blindfold,vibrator,fingering,electric,sybian,step on tits,high heels,high heels step on tits</t>
  </si>
  <si>
    <t>1f-1f,pussy slap,fingering,nipple clamps,electric,spank,flog,pussy flog,tit flog,face sit,pussy eat,high heels,high heels step on head,leash,slap,strapon,spreader bar,cane,vibrator,blindfold,gag bite,nipple clamps weight</t>
  </si>
  <si>
    <t>clothespin on dick with string at 13m,panty on face at 33m,ball bite at 22m</t>
  </si>
  <si>
    <t>flog,feet on dick,feet on balls,feet,peg,wax,high heels,high heels worship,ball bite,pussy eat,high heels lick,high heels worship</t>
  </si>
  <si>
    <t>pussy bite,high heels,high heels step on ass,nipple pinch,flog,enema,gag rope,armpits,pussy flog,gag tunnel,cane,whip</t>
  </si>
  <si>
    <t>pussy flog on timer at 4m,pussy whip on timer</t>
  </si>
  <si>
    <t>inverted face over pussy,spread eagle,lay on side one leg up</t>
  </si>
  <si>
    <t>1f-1f,oiled,pussy eat,leash,flog,pussy flog,whip,pussy whip,dildo,fingering,goth</t>
  </si>
  <si>
    <t>lay down,suspended upside down</t>
  </si>
  <si>
    <t>spreader bar at 7m,body clothespin zipper at 15m</t>
  </si>
  <si>
    <t>oiled at 7m,wax at 8m,nipple clamps at 13m,tit slap at 15m</t>
  </si>
  <si>
    <t>live,og,oiled,wax,wax tits,nipple clamps,vibrator,crotch rope weight,cane,closeup,tit slap,dildo stick</t>
  </si>
  <si>
    <t>tit bound,cane,spank,slap,vibrator,unconcious,broke character,wholesome,funny,creepy</t>
  </si>
  <si>
    <t>spank at 3m,slap at 9m,weird stuff after 11m</t>
  </si>
  <si>
    <t>tiny,small tits,teen,kidnap,pussy eat,gag tape,blowjob,vibrator,electric,step on head</t>
  </si>
  <si>
    <t>2f-2f,live,face locked into pussy,gag panty,nipple clamps,nipple clamps weights,cane,vibrator,anal hook,gag bite,nose hook,nipple sticks,high heels,high heels step on ass,sybian,flog,tit flog</t>
  </si>
  <si>
    <t>wax,metal bondage,nipple suction,clit suction,closeup,spike wheel,gag ball,nipple clamps,wax,fucking machine,dildo stick</t>
  </si>
  <si>
    <t>gag ball,vibrator,fingering,nipple pull,flog,tit flog,slap,tit slap,nipple clothespin,blowjob,spreader bar,oiled,body clothespin,body clothespin zipper,crotch rope weight,anal hook,dildo stick,dildo stick vibrator,cane</t>
  </si>
  <si>
    <t>flog,tit flog,pussy flog,nipple pull,nipple suction,tit suction cups,vibrator,gag ball,pussy hair pull,pussy spank,cane,nipple mouse traps,anal hook</t>
  </si>
  <si>
    <t>flog at 6m,nipple pull at 7m,nipple suction at 7m,tit suction cups at 9m,pussy hair pull at 16m,flog at 29m,nipple mouse trap at 31m,anal hook at 32m</t>
  </si>
  <si>
    <t>nipple pull at 9m,one leg pull up at 10m,step on tits at 29m</t>
  </si>
  <si>
    <t>flog,vibrator,step on tits,dildo stick,nipple pull,suspended</t>
  </si>
  <si>
    <t>nipple pull at 5m,nipple clamps at 8m,pussy clamps at 10m,blindfold at 11m,sybian at 32m</t>
  </si>
  <si>
    <t>nipple pull,nipple clamps,pussy clamps,blindfold,vibrator,flog,dildo stick,sybian,gag ball</t>
  </si>
  <si>
    <t>tiny,small tits,tit slap,nipple pull,nipple clothespin,pussy clamps,cane,slap,spank,paddle,belt</t>
  </si>
  <si>
    <t>flog at 8m,nipple suction toothpick at 14m,tit grab pull at 24m,pussy cane at 26m,suffocation at 34m,step on stomach at 48m,waterboard at 54m</t>
  </si>
  <si>
    <t>drug,flog,nipple suction toothpick,vibrator,tit slap,tit grab pull,cane,suffocation,step on stomach,waterboard</t>
  </si>
  <si>
    <t>nipple pull,blowjob,vibrator,piv,fingering,slap,spank,closeup,gag ball</t>
  </si>
  <si>
    <t>nipple pull at 3m,spank at 15m,closeup pussy at 15m,much normal except the closeups of the white pussy</t>
  </si>
  <si>
    <t>nipple clamps,flog,nipple pull,step on tits,wax,fingering</t>
  </si>
  <si>
    <t>tit spank at 9m,nipple clamps weighed down at 11m,pretzel vertical at 18m,step on tits at 34m,nipple pull at 35m</t>
  </si>
  <si>
    <t>gag bite,nipple pull,whip,cane,pussy plugged,vibrator</t>
  </si>
  <si>
    <t>metal bondage,anal hook,gag wire,gag inflatable,fucking machine,pussy shock</t>
  </si>
  <si>
    <t>aufd,hogtied,kneel vertical,doggy,spread eagle,suspended upside down</t>
  </si>
  <si>
    <t>tiny,small tits,teen,blowjob,piv,piercing belly button,spreader bar,vibrator,nipple clamps weights</t>
  </si>
  <si>
    <t>decent stuff mainly the locking kneeling position is good, rest is just blowjob, teen and tiny tits though</t>
  </si>
  <si>
    <t>2f-1m,live,gag ball,neck lock,flog,nipple clamps weights,step on nails,anal hook,vibrator</t>
  </si>
  <si>
    <t>stand,doggy,arched n</t>
  </si>
  <si>
    <t>undress at 6m,nipple pinch at 8m,spank at 10m,tit grab pull at 14m,ass closeup at 18m,armpits at 19m,nipple pull at 26m,nipple clamps at 26m</t>
  </si>
  <si>
    <t>tiny,small tits,teen,nipple pinch,undress,tit grab pull,spank,flog,tit flog,fingering,closeup,gag tape,armpits,vibrator,nipple pull,nipple clamps,gag ball</t>
  </si>
  <si>
    <t>stand,bent on wheel,face sit,aufd,lay on side one leg up</t>
  </si>
  <si>
    <t>1f-1f,undress,nipple pull,vibrator,flog,fingering,oiled,nipple pull machine,nipple rubber bands,tit slap,cane,gag dildo two way,face sit,piss,feet,feet lick,feet worship,pussy slap,dildo stick,gag ball,strapon,spank</t>
  </si>
  <si>
    <t>1f-fmgb,nipple clamps,gag dildo one way,body clothespin,pussy fist</t>
  </si>
  <si>
    <t>peg,gag ball,gangbang,feet worship,cbt,wax</t>
  </si>
  <si>
    <t>jav,feet worship,cbt,flog,peg,gangbang</t>
  </si>
  <si>
    <t>4f-1m,body lick,bikini,feet worship,call girls,cfnm</t>
  </si>
  <si>
    <t>vibrator,fucking machine,cane,spank,fingering</t>
  </si>
  <si>
    <t>1f-1f,trample,high heels,high heels worship,high heels pussy kick,pussy kick,feet,goth</t>
  </si>
  <si>
    <t>1f-1f,vibrator,fingering,body clothespin,body clothespin zipper,vibrator,slap,tit slap,spreader bar</t>
  </si>
  <si>
    <t>inverted pussy over face,lay down,doggy</t>
  </si>
  <si>
    <t>undress at 7m,nipple pull at 7m,nipple pull machine and nipple rubber bands at 17m,tit slap at 17m,ride dildo on mouth at 24m,feet stuff at 28m,spank at 42m</t>
  </si>
  <si>
    <t>flog,spank,gag bite,anal hook,nipple pull,nipple clamps weights,dildo stick,cane,gag tunnel,nipple pull machine</t>
  </si>
  <si>
    <t>spank at 9m,anal hook at 9m,nipple pull at 12m,nipple clamps weights at 13m,nipple pull machine at 34m</t>
  </si>
  <si>
    <t>https://www.kink.com/shoot/4072</t>
  </si>
  <si>
    <t>https://www.kink.com/shoot/4867</t>
  </si>
  <si>
    <t>https://www.kink.com/shoot/4808</t>
  </si>
  <si>
    <t>shy love</t>
  </si>
  <si>
    <t>weight buket valls</t>
  </si>
  <si>
    <t>https://www.kink.com/shoot/4203</t>
  </si>
  <si>
    <t>harmony</t>
  </si>
  <si>
    <t>https://www.kink.com/shoot/7017</t>
  </si>
  <si>
    <t>dick bite</t>
  </si>
  <si>
    <t>Aiden Starr and Danny Wylde</t>
  </si>
  <si>
    <t>Painful Predicament</t>
  </si>
  <si>
    <t>Mistress Shy Love Dominates her slave</t>
  </si>
  <si>
    <t>Harmony and Lefty</t>
  </si>
  <si>
    <t>Objectification</t>
  </si>
  <si>
    <t>The Wrong House</t>
  </si>
  <si>
    <t>https://www.kink.com/shoot/107290</t>
  </si>
  <si>
    <t>arson leigh</t>
  </si>
  <si>
    <t>https://www.kink.com/shoot/108172</t>
  </si>
  <si>
    <t>violet voss</t>
  </si>
  <si>
    <t>feet stuff and dick rope</t>
  </si>
  <si>
    <t>Goddess Violet</t>
  </si>
  <si>
    <t>The New Boy</t>
  </si>
  <si>
    <t>https://www.kink.com/shoot/107583</t>
  </si>
  <si>
    <t>oield at 3m,spank at 8m,flog at 16m</t>
  </si>
  <si>
    <t>live,og,oiled,spank,fingering,dildo stick,flog,dildo stick vibrator</t>
  </si>
  <si>
    <t>live,inverted,oiled</t>
  </si>
  <si>
    <t>live,PRIORITY,cigg in ass,bent on wheel</t>
  </si>
  <si>
    <t>live,shave,best ariel x</t>
  </si>
  <si>
    <t>live,og</t>
  </si>
  <si>
    <t>live,inverted ass up,OG</t>
  </si>
  <si>
    <t>https://hcbdsm.com/video/83315/falling-into-ashes-ash-hollywood/</t>
  </si>
  <si>
    <t>face box,chains,spik wheel,armpits,undress,tit grab pull,nipple pull,tit slap,nipple clamps,piercing belly button,whip,tit whip,crotch chain,flog,step on stomach,vibrator,nipple suction,hands puppy,gag sound activated pain,nipple ropes</t>
  </si>
  <si>
    <t>spike wheel at 8m,armpits at 8m,undress at 9m,tit grab pull at 9m,nipple pull at 9m,tit slap at 9m,nipple clamps at 10m,tit whip at 12m,crotch chain at 16m,step on stomach at 21m,nipple suction at 28m,gag sound activated pain at 28m (audio shock setting on the Eros Tek),nipple ropes at 37m</t>
  </si>
  <si>
    <t>aufd hands between legs,pretzel</t>
  </si>
  <si>
    <t>tiny,small tits,teen,gag ball,undress,nipple pull,nipple clothespin,spank,spreader bar,vibrator,butt plug</t>
  </si>
  <si>
    <t>undress at 16m,nipple pull at 16m,spank at 22m,butt plug at 52m</t>
  </si>
  <si>
    <t>suspended missionary,sit,lay down diamond face down</t>
  </si>
  <si>
    <t>1f-1f,strapon,latex,cane,pussy spank,gag ball,nipple suck,nipple tongs,electric,spreader bar,flog,pussy eat,feet on tits,feet in pussy,vibrator,slap,kiss,gag tunnel,piss on food</t>
  </si>
  <si>
    <t>pussy spank at 5m,nipple suck at 8m,nipple tongs at 8m, tongs shock at 9m,feet on tits at 35m,feet in pussy at 38m,ass flog at 42m,piss on food at 71m</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</si>
</sst>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3" x14ac:knownFonts="1">
    <font>
      <sz val="11"/>
      <color theme="1"/>
      <name val="Calibri"/>
      <family val="2"/>
      <scheme val="minor"/>
    </font>
    <font>
      <sz val="8"/>
      <name val="Calibri"/>
      <family val="2"/>
      <scheme val="minor"/>
    </font>
    <font>
      <b/>
      <sz val="11"/>
      <color theme="0"/>
      <name val="Calibri Light"/>
      <family val="2"/>
      <scheme val="major"/>
    </font>
  </fonts>
  <fills count="3">
    <fill>
      <patternFill patternType="none"/>
    </fill>
    <fill>
      <patternFill patternType="gray125"/>
    </fill>
    <fill>
      <patternFill patternType="solid">
        <fgColor theme="1" tint="0.249977111117893"/>
        <bgColor indexed="64"/>
      </patternFill>
    </fill>
  </fills>
  <borders count="2">
    <border>
      <left/>
      <right/>
      <top/>
      <bottom/>
      <diagonal/>
    </border>
    <border>
      <left style="thin">
        <color theme="0"/>
      </left>
      <right style="thin">
        <color theme="0"/>
      </right>
      <top style="thin">
        <color theme="0"/>
      </top>
      <bottom style="thin">
        <color theme="0"/>
      </bottom>
      <diagonal/>
    </border>
  </borders>
  <cellStyleXfs count="1">
    <xf numFmtId="0" fontId="0" fillId="0" borderId="0"/>
  </cellStyleXfs>
  <cellXfs count="3">
    <xf numFmtId="0" fontId="0" fillId="0" borderId="0" xfId="0"/>
    <xf numFmtId="0" fontId="2" fillId="2" borderId="1" xfId="0" applyFont="1" applyFill="1" applyBorder="1" applyAlignment="1">
      <alignment horizontal="center" vertical="center" wrapText="1"/>
    </xf>
    <xf numFmtId="0" fontId="2" fillId="0" borderId="0" xfId="0" applyFont="1" applyAlignment="1">
      <alignment horizontal="center" vertical="center"/>
    </xf>
  </cellXfs>
  <cellStyles count="1">
    <cellStyle name="Normal" xfId="0" builtinId="0"/>
  </cellStyles>
  <dxfs count="1">
    <dxf>
      <fill>
        <patternFill>
          <bgColor theme="1" tint="4.9989318521683403E-2"/>
        </patternFill>
      </fill>
    </dxf>
  </dxfs>
  <tableStyles count="0" defaultTableStyle="TableStyleMedium2" defaultPivotStyle="PivotStyleLight16"/>
  <colors>
    <mruColors>
      <color rgb="FFE096F4"/>
      <color rgb="FFFF6161"/>
      <color rgb="FFFF3300"/>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6" Type="http://schemas.openxmlformats.org/officeDocument/2006/relationships/calcChain" Target="calcChain.xml"/><Relationship Id="rId5" Type="http://schemas.openxmlformats.org/officeDocument/2006/relationships/sheetMetadata" Target="metadata.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3" Type="http://schemas.openxmlformats.org/officeDocument/2006/relationships/hyperlink" Target="https://bdsmstreak.com/video/94773/encore-of-amber-raynes-april-6th-live-show" TargetMode="External"/><Relationship Id="rId7" Type="http://schemas.openxmlformats.org/officeDocument/2006/relationships/printerSettings" Target="../printerSettings/printerSettings1.bin"/><Relationship Id="rId2" Type="http://schemas.openxmlformats.org/officeDocument/2006/relationships/hyperlink" Target="https://hcbdsm.com/video/63086/vendetta-and-claire-adams/" TargetMode="External"/><Relationship Id="rId1" Type="http://schemas.openxmlformats.org/officeDocument/2006/relationships/hyperlink" Target="https://hcbdsm.com/video/83137/19-year-old-s-fierce-introduced-to-the-bitches/" TargetMode="External"/><Relationship Id="rId6" Type="http://schemas.openxmlformats.org/officeDocument/2006/relationships/hyperlink" Target="https://bdsmstreak.com/video/94552/jenni-lee-and-jade-marxxx" TargetMode="External"/><Relationship Id="rId5" Type="http://schemas.openxmlformats.org/officeDocument/2006/relationships/hyperlink" Target="https://www.tnaflix.com/lesbian-porn/TWISTYS-When-Girls-Play-Riley-Reid-Jill-Kassidy-Lesbian-Bed-Death/video3824953" TargetMode="External"/><Relationship Id="rId4" Type="http://schemas.openxmlformats.org/officeDocument/2006/relationships/hyperlink" Target="https://bdsmstreak.com/video/89632/arabelles-trashcan-arabelle-raphael-destroys-marcelo"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4BC93B7-B882-48B2-AAF6-D1E0B3702CB8}">
  <dimension ref="A1:T473"/>
  <sheetViews>
    <sheetView tabSelected="1" zoomScale="40" zoomScaleNormal="40" workbookViewId="0">
      <pane ySplit="1" topLeftCell="A2" activePane="bottomLeft" state="frozen"/>
      <selection pane="bottomLeft" activeCell="F10" sqref="F10"/>
    </sheetView>
  </sheetViews>
  <sheetFormatPr defaultRowHeight="15" x14ac:dyDescent="0.25"/>
  <cols>
    <col min="1" max="1" width="12.5703125" style="2" customWidth="1"/>
    <col min="2" max="2" width="62.140625" style="2" customWidth="1"/>
    <col min="3" max="3" width="17.7109375" style="2" bestFit="1" customWidth="1"/>
    <col min="4" max="4" width="37.85546875" style="2" customWidth="1"/>
    <col min="5" max="5" width="31.7109375" style="2" customWidth="1"/>
    <col min="6" max="6" width="29.28515625" style="2" customWidth="1"/>
    <col min="7" max="7" width="57.5703125" style="2" customWidth="1"/>
    <col min="8" max="8" width="23" style="2" customWidth="1"/>
    <col min="9" max="9" width="14.7109375" style="2" customWidth="1"/>
    <col min="10" max="10" width="9.85546875" style="2" customWidth="1"/>
    <col min="11" max="11" width="79.5703125" style="2" customWidth="1"/>
    <col min="12" max="12" width="25.140625" style="2" customWidth="1"/>
    <col min="13" max="13" width="11.5703125" style="2" customWidth="1"/>
    <col min="14" max="14" width="25.7109375" style="2" customWidth="1"/>
    <col min="15" max="15" width="10.7109375" style="2" customWidth="1"/>
    <col min="16" max="16" width="21.85546875" style="2" customWidth="1"/>
    <col min="17" max="17" width="17.7109375" style="2" customWidth="1"/>
    <col min="18" max="19" width="50.7109375" style="2" customWidth="1"/>
    <col min="20" max="20" width="14" style="2" customWidth="1"/>
    <col min="21" max="16384" width="9.140625" style="2"/>
  </cols>
  <sheetData>
    <row r="1" spans="1:20" x14ac:dyDescent="0.25">
      <c r="A1" s="1" t="s">
        <v>196</v>
      </c>
      <c r="B1" s="1" t="s">
        <v>43</v>
      </c>
      <c r="C1" s="1" t="s">
        <v>45</v>
      </c>
      <c r="D1" s="1" t="s">
        <v>46</v>
      </c>
      <c r="E1" s="1" t="s">
        <v>271</v>
      </c>
      <c r="F1" s="1" t="s">
        <v>48</v>
      </c>
      <c r="G1" s="1" t="s">
        <v>272</v>
      </c>
      <c r="H1" s="1" t="s">
        <v>273</v>
      </c>
      <c r="I1" s="1" t="s">
        <v>47</v>
      </c>
      <c r="J1" s="1" t="s">
        <v>51</v>
      </c>
      <c r="K1" s="1" t="s">
        <v>50</v>
      </c>
      <c r="L1" s="1" t="s">
        <v>44</v>
      </c>
      <c r="M1" s="1" t="s">
        <v>1734</v>
      </c>
      <c r="N1" s="1" t="s">
        <v>501</v>
      </c>
      <c r="O1" s="1" t="s">
        <v>1741</v>
      </c>
      <c r="P1" s="1" t="s">
        <v>513</v>
      </c>
      <c r="Q1" s="1" t="s">
        <v>799</v>
      </c>
      <c r="R1" s="1" t="s">
        <v>502</v>
      </c>
      <c r="S1" s="1" t="s">
        <v>503</v>
      </c>
      <c r="T1" s="1" t="s">
        <v>596</v>
      </c>
    </row>
    <row r="2" spans="1:20" ht="45" x14ac:dyDescent="0.25">
      <c r="A2" s="1" t="str">
        <f t="shared" ref="A2:A65" si="0">IF(ISBLANK(I2)=TRUE,"Pending","Done")</f>
        <v>Done</v>
      </c>
      <c r="B2" s="1" t="s">
        <v>482</v>
      </c>
      <c r="C2" s="1">
        <v>44</v>
      </c>
      <c r="D2" s="1" t="s">
        <v>566</v>
      </c>
      <c r="E2" s="1" t="s">
        <v>131</v>
      </c>
      <c r="F2" s="1" t="s">
        <v>53</v>
      </c>
      <c r="G2" s="1" t="s">
        <v>2298</v>
      </c>
      <c r="H2" s="1" t="s">
        <v>2269</v>
      </c>
      <c r="I2" s="1" t="s">
        <v>49</v>
      </c>
      <c r="J2" s="1">
        <v>10</v>
      </c>
      <c r="K2" s="1" t="s">
        <v>2299</v>
      </c>
      <c r="L2" s="1" t="str" cm="1">
        <f t="array" ref="L2">_xlfn.REGEXEXTRACT(B2,"(?&lt;=//)[^/]+")</f>
        <v>bdsmmansion.com</v>
      </c>
      <c r="M2" s="1" t="s">
        <v>456</v>
      </c>
      <c r="N2" s="1" t="s">
        <v>492</v>
      </c>
      <c r="O2" s="1" t="str" cm="1">
        <f t="array" ref="O2">IF(N2&lt;&gt;"NtApp",_xlfn.REGEXEXTRACT(N2,"\d+(?=p)"),"NtApp")</f>
        <v>1080</v>
      </c>
      <c r="P2" s="1" t="s">
        <v>625</v>
      </c>
      <c r="Q2" s="1" t="b">
        <f t="shared" ref="Q2:Q65" si="1">ISNUMBER(SEARCH(",",E2))</f>
        <v>0</v>
      </c>
      <c r="R2" s="1" t="s">
        <v>511</v>
      </c>
      <c r="S2" s="1" t="s">
        <v>505</v>
      </c>
      <c r="T2" s="1">
        <v>0</v>
      </c>
    </row>
    <row r="3" spans="1:20" ht="45" x14ac:dyDescent="0.25">
      <c r="A3" s="1" t="str">
        <f t="shared" si="0"/>
        <v>Done</v>
      </c>
      <c r="B3" s="1" t="s">
        <v>621</v>
      </c>
      <c r="C3" s="1">
        <v>48</v>
      </c>
      <c r="D3" s="1" t="s">
        <v>573</v>
      </c>
      <c r="E3" s="1" t="s">
        <v>489</v>
      </c>
      <c r="F3" s="1" t="s">
        <v>53</v>
      </c>
      <c r="G3" s="1" t="s">
        <v>2179</v>
      </c>
      <c r="H3" s="1" t="s">
        <v>632</v>
      </c>
      <c r="I3" s="1" t="s">
        <v>49</v>
      </c>
      <c r="J3" s="1">
        <v>10</v>
      </c>
      <c r="K3" s="1" t="s">
        <v>633</v>
      </c>
      <c r="L3" s="1" t="str" cm="1">
        <f t="array" ref="L3">_xlfn.REGEXEXTRACT(B3,"(?&lt;=//)[^/]+")</f>
        <v>bdsmstreak.com</v>
      </c>
      <c r="M3" s="1" t="s">
        <v>456</v>
      </c>
      <c r="N3" s="1" t="s">
        <v>629</v>
      </c>
      <c r="O3" s="1" t="str" cm="1">
        <f t="array" ref="O3">IF(N3&lt;&gt;"NtApp",_xlfn.REGEXEXTRACT(N3,"\d+(?=p)"),"NtApp")</f>
        <v>720</v>
      </c>
      <c r="P3" s="1" t="s">
        <v>1586</v>
      </c>
      <c r="Q3" s="1" t="b">
        <f t="shared" si="1"/>
        <v>0</v>
      </c>
      <c r="R3" s="1" t="s">
        <v>630</v>
      </c>
      <c r="S3" s="1" t="s">
        <v>631</v>
      </c>
      <c r="T3" s="1">
        <v>0</v>
      </c>
    </row>
    <row r="4" spans="1:20" ht="30" x14ac:dyDescent="0.25">
      <c r="A4" s="1" t="str">
        <f t="shared" si="0"/>
        <v>Done</v>
      </c>
      <c r="B4" s="1" t="s">
        <v>1630</v>
      </c>
      <c r="C4" s="1">
        <v>58</v>
      </c>
      <c r="D4" s="1" t="s">
        <v>573</v>
      </c>
      <c r="E4" s="1" t="s">
        <v>507</v>
      </c>
      <c r="F4" s="1" t="s">
        <v>53</v>
      </c>
      <c r="G4" s="1" t="s">
        <v>2177</v>
      </c>
      <c r="H4" s="1" t="s">
        <v>553</v>
      </c>
      <c r="I4" s="1" t="s">
        <v>49</v>
      </c>
      <c r="J4" s="1">
        <v>10</v>
      </c>
      <c r="K4" s="1" t="s">
        <v>554</v>
      </c>
      <c r="L4" s="1" t="str" cm="1">
        <f t="array" ref="L4">_xlfn.REGEXEXTRACT(B4,"(?&lt;=//)[^/]+")</f>
        <v>bdsmlust.com</v>
      </c>
      <c r="M4" s="1" t="s">
        <v>456</v>
      </c>
      <c r="N4" s="1" t="s">
        <v>506</v>
      </c>
      <c r="O4" s="1" t="str" cm="1">
        <f t="array" ref="O4">IF(N4&lt;&gt;"NtApp",_xlfn.REGEXEXTRACT(N4,"\d+(?=p)"),"NtApp")</f>
        <v>720</v>
      </c>
      <c r="P4" s="1" t="s">
        <v>624</v>
      </c>
      <c r="Q4" s="1" t="b">
        <f t="shared" si="1"/>
        <v>0</v>
      </c>
      <c r="R4" s="1" t="s">
        <v>508</v>
      </c>
      <c r="S4" s="1" t="s">
        <v>1795</v>
      </c>
      <c r="T4" s="1">
        <v>0</v>
      </c>
    </row>
    <row r="5" spans="1:20" ht="60" x14ac:dyDescent="0.25">
      <c r="A5" s="1" t="str">
        <f t="shared" si="0"/>
        <v>Done</v>
      </c>
      <c r="B5" s="1" t="s">
        <v>514</v>
      </c>
      <c r="C5" s="1">
        <v>61</v>
      </c>
      <c r="D5" s="1" t="s">
        <v>577</v>
      </c>
      <c r="E5" s="1" t="s">
        <v>1793</v>
      </c>
      <c r="F5" s="1" t="s">
        <v>54</v>
      </c>
      <c r="G5" s="1" t="s">
        <v>2178</v>
      </c>
      <c r="H5" s="1" t="s">
        <v>1993</v>
      </c>
      <c r="I5" s="1" t="s">
        <v>49</v>
      </c>
      <c r="J5" s="1">
        <v>10</v>
      </c>
      <c r="K5" s="1" t="s">
        <v>1794</v>
      </c>
      <c r="L5" s="1" t="str" cm="1">
        <f t="array" ref="L5">_xlfn.REGEXEXTRACT(B5,"(?&lt;=//)[^/]+")</f>
        <v>bdsmlust.com</v>
      </c>
      <c r="M5" s="1" t="s">
        <v>456</v>
      </c>
      <c r="N5" s="1" t="s">
        <v>516</v>
      </c>
      <c r="O5" s="1" t="str" cm="1">
        <f t="array" ref="O5">IF(N5&lt;&gt;"NtApp",_xlfn.REGEXEXTRACT(N5,"\d+(?=p)"),"NtApp")</f>
        <v>720</v>
      </c>
      <c r="P5" s="1" t="s">
        <v>1587</v>
      </c>
      <c r="Q5" s="1" t="b">
        <f t="shared" si="1"/>
        <v>1</v>
      </c>
      <c r="R5" s="1" t="s">
        <v>512</v>
      </c>
      <c r="S5" s="1" t="s">
        <v>515</v>
      </c>
      <c r="T5" s="1">
        <v>0</v>
      </c>
    </row>
    <row r="6" spans="1:20" ht="30" x14ac:dyDescent="0.25">
      <c r="A6" s="1" t="str">
        <f t="shared" si="0"/>
        <v>Done</v>
      </c>
      <c r="B6" s="1" t="s">
        <v>555</v>
      </c>
      <c r="C6" s="1">
        <v>72</v>
      </c>
      <c r="D6" s="1" t="s">
        <v>577</v>
      </c>
      <c r="E6" s="1" t="s">
        <v>487</v>
      </c>
      <c r="F6" s="1" t="s">
        <v>54</v>
      </c>
      <c r="G6" s="1" t="s">
        <v>2231</v>
      </c>
      <c r="H6" s="1" t="s">
        <v>1952</v>
      </c>
      <c r="I6" s="1" t="s">
        <v>49</v>
      </c>
      <c r="J6" s="1">
        <v>10</v>
      </c>
      <c r="K6" s="1" t="s">
        <v>559</v>
      </c>
      <c r="L6" s="1" t="str" cm="1">
        <f t="array" ref="L6">_xlfn.REGEXEXTRACT(B6,"(?&lt;=//)[^/]+")</f>
        <v>heavyfetish.com</v>
      </c>
      <c r="M6" s="1" t="s">
        <v>456</v>
      </c>
      <c r="N6" s="1" t="s">
        <v>558</v>
      </c>
      <c r="O6" s="1" t="str" cm="1">
        <f t="array" ref="O6">IF(N6&lt;&gt;"NtApp",_xlfn.REGEXEXTRACT(N6,"\d+(?=p)"),"NtApp")</f>
        <v>720</v>
      </c>
      <c r="P6" s="1" t="s">
        <v>625</v>
      </c>
      <c r="Q6" s="1" t="b">
        <f t="shared" si="1"/>
        <v>1</v>
      </c>
      <c r="R6" s="1" t="s">
        <v>557</v>
      </c>
      <c r="S6" s="1" t="s">
        <v>556</v>
      </c>
      <c r="T6" s="1">
        <v>0</v>
      </c>
    </row>
    <row r="7" spans="1:20" ht="45" x14ac:dyDescent="0.25">
      <c r="A7" s="1" t="str">
        <f t="shared" si="0"/>
        <v>Done</v>
      </c>
      <c r="B7" s="1" t="s">
        <v>2070</v>
      </c>
      <c r="C7" s="1">
        <v>77</v>
      </c>
      <c r="D7" s="1" t="s">
        <v>566</v>
      </c>
      <c r="E7" s="1" t="s">
        <v>562</v>
      </c>
      <c r="F7" s="1" t="s">
        <v>53</v>
      </c>
      <c r="G7" s="1" t="s">
        <v>2306</v>
      </c>
      <c r="H7" s="1" t="s">
        <v>61</v>
      </c>
      <c r="I7" s="1" t="s">
        <v>49</v>
      </c>
      <c r="J7" s="1">
        <v>10</v>
      </c>
      <c r="K7" s="1" t="s">
        <v>2305</v>
      </c>
      <c r="L7" s="1" t="str" cm="1">
        <f t="array" ref="L7">_xlfn.REGEXEXTRACT(B7,"(?&lt;=//)[^/]+")</f>
        <v>bdsmstreak.com</v>
      </c>
      <c r="M7" s="1" t="s">
        <v>456</v>
      </c>
      <c r="N7" s="1" t="s">
        <v>564</v>
      </c>
      <c r="O7" s="1" t="str" cm="1">
        <f t="array" ref="O7">IF(N7&lt;&gt;"NtApp",_xlfn.REGEXEXTRACT(N7,"\d+(?=p)"),"NtApp")</f>
        <v>720</v>
      </c>
      <c r="P7" s="1" t="s">
        <v>625</v>
      </c>
      <c r="Q7" s="1" t="b">
        <f t="shared" si="1"/>
        <v>0</v>
      </c>
      <c r="R7" s="1" t="s">
        <v>563</v>
      </c>
      <c r="S7" s="1" t="s">
        <v>565</v>
      </c>
      <c r="T7" s="1">
        <v>0</v>
      </c>
    </row>
    <row r="8" spans="1:20" ht="45" x14ac:dyDescent="0.25">
      <c r="A8" s="1" t="str">
        <f t="shared" si="0"/>
        <v>Done</v>
      </c>
      <c r="B8" s="1" t="s">
        <v>1631</v>
      </c>
      <c r="C8" s="1">
        <v>87</v>
      </c>
      <c r="D8" s="1" t="s">
        <v>568</v>
      </c>
      <c r="E8" s="1" t="s">
        <v>201</v>
      </c>
      <c r="F8" s="1" t="s">
        <v>53</v>
      </c>
      <c r="G8" s="1" t="s">
        <v>444</v>
      </c>
      <c r="H8" s="1" t="s">
        <v>2004</v>
      </c>
      <c r="I8" s="1" t="s">
        <v>49</v>
      </c>
      <c r="J8" s="1">
        <v>10</v>
      </c>
      <c r="K8" s="1" t="s">
        <v>543</v>
      </c>
      <c r="L8" s="1" t="str" cm="1">
        <f t="array" ref="L8">_xlfn.REGEXEXTRACT(B8,"(?&lt;=//)[^/]+")</f>
        <v>heavyfetish.com</v>
      </c>
      <c r="M8" s="1" t="s">
        <v>456</v>
      </c>
      <c r="N8" s="1" t="s">
        <v>491</v>
      </c>
      <c r="O8" s="1" t="str" cm="1">
        <f t="array" ref="O8">IF(N8&lt;&gt;"NtApp",_xlfn.REGEXEXTRACT(N8,"\d+(?=p)"),"NtApp")</f>
        <v>720</v>
      </c>
      <c r="P8" s="1" t="s">
        <v>625</v>
      </c>
      <c r="Q8" s="1" t="b">
        <f t="shared" si="1"/>
        <v>0</v>
      </c>
      <c r="R8" s="1" t="s">
        <v>509</v>
      </c>
      <c r="S8" s="1" t="s">
        <v>504</v>
      </c>
      <c r="T8" s="1">
        <v>0</v>
      </c>
    </row>
    <row r="9" spans="1:20" ht="30" x14ac:dyDescent="0.25">
      <c r="A9" s="1" t="str">
        <f t="shared" si="0"/>
        <v>Done</v>
      </c>
      <c r="B9" s="1" t="s">
        <v>95</v>
      </c>
      <c r="C9" s="1">
        <v>0</v>
      </c>
      <c r="D9" s="1" t="s">
        <v>836</v>
      </c>
      <c r="E9" s="1" t="s">
        <v>96</v>
      </c>
      <c r="F9" s="1" t="s">
        <v>97</v>
      </c>
      <c r="G9" s="1" t="s">
        <v>298</v>
      </c>
      <c r="H9" s="1" t="s">
        <v>2047</v>
      </c>
      <c r="I9" s="1" t="s">
        <v>49</v>
      </c>
      <c r="J9" s="1">
        <v>9</v>
      </c>
      <c r="K9" s="1" t="s">
        <v>98</v>
      </c>
      <c r="L9" s="1" t="str" cm="1">
        <f t="array" ref="L9">_xlfn.REGEXEXTRACT(B9,"(?&lt;=//)[^/]+")</f>
        <v>spankbang.com</v>
      </c>
      <c r="M9" s="1" t="s">
        <v>457</v>
      </c>
      <c r="N9" s="1" t="s">
        <v>1740</v>
      </c>
      <c r="O9" s="1" t="str" cm="1">
        <f t="array" ref="O9">IF(N9&lt;&gt;"NtApp",_xlfn.REGEXEXTRACT(N9,"\d+(?=p)"),"NtApp")</f>
        <v>NtApp</v>
      </c>
      <c r="P9" s="1" t="s">
        <v>1740</v>
      </c>
      <c r="Q9" s="1" t="b">
        <f t="shared" si="1"/>
        <v>0</v>
      </c>
      <c r="R9" s="1" t="s">
        <v>1740</v>
      </c>
      <c r="S9" s="1" t="s">
        <v>1740</v>
      </c>
      <c r="T9" s="1">
        <v>0</v>
      </c>
    </row>
    <row r="10" spans="1:20" ht="30" x14ac:dyDescent="0.25">
      <c r="A10" s="1" t="str">
        <f t="shared" si="0"/>
        <v>Done</v>
      </c>
      <c r="B10" s="1" t="s">
        <v>460</v>
      </c>
      <c r="C10" s="1">
        <v>0</v>
      </c>
      <c r="D10" s="1" t="s">
        <v>1739</v>
      </c>
      <c r="E10" s="1" t="s">
        <v>461</v>
      </c>
      <c r="F10" s="1" t="s">
        <v>53</v>
      </c>
      <c r="G10" s="1" t="s">
        <v>464</v>
      </c>
      <c r="H10" s="1" t="s">
        <v>1982</v>
      </c>
      <c r="I10" s="1" t="s">
        <v>49</v>
      </c>
      <c r="J10" s="1">
        <v>9</v>
      </c>
      <c r="K10" s="1" t="s">
        <v>465</v>
      </c>
      <c r="L10" s="1" t="str" cm="1">
        <f t="array" ref="L10">_xlfn.REGEXEXTRACT(B10,"(?&lt;=//)[^/]+")</f>
        <v>www.hqbdsm.com</v>
      </c>
      <c r="M10" s="1" t="s">
        <v>457</v>
      </c>
      <c r="N10" s="1" t="s">
        <v>1740</v>
      </c>
      <c r="O10" s="1" t="str" cm="1">
        <f t="array" ref="O10">IF(N10&lt;&gt;"NtApp",_xlfn.REGEXEXTRACT(N10,"\d+(?=p)"),"NtApp")</f>
        <v>NtApp</v>
      </c>
      <c r="P10" s="1" t="s">
        <v>1740</v>
      </c>
      <c r="Q10" s="1" t="b">
        <f t="shared" si="1"/>
        <v>0</v>
      </c>
      <c r="R10" s="1" t="s">
        <v>1740</v>
      </c>
      <c r="S10" s="1" t="s">
        <v>1740</v>
      </c>
      <c r="T10" s="1">
        <v>0</v>
      </c>
    </row>
    <row r="11" spans="1:20" ht="30" x14ac:dyDescent="0.25">
      <c r="A11" s="1" t="str">
        <f t="shared" si="0"/>
        <v>Done</v>
      </c>
      <c r="B11" s="1" t="s">
        <v>498</v>
      </c>
      <c r="C11" s="1">
        <v>0</v>
      </c>
      <c r="D11" s="1" t="s">
        <v>836</v>
      </c>
      <c r="E11" s="1" t="s">
        <v>837</v>
      </c>
      <c r="F11" s="1" t="s">
        <v>53</v>
      </c>
      <c r="G11" s="1" t="s">
        <v>2181</v>
      </c>
      <c r="H11" s="1" t="s">
        <v>1796</v>
      </c>
      <c r="I11" s="1" t="s">
        <v>49</v>
      </c>
      <c r="J11" s="1">
        <v>9</v>
      </c>
      <c r="K11" s="1" t="s">
        <v>499</v>
      </c>
      <c r="L11" s="1" t="str" cm="1">
        <f t="array" ref="L11">_xlfn.REGEXEXTRACT(B11,"(?&lt;=//)[^/]+")</f>
        <v>bdsmlust.com</v>
      </c>
      <c r="M11" s="1" t="s">
        <v>457</v>
      </c>
      <c r="N11" s="1" t="s">
        <v>1740</v>
      </c>
      <c r="O11" s="1" t="str" cm="1">
        <f t="array" ref="O11">IF(N11&lt;&gt;"NtApp",_xlfn.REGEXEXTRACT(N11,"\d+(?=p)"),"NtApp")</f>
        <v>NtApp</v>
      </c>
      <c r="P11" s="1" t="s">
        <v>1740</v>
      </c>
      <c r="Q11" s="1" t="b">
        <f t="shared" si="1"/>
        <v>0</v>
      </c>
      <c r="R11" s="1" t="s">
        <v>1740</v>
      </c>
      <c r="S11" s="1" t="s">
        <v>1740</v>
      </c>
      <c r="T11" s="1">
        <v>0</v>
      </c>
    </row>
    <row r="12" spans="1:20" ht="60" x14ac:dyDescent="0.25">
      <c r="A12" s="1" t="str">
        <f t="shared" si="0"/>
        <v>Done</v>
      </c>
      <c r="B12" s="1" t="s">
        <v>637</v>
      </c>
      <c r="C12" s="1">
        <v>60</v>
      </c>
      <c r="D12" s="1" t="s">
        <v>572</v>
      </c>
      <c r="E12" s="1" t="s">
        <v>519</v>
      </c>
      <c r="F12" s="1" t="s">
        <v>54</v>
      </c>
      <c r="G12" s="1" t="s">
        <v>2180</v>
      </c>
      <c r="H12" s="1" t="s">
        <v>638</v>
      </c>
      <c r="I12" s="1" t="s">
        <v>49</v>
      </c>
      <c r="J12" s="1">
        <v>9</v>
      </c>
      <c r="K12" s="1" t="s">
        <v>636</v>
      </c>
      <c r="L12" s="1" t="str" cm="1">
        <f t="array" ref="L12">_xlfn.REGEXEXTRACT(B12,"(?&lt;=//)[^/]+")</f>
        <v>bdsmmansion.com</v>
      </c>
      <c r="M12" s="1" t="s">
        <v>457</v>
      </c>
      <c r="N12" s="1" t="s">
        <v>1740</v>
      </c>
      <c r="O12" s="1" t="str" cm="1">
        <f t="array" ref="O12">IF(N12&lt;&gt;"NtApp",_xlfn.REGEXEXTRACT(N12,"\d+(?=p)"),"NtApp")</f>
        <v>NtApp</v>
      </c>
      <c r="P12" s="1" t="s">
        <v>1740</v>
      </c>
      <c r="Q12" s="1" t="b">
        <f t="shared" si="1"/>
        <v>1</v>
      </c>
      <c r="R12" s="1" t="s">
        <v>1197</v>
      </c>
      <c r="S12" s="1" t="s">
        <v>1196</v>
      </c>
      <c r="T12" s="1">
        <v>0</v>
      </c>
    </row>
    <row r="13" spans="1:20" ht="75" x14ac:dyDescent="0.25">
      <c r="A13" s="1" t="str">
        <f t="shared" si="0"/>
        <v>Done</v>
      </c>
      <c r="B13" s="1" t="s">
        <v>1132</v>
      </c>
      <c r="C13" s="1">
        <v>61</v>
      </c>
      <c r="D13" s="1" t="s">
        <v>571</v>
      </c>
      <c r="E13" s="1" t="s">
        <v>1133</v>
      </c>
      <c r="F13" s="1" t="s">
        <v>54</v>
      </c>
      <c r="G13" s="1" t="s">
        <v>2321</v>
      </c>
      <c r="H13" s="1" t="s">
        <v>2320</v>
      </c>
      <c r="I13" s="1" t="s">
        <v>49</v>
      </c>
      <c r="J13" s="1">
        <v>9</v>
      </c>
      <c r="K13" s="1" t="s">
        <v>2330</v>
      </c>
      <c r="L13" s="1" t="str" cm="1">
        <f t="array" ref="L13">_xlfn.REGEXEXTRACT(B13,"(?&lt;=//)[^/]+")</f>
        <v>bdsmstreak.com</v>
      </c>
      <c r="M13" s="1" t="s">
        <v>457</v>
      </c>
      <c r="N13" s="1" t="s">
        <v>1740</v>
      </c>
      <c r="O13" s="1" t="str" cm="1">
        <f t="array" ref="O13">IF(N13&lt;&gt;"NtApp",_xlfn.REGEXEXTRACT(N13,"\d+(?=p)"),"NtApp")</f>
        <v>NtApp</v>
      </c>
      <c r="P13" s="1" t="s">
        <v>1740</v>
      </c>
      <c r="Q13" s="1" t="b">
        <f t="shared" si="1"/>
        <v>1</v>
      </c>
      <c r="R13" s="1" t="s">
        <v>1538</v>
      </c>
      <c r="S13" s="1" t="s">
        <v>1538</v>
      </c>
      <c r="T13" s="1">
        <v>5</v>
      </c>
    </row>
    <row r="14" spans="1:20" ht="45" x14ac:dyDescent="0.25">
      <c r="A14" s="1" t="str">
        <f t="shared" si="0"/>
        <v>Done</v>
      </c>
      <c r="B14" s="1" t="s">
        <v>560</v>
      </c>
      <c r="C14" s="1">
        <v>74</v>
      </c>
      <c r="D14" s="1" t="s">
        <v>577</v>
      </c>
      <c r="E14" s="1" t="s">
        <v>787</v>
      </c>
      <c r="F14" s="1" t="s">
        <v>54</v>
      </c>
      <c r="G14" s="1" t="s">
        <v>2267</v>
      </c>
      <c r="H14" s="1" t="s">
        <v>641</v>
      </c>
      <c r="I14" s="1" t="s">
        <v>49</v>
      </c>
      <c r="J14" s="1">
        <v>9</v>
      </c>
      <c r="K14" s="1" t="s">
        <v>561</v>
      </c>
      <c r="L14" s="1" t="str" cm="1">
        <f t="array" ref="L14">_xlfn.REGEXEXTRACT(B14,"(?&lt;=//)[^/]+")</f>
        <v>heavyfetish.com</v>
      </c>
      <c r="M14" s="1" t="s">
        <v>457</v>
      </c>
      <c r="N14" s="1" t="s">
        <v>1740</v>
      </c>
      <c r="O14" s="1" t="str" cm="1">
        <f t="array" ref="O14">IF(N14&lt;&gt;"NtApp",_xlfn.REGEXEXTRACT(N14,"\d+(?=p)"),"NtApp")</f>
        <v>NtApp</v>
      </c>
      <c r="P14" s="1" t="s">
        <v>1740</v>
      </c>
      <c r="Q14" s="1" t="b">
        <f t="shared" si="1"/>
        <v>1</v>
      </c>
      <c r="R14" s="1" t="s">
        <v>1195</v>
      </c>
      <c r="S14" s="1" t="s">
        <v>1194</v>
      </c>
      <c r="T14" s="1">
        <v>0</v>
      </c>
    </row>
    <row r="15" spans="1:20" ht="90" x14ac:dyDescent="0.25">
      <c r="A15" s="1" t="str">
        <f t="shared" si="0"/>
        <v>Done</v>
      </c>
      <c r="B15" s="1" t="s">
        <v>975</v>
      </c>
      <c r="C15" s="1">
        <v>95</v>
      </c>
      <c r="D15" s="1" t="s">
        <v>577</v>
      </c>
      <c r="E15" s="1" t="s">
        <v>976</v>
      </c>
      <c r="F15" s="1" t="s">
        <v>54</v>
      </c>
      <c r="G15" s="1" t="s">
        <v>2232</v>
      </c>
      <c r="H15" s="1" t="s">
        <v>2166</v>
      </c>
      <c r="I15" s="1" t="s">
        <v>49</v>
      </c>
      <c r="J15" s="1">
        <v>9</v>
      </c>
      <c r="K15" s="1" t="s">
        <v>2167</v>
      </c>
      <c r="L15" s="1" t="str" cm="1">
        <f t="array" ref="L15">_xlfn.REGEXEXTRACT(B15,"(?&lt;=//)[^/]+")</f>
        <v>bdsmstreak.com</v>
      </c>
      <c r="M15" s="1" t="s">
        <v>457</v>
      </c>
      <c r="N15" s="1" t="s">
        <v>1740</v>
      </c>
      <c r="O15" s="1" t="str" cm="1">
        <f t="array" ref="O15">IF(N15&lt;&gt;"NtApp",_xlfn.REGEXEXTRACT(N15,"\d+(?=p)"),"NtApp")</f>
        <v>NtApp</v>
      </c>
      <c r="P15" s="1" t="s">
        <v>1740</v>
      </c>
      <c r="Q15" s="1" t="b">
        <f t="shared" si="1"/>
        <v>1</v>
      </c>
      <c r="R15" s="1" t="s">
        <v>1524</v>
      </c>
      <c r="S15" s="1" t="s">
        <v>1524</v>
      </c>
      <c r="T15" s="1">
        <v>8</v>
      </c>
    </row>
    <row r="16" spans="1:20" ht="30" x14ac:dyDescent="0.25">
      <c r="A16" s="1" t="str">
        <f t="shared" si="0"/>
        <v>Done</v>
      </c>
      <c r="B16" s="1" t="s">
        <v>263</v>
      </c>
      <c r="C16" s="1">
        <v>0</v>
      </c>
      <c r="D16" s="1" t="s">
        <v>836</v>
      </c>
      <c r="E16" s="1" t="s">
        <v>837</v>
      </c>
      <c r="F16" s="1" t="s">
        <v>53</v>
      </c>
      <c r="G16" s="1" t="s">
        <v>2183</v>
      </c>
      <c r="H16" s="1" t="s">
        <v>2048</v>
      </c>
      <c r="I16" s="1" t="s">
        <v>49</v>
      </c>
      <c r="J16" s="1">
        <v>8</v>
      </c>
      <c r="K16" s="1" t="s">
        <v>1799</v>
      </c>
      <c r="L16" s="1" t="str" cm="1">
        <f t="array" ref="L16">_xlfn.REGEXEXTRACT(B16,"(?&lt;=//)[^/]+")</f>
        <v>www.tubebdsm.com</v>
      </c>
      <c r="M16" s="1" t="s">
        <v>457</v>
      </c>
      <c r="N16" s="1" t="s">
        <v>1740</v>
      </c>
      <c r="O16" s="1" t="str" cm="1">
        <f t="array" ref="O16">IF(N16&lt;&gt;"NtApp",_xlfn.REGEXEXTRACT(N16,"\d+(?=p)"),"NtApp")</f>
        <v>NtApp</v>
      </c>
      <c r="P16" s="1" t="s">
        <v>1740</v>
      </c>
      <c r="Q16" s="1" t="b">
        <f t="shared" si="1"/>
        <v>0</v>
      </c>
      <c r="R16" s="1" t="s">
        <v>1740</v>
      </c>
      <c r="S16" s="1" t="s">
        <v>1740</v>
      </c>
      <c r="T16" s="1">
        <v>0</v>
      </c>
    </row>
    <row r="17" spans="1:20" ht="45" x14ac:dyDescent="0.25">
      <c r="A17" s="1" t="str">
        <f t="shared" si="0"/>
        <v>Done</v>
      </c>
      <c r="B17" s="1" t="s">
        <v>223</v>
      </c>
      <c r="C17" s="1">
        <v>0</v>
      </c>
      <c r="D17" s="1" t="s">
        <v>836</v>
      </c>
      <c r="E17" s="1" t="s">
        <v>837</v>
      </c>
      <c r="F17" s="1" t="s">
        <v>63</v>
      </c>
      <c r="G17" s="1" t="s">
        <v>354</v>
      </c>
      <c r="H17" s="1" t="s">
        <v>1967</v>
      </c>
      <c r="I17" s="1" t="s">
        <v>49</v>
      </c>
      <c r="J17" s="1">
        <v>8</v>
      </c>
      <c r="K17" s="1" t="s">
        <v>238</v>
      </c>
      <c r="L17" s="1" t="str" cm="1">
        <f t="array" ref="L17">_xlfn.REGEXEXTRACT(B17,"(?&lt;=//)[^/]+")</f>
        <v>www.fuq.com</v>
      </c>
      <c r="M17" s="1" t="s">
        <v>457</v>
      </c>
      <c r="N17" s="1" t="s">
        <v>1740</v>
      </c>
      <c r="O17" s="1" t="str" cm="1">
        <f t="array" ref="O17">IF(N17&lt;&gt;"NtApp",_xlfn.REGEXEXTRACT(N17,"\d+(?=p)"),"NtApp")</f>
        <v>NtApp</v>
      </c>
      <c r="P17" s="1" t="s">
        <v>1740</v>
      </c>
      <c r="Q17" s="1" t="b">
        <f t="shared" si="1"/>
        <v>0</v>
      </c>
      <c r="R17" s="1" t="s">
        <v>1740</v>
      </c>
      <c r="S17" s="1" t="s">
        <v>1740</v>
      </c>
      <c r="T17" s="1">
        <v>0</v>
      </c>
    </row>
    <row r="18" spans="1:20" ht="30" x14ac:dyDescent="0.25">
      <c r="A18" s="1" t="str">
        <f t="shared" si="0"/>
        <v>Done</v>
      </c>
      <c r="B18" s="1" t="s">
        <v>265</v>
      </c>
      <c r="C18" s="1">
        <v>0</v>
      </c>
      <c r="D18" s="1" t="s">
        <v>836</v>
      </c>
      <c r="E18" s="1" t="s">
        <v>837</v>
      </c>
      <c r="F18" s="1" t="s">
        <v>63</v>
      </c>
      <c r="G18" s="1" t="s">
        <v>831</v>
      </c>
      <c r="H18" s="1" t="s">
        <v>1942</v>
      </c>
      <c r="I18" s="1" t="s">
        <v>49</v>
      </c>
      <c r="J18" s="1">
        <v>8</v>
      </c>
      <c r="K18" s="1" t="s">
        <v>325</v>
      </c>
      <c r="L18" s="1" t="str" cm="1">
        <f t="array" ref="L18">_xlfn.REGEXEXTRACT(B18,"(?&lt;=//)[^/]+")</f>
        <v>www.tubebdsm.com</v>
      </c>
      <c r="M18" s="1" t="s">
        <v>457</v>
      </c>
      <c r="N18" s="1" t="s">
        <v>1740</v>
      </c>
      <c r="O18" s="1" t="str" cm="1">
        <f t="array" ref="O18">IF(N18&lt;&gt;"NtApp",_xlfn.REGEXEXTRACT(N18,"\d+(?=p)"),"NtApp")</f>
        <v>NtApp</v>
      </c>
      <c r="P18" s="1" t="s">
        <v>1740</v>
      </c>
      <c r="Q18" s="1" t="b">
        <f t="shared" si="1"/>
        <v>0</v>
      </c>
      <c r="R18" s="1" t="s">
        <v>1740</v>
      </c>
      <c r="S18" s="1" t="s">
        <v>1740</v>
      </c>
      <c r="T18" s="1">
        <v>0</v>
      </c>
    </row>
    <row r="19" spans="1:20" ht="30" x14ac:dyDescent="0.25">
      <c r="A19" s="1" t="str">
        <f t="shared" si="0"/>
        <v>Done</v>
      </c>
      <c r="B19" s="1" t="s">
        <v>41</v>
      </c>
      <c r="C19" s="1">
        <v>0</v>
      </c>
      <c r="D19" s="1" t="s">
        <v>1739</v>
      </c>
      <c r="E19" s="1" t="s">
        <v>837</v>
      </c>
      <c r="F19" s="1" t="s">
        <v>53</v>
      </c>
      <c r="G19" s="1" t="s">
        <v>377</v>
      </c>
      <c r="H19" s="1" t="s">
        <v>306</v>
      </c>
      <c r="I19" s="1" t="s">
        <v>49</v>
      </c>
      <c r="J19" s="1">
        <v>8</v>
      </c>
      <c r="K19" s="1" t="s">
        <v>192</v>
      </c>
      <c r="L19" s="1" t="str" cm="1">
        <f t="array" ref="L19">_xlfn.REGEXEXTRACT(B19,"(?&lt;=//)[^/]+")</f>
        <v>tube.perverzija.com</v>
      </c>
      <c r="M19" s="1" t="s">
        <v>457</v>
      </c>
      <c r="N19" s="1" t="s">
        <v>1740</v>
      </c>
      <c r="O19" s="1" t="str" cm="1">
        <f t="array" ref="O19">IF(N19&lt;&gt;"NtApp",_xlfn.REGEXEXTRACT(N19,"\d+(?=p)"),"NtApp")</f>
        <v>NtApp</v>
      </c>
      <c r="P19" s="1" t="s">
        <v>1740</v>
      </c>
      <c r="Q19" s="1" t="b">
        <f t="shared" si="1"/>
        <v>0</v>
      </c>
      <c r="R19" s="1" t="s">
        <v>1740</v>
      </c>
      <c r="S19" s="1" t="s">
        <v>1740</v>
      </c>
      <c r="T19" s="1">
        <v>0</v>
      </c>
    </row>
    <row r="20" spans="1:20" ht="60" x14ac:dyDescent="0.25">
      <c r="A20" s="1" t="str">
        <f t="shared" si="0"/>
        <v>Done</v>
      </c>
      <c r="B20" s="1" t="s">
        <v>651</v>
      </c>
      <c r="C20" s="1">
        <v>9</v>
      </c>
      <c r="D20" s="1" t="s">
        <v>118</v>
      </c>
      <c r="E20" s="1" t="s">
        <v>648</v>
      </c>
      <c r="F20" s="1" t="s">
        <v>53</v>
      </c>
      <c r="G20" s="1" t="s">
        <v>2182</v>
      </c>
      <c r="H20" s="1" t="s">
        <v>661</v>
      </c>
      <c r="I20" s="1" t="s">
        <v>49</v>
      </c>
      <c r="J20" s="1">
        <v>8</v>
      </c>
      <c r="K20" s="1" t="s">
        <v>660</v>
      </c>
      <c r="L20" s="1" t="str" cm="1">
        <f t="array" ref="L20">_xlfn.REGEXEXTRACT(B20,"(?&lt;=//)[^/]+")</f>
        <v>www.porntrex.com</v>
      </c>
      <c r="M20" s="1" t="s">
        <v>456</v>
      </c>
      <c r="N20" s="1" t="s">
        <v>649</v>
      </c>
      <c r="O20" s="1" t="str" cm="1">
        <f t="array" ref="O20">IF(N20&lt;&gt;"NtApp",_xlfn.REGEXEXTRACT(N20,"\d+(?=p)"),"NtApp")</f>
        <v>1080</v>
      </c>
      <c r="P20" s="1" t="s">
        <v>655</v>
      </c>
      <c r="Q20" s="1" t="b">
        <f t="shared" si="1"/>
        <v>0</v>
      </c>
      <c r="R20" s="1" t="s">
        <v>650</v>
      </c>
      <c r="S20" s="1" t="s">
        <v>656</v>
      </c>
      <c r="T20" s="1">
        <v>0</v>
      </c>
    </row>
    <row r="21" spans="1:20" ht="45" x14ac:dyDescent="0.25">
      <c r="A21" s="1" t="str">
        <f t="shared" si="0"/>
        <v>Done</v>
      </c>
      <c r="B21" s="1" t="s">
        <v>261</v>
      </c>
      <c r="C21" s="1">
        <v>11</v>
      </c>
      <c r="D21" s="1" t="s">
        <v>575</v>
      </c>
      <c r="E21" s="1" t="s">
        <v>1791</v>
      </c>
      <c r="F21" s="1" t="s">
        <v>54</v>
      </c>
      <c r="G21" s="1" t="s">
        <v>359</v>
      </c>
      <c r="H21" s="1" t="s">
        <v>433</v>
      </c>
      <c r="I21" s="1" t="s">
        <v>49</v>
      </c>
      <c r="J21" s="1">
        <v>8</v>
      </c>
      <c r="K21" s="1" t="s">
        <v>363</v>
      </c>
      <c r="L21" s="1" t="str" cm="1">
        <f t="array" ref="L21">_xlfn.REGEXEXTRACT(B21,"(?&lt;=//)[^/]+")</f>
        <v>xhamster44.desi</v>
      </c>
      <c r="M21" s="1" t="s">
        <v>456</v>
      </c>
      <c r="N21" s="1" t="s">
        <v>2272</v>
      </c>
      <c r="O21" s="1" t="str" cm="1">
        <f t="array" ref="O21">IF(N21&lt;&gt;"NtApp",_xlfn.REGEXEXTRACT(N21,"\d+(?=p)"),"NtApp")</f>
        <v>720</v>
      </c>
      <c r="P21" s="1" t="s">
        <v>2271</v>
      </c>
      <c r="Q21" s="1" t="b">
        <f t="shared" si="1"/>
        <v>1</v>
      </c>
      <c r="R21" s="1" t="s">
        <v>1205</v>
      </c>
      <c r="S21" s="1" t="s">
        <v>1204</v>
      </c>
      <c r="T21" s="1">
        <v>0</v>
      </c>
    </row>
    <row r="22" spans="1:20" ht="30" x14ac:dyDescent="0.25">
      <c r="A22" s="1" t="str">
        <f t="shared" si="0"/>
        <v>Done</v>
      </c>
      <c r="B22" s="1" t="s">
        <v>643</v>
      </c>
      <c r="C22" s="1">
        <v>31</v>
      </c>
      <c r="D22" s="1" t="s">
        <v>644</v>
      </c>
      <c r="E22" s="1" t="s">
        <v>130</v>
      </c>
      <c r="F22" s="1" t="s">
        <v>128</v>
      </c>
      <c r="G22" s="1" t="s">
        <v>1786</v>
      </c>
      <c r="H22" s="1" t="s">
        <v>61</v>
      </c>
      <c r="I22" s="1" t="s">
        <v>49</v>
      </c>
      <c r="J22" s="1">
        <v>8</v>
      </c>
      <c r="K22" s="1" t="s">
        <v>1939</v>
      </c>
      <c r="L22" s="1" t="str" cm="1">
        <f t="array" ref="L22">_xlfn.REGEXEXTRACT(B22,"(?&lt;=//)[^/]+")</f>
        <v>m.hqporner.com</v>
      </c>
      <c r="M22" s="1" t="s">
        <v>456</v>
      </c>
      <c r="N22" s="1" t="s">
        <v>645</v>
      </c>
      <c r="O22" s="1" t="str" cm="1">
        <f t="array" ref="O22">IF(N22&lt;&gt;"NtApp",_xlfn.REGEXEXTRACT(N22,"\d+(?=p)"),"NtApp")</f>
        <v>720</v>
      </c>
      <c r="P22" s="1" t="s">
        <v>1586</v>
      </c>
      <c r="Q22" s="1" t="b">
        <f t="shared" si="1"/>
        <v>0</v>
      </c>
      <c r="R22" s="1" t="s">
        <v>646</v>
      </c>
      <c r="S22" s="1" t="s">
        <v>647</v>
      </c>
      <c r="T22" s="1">
        <v>0</v>
      </c>
    </row>
    <row r="23" spans="1:20" ht="30" x14ac:dyDescent="0.25">
      <c r="A23" s="1" t="str">
        <f t="shared" si="0"/>
        <v>Done</v>
      </c>
      <c r="B23" s="1" t="s">
        <v>13</v>
      </c>
      <c r="C23" s="1">
        <v>33</v>
      </c>
      <c r="D23" s="1" t="s">
        <v>1289</v>
      </c>
      <c r="E23" s="1" t="s">
        <v>60</v>
      </c>
      <c r="F23" s="1" t="s">
        <v>53</v>
      </c>
      <c r="G23" s="1" t="s">
        <v>2312</v>
      </c>
      <c r="H23" s="1" t="s">
        <v>1994</v>
      </c>
      <c r="I23" s="1" t="s">
        <v>49</v>
      </c>
      <c r="J23" s="1">
        <v>8</v>
      </c>
      <c r="K23" s="1" t="s">
        <v>78</v>
      </c>
      <c r="L23" s="1" t="str" cm="1">
        <f t="array" ref="L23">_xlfn.REGEXEXTRACT(B23,"(?&lt;=//)[^/]+")</f>
        <v>bdsmstreak.com</v>
      </c>
      <c r="M23" s="1" t="s">
        <v>457</v>
      </c>
      <c r="N23" s="1" t="s">
        <v>1740</v>
      </c>
      <c r="O23" s="1" t="str" cm="1">
        <f t="array" ref="O23">IF(N23&lt;&gt;"NtApp",_xlfn.REGEXEXTRACT(N23,"\d+(?=p)"),"NtApp")</f>
        <v>NtApp</v>
      </c>
      <c r="P23" s="1" t="s">
        <v>1740</v>
      </c>
      <c r="Q23" s="1" t="b">
        <f t="shared" si="1"/>
        <v>0</v>
      </c>
      <c r="R23" s="1" t="s">
        <v>1288</v>
      </c>
      <c r="S23" s="1" t="s">
        <v>1287</v>
      </c>
      <c r="T23" s="1">
        <v>0</v>
      </c>
    </row>
    <row r="24" spans="1:20" ht="45" x14ac:dyDescent="0.25">
      <c r="A24" s="1" t="str">
        <f t="shared" si="0"/>
        <v>Done</v>
      </c>
      <c r="B24" s="1" t="s">
        <v>534</v>
      </c>
      <c r="C24" s="1">
        <v>46</v>
      </c>
      <c r="D24" s="1" t="s">
        <v>577</v>
      </c>
      <c r="E24" s="1" t="s">
        <v>489</v>
      </c>
      <c r="F24" s="1" t="s">
        <v>54</v>
      </c>
      <c r="G24" s="1" t="s">
        <v>2263</v>
      </c>
      <c r="H24" s="1" t="s">
        <v>1980</v>
      </c>
      <c r="I24" s="1" t="s">
        <v>49</v>
      </c>
      <c r="J24" s="1">
        <v>8</v>
      </c>
      <c r="K24" s="1" t="s">
        <v>535</v>
      </c>
      <c r="L24" s="1" t="str" cm="1">
        <f t="array" ref="L24">_xlfn.REGEXEXTRACT(B24,"(?&lt;=//)[^/]+")</f>
        <v>bdsmstreak.com</v>
      </c>
      <c r="M24" s="1" t="s">
        <v>457</v>
      </c>
      <c r="N24" s="1" t="s">
        <v>1740</v>
      </c>
      <c r="O24" s="1" t="str" cm="1">
        <f t="array" ref="O24">IF(N24&lt;&gt;"NtApp",_xlfn.REGEXEXTRACT(N24,"\d+(?=p)"),"NtApp")</f>
        <v>NtApp</v>
      </c>
      <c r="P24" s="1" t="s">
        <v>1740</v>
      </c>
      <c r="Q24" s="1" t="b">
        <f t="shared" si="1"/>
        <v>0</v>
      </c>
      <c r="R24" s="1" t="s">
        <v>1797</v>
      </c>
      <c r="S24" s="1" t="s">
        <v>1797</v>
      </c>
      <c r="T24" s="1">
        <v>0</v>
      </c>
    </row>
    <row r="25" spans="1:20" ht="45" x14ac:dyDescent="0.25">
      <c r="A25" s="1" t="str">
        <f t="shared" si="0"/>
        <v>Done</v>
      </c>
      <c r="B25" s="1" t="s">
        <v>450</v>
      </c>
      <c r="C25" s="1">
        <v>48</v>
      </c>
      <c r="D25" s="1" t="s">
        <v>566</v>
      </c>
      <c r="E25" s="1" t="s">
        <v>452</v>
      </c>
      <c r="F25" s="1" t="s">
        <v>63</v>
      </c>
      <c r="G25" s="1" t="s">
        <v>2104</v>
      </c>
      <c r="H25" s="1" t="s">
        <v>1800</v>
      </c>
      <c r="I25" s="1" t="s">
        <v>49</v>
      </c>
      <c r="J25" s="1">
        <v>8</v>
      </c>
      <c r="K25" s="1" t="s">
        <v>454</v>
      </c>
      <c r="L25" s="1" t="str" cm="1">
        <f t="array" ref="L25">_xlfn.REGEXEXTRACT(B25,"(?&lt;=//)[^/]+")</f>
        <v>abxxx.com</v>
      </c>
      <c r="M25" s="1" t="s">
        <v>457</v>
      </c>
      <c r="N25" s="1" t="s">
        <v>1740</v>
      </c>
      <c r="O25" s="1" t="str" cm="1">
        <f t="array" ref="O25">IF(N25&lt;&gt;"NtApp",_xlfn.REGEXEXTRACT(N25,"\d+(?=p)"),"NtApp")</f>
        <v>NtApp</v>
      </c>
      <c r="P25" s="1" t="s">
        <v>1740</v>
      </c>
      <c r="Q25" s="1" t="b">
        <f t="shared" si="1"/>
        <v>0</v>
      </c>
      <c r="R25" s="1" t="s">
        <v>1202</v>
      </c>
      <c r="S25" s="1" t="s">
        <v>1203</v>
      </c>
      <c r="T25" s="1">
        <v>0</v>
      </c>
    </row>
    <row r="26" spans="1:20" ht="45" x14ac:dyDescent="0.25">
      <c r="A26" s="1" t="str">
        <f t="shared" si="0"/>
        <v>Done</v>
      </c>
      <c r="B26" s="1" t="s">
        <v>37</v>
      </c>
      <c r="C26" s="1">
        <v>49</v>
      </c>
      <c r="D26" s="1" t="s">
        <v>835</v>
      </c>
      <c r="E26" s="1" t="s">
        <v>59</v>
      </c>
      <c r="F26" s="1" t="s">
        <v>52</v>
      </c>
      <c r="G26" s="1" t="s">
        <v>2294</v>
      </c>
      <c r="H26" s="1" t="s">
        <v>2059</v>
      </c>
      <c r="I26" s="1" t="s">
        <v>49</v>
      </c>
      <c r="J26" s="1">
        <v>8</v>
      </c>
      <c r="K26" s="1" t="s">
        <v>79</v>
      </c>
      <c r="L26" s="1" t="str" cm="1">
        <f t="array" ref="L26">_xlfn.REGEXEXTRACT(B26,"(?&lt;=//)[^/]+")</f>
        <v>bdsmstreak.com</v>
      </c>
      <c r="M26" s="1" t="s">
        <v>457</v>
      </c>
      <c r="N26" s="1" t="s">
        <v>1740</v>
      </c>
      <c r="O26" s="1" t="str" cm="1">
        <f t="array" ref="O26">IF(N26&lt;&gt;"NtApp",_xlfn.REGEXEXTRACT(N26,"\d+(?=p)"),"NtApp")</f>
        <v>NtApp</v>
      </c>
      <c r="P26" s="1" t="s">
        <v>1740</v>
      </c>
      <c r="Q26" s="1" t="b">
        <f t="shared" si="1"/>
        <v>0</v>
      </c>
      <c r="R26" s="1" t="s">
        <v>1816</v>
      </c>
      <c r="S26" s="1" t="s">
        <v>1270</v>
      </c>
      <c r="T26" s="1">
        <v>0</v>
      </c>
    </row>
    <row r="27" spans="1:20" ht="75" x14ac:dyDescent="0.25">
      <c r="A27" s="1" t="str">
        <f t="shared" si="0"/>
        <v>Done</v>
      </c>
      <c r="B27" s="1" t="s">
        <v>1057</v>
      </c>
      <c r="C27" s="1">
        <v>49</v>
      </c>
      <c r="D27" s="1" t="s">
        <v>577</v>
      </c>
      <c r="E27" s="1" t="s">
        <v>764</v>
      </c>
      <c r="F27" s="1" t="s">
        <v>53</v>
      </c>
      <c r="G27" s="1" t="s">
        <v>2185</v>
      </c>
      <c r="H27" s="1" t="s">
        <v>2114</v>
      </c>
      <c r="I27" s="1" t="s">
        <v>49</v>
      </c>
      <c r="J27" s="1">
        <v>8</v>
      </c>
      <c r="K27" s="1" t="s">
        <v>2115</v>
      </c>
      <c r="L27" s="1" t="str" cm="1">
        <f t="array" ref="L27">_xlfn.REGEXEXTRACT(B27,"(?&lt;=//)[^/]+")</f>
        <v>bdsmstreak.com</v>
      </c>
      <c r="M27" s="1" t="s">
        <v>457</v>
      </c>
      <c r="N27" s="1" t="s">
        <v>1740</v>
      </c>
      <c r="O27" s="1" t="str" cm="1">
        <f t="array" ref="O27">IF(N27&lt;&gt;"NtApp",_xlfn.REGEXEXTRACT(N27,"\d+(?=p)"),"NtApp")</f>
        <v>NtApp</v>
      </c>
      <c r="P27" s="1" t="s">
        <v>1740</v>
      </c>
      <c r="Q27" s="1" t="b">
        <f t="shared" si="1"/>
        <v>0</v>
      </c>
      <c r="R27" s="1" t="s">
        <v>1610</v>
      </c>
      <c r="S27" s="1" t="s">
        <v>1610</v>
      </c>
      <c r="T27" s="1">
        <v>8</v>
      </c>
    </row>
    <row r="28" spans="1:20" ht="45" x14ac:dyDescent="0.25">
      <c r="A28" s="1" t="str">
        <f t="shared" si="0"/>
        <v>Done</v>
      </c>
      <c r="B28" s="1" t="s">
        <v>16</v>
      </c>
      <c r="C28" s="1">
        <v>51</v>
      </c>
      <c r="D28" s="1" t="s">
        <v>573</v>
      </c>
      <c r="E28" s="1" t="s">
        <v>169</v>
      </c>
      <c r="F28" s="1" t="s">
        <v>53</v>
      </c>
      <c r="G28" s="1" t="s">
        <v>370</v>
      </c>
      <c r="H28" s="1" t="s">
        <v>1945</v>
      </c>
      <c r="I28" s="1" t="s">
        <v>49</v>
      </c>
      <c r="J28" s="1">
        <v>8</v>
      </c>
      <c r="K28" s="1" t="s">
        <v>170</v>
      </c>
      <c r="L28" s="1" t="str" cm="1">
        <f t="array" ref="L28">_xlfn.REGEXEXTRACT(B28,"(?&lt;=//)[^/]+")</f>
        <v>heavyfetish.com</v>
      </c>
      <c r="M28" s="1" t="s">
        <v>457</v>
      </c>
      <c r="N28" s="1" t="s">
        <v>1740</v>
      </c>
      <c r="O28" s="1" t="str" cm="1">
        <f t="array" ref="O28">IF(N28&lt;&gt;"NtApp",_xlfn.REGEXEXTRACT(N28,"\d+(?=p)"),"NtApp")</f>
        <v>NtApp</v>
      </c>
      <c r="P28" s="1" t="s">
        <v>1740</v>
      </c>
      <c r="Q28" s="1" t="b">
        <f t="shared" si="1"/>
        <v>0</v>
      </c>
      <c r="R28" s="1" t="s">
        <v>1829</v>
      </c>
      <c r="S28" s="1" t="s">
        <v>1335</v>
      </c>
      <c r="T28" s="1">
        <v>0</v>
      </c>
    </row>
    <row r="29" spans="1:20" ht="45" x14ac:dyDescent="0.25">
      <c r="A29" s="1" t="str">
        <f t="shared" si="0"/>
        <v>Done</v>
      </c>
      <c r="B29" s="1" t="s">
        <v>2116</v>
      </c>
      <c r="C29" s="1">
        <v>52</v>
      </c>
      <c r="D29" s="1" t="s">
        <v>569</v>
      </c>
      <c r="E29" s="1" t="s">
        <v>972</v>
      </c>
      <c r="F29" s="1" t="s">
        <v>53</v>
      </c>
      <c r="G29" s="1" t="s">
        <v>2186</v>
      </c>
      <c r="H29" s="1" t="s">
        <v>2118</v>
      </c>
      <c r="I29" s="1" t="s">
        <v>49</v>
      </c>
      <c r="J29" s="1">
        <v>8</v>
      </c>
      <c r="K29" s="1" t="s">
        <v>2117</v>
      </c>
      <c r="L29" s="1" t="str" cm="1">
        <f t="array" ref="L29">_xlfn.REGEXEXTRACT(B29,"(?&lt;=//)[^/]+")</f>
        <v>bdsmstreak.com</v>
      </c>
      <c r="M29" s="1" t="s">
        <v>457</v>
      </c>
      <c r="N29" s="1" t="s">
        <v>1740</v>
      </c>
      <c r="O29" s="1" t="str" cm="1">
        <f t="array" ref="O29">IF(N29&lt;&gt;"NtApp",_xlfn.REGEXEXTRACT(N29,"\d+(?=p)"),"NtApp")</f>
        <v>NtApp</v>
      </c>
      <c r="P29" s="1" t="s">
        <v>1740</v>
      </c>
      <c r="Q29" s="1" t="b">
        <f t="shared" si="1"/>
        <v>0</v>
      </c>
      <c r="R29" s="1" t="s">
        <v>1468</v>
      </c>
      <c r="S29" s="1" t="s">
        <v>1468</v>
      </c>
      <c r="T29" s="1">
        <v>7</v>
      </c>
    </row>
    <row r="30" spans="1:20" ht="45" x14ac:dyDescent="0.25">
      <c r="A30" s="1" t="str">
        <f t="shared" si="0"/>
        <v>Done</v>
      </c>
      <c r="B30" s="1" t="s">
        <v>269</v>
      </c>
      <c r="C30" s="1">
        <v>53</v>
      </c>
      <c r="D30" s="1" t="s">
        <v>569</v>
      </c>
      <c r="E30" s="1" t="s">
        <v>270</v>
      </c>
      <c r="F30" s="1" t="s">
        <v>53</v>
      </c>
      <c r="G30" s="1" t="s">
        <v>2184</v>
      </c>
      <c r="H30" s="1" t="s">
        <v>2035</v>
      </c>
      <c r="I30" s="1" t="s">
        <v>49</v>
      </c>
      <c r="J30" s="1">
        <v>8</v>
      </c>
      <c r="K30" s="1" t="s">
        <v>381</v>
      </c>
      <c r="L30" s="1" t="str" cm="1">
        <f t="array" ref="L30">_xlfn.REGEXEXTRACT(B30,"(?&lt;=//)[^/]+")</f>
        <v>abxxx.com</v>
      </c>
      <c r="M30" s="1" t="s">
        <v>457</v>
      </c>
      <c r="N30" s="1" t="s">
        <v>1740</v>
      </c>
      <c r="O30" s="1" t="str" cm="1">
        <f t="array" ref="O30">IF(N30&lt;&gt;"NtApp",_xlfn.REGEXEXTRACT(N30,"\d+(?=p)"),"NtApp")</f>
        <v>NtApp</v>
      </c>
      <c r="P30" s="1" t="s">
        <v>1740</v>
      </c>
      <c r="Q30" s="1" t="b">
        <f t="shared" si="1"/>
        <v>0</v>
      </c>
      <c r="R30" s="1" t="s">
        <v>1201</v>
      </c>
      <c r="S30" s="1" t="s">
        <v>1200</v>
      </c>
      <c r="T30" s="1">
        <v>0</v>
      </c>
    </row>
    <row r="31" spans="1:20" ht="60" x14ac:dyDescent="0.25">
      <c r="A31" s="1" t="str">
        <f t="shared" si="0"/>
        <v>Done</v>
      </c>
      <c r="B31" s="1" t="s">
        <v>963</v>
      </c>
      <c r="C31" s="1">
        <v>53</v>
      </c>
      <c r="D31" s="1" t="s">
        <v>577</v>
      </c>
      <c r="E31" s="1" t="s">
        <v>742</v>
      </c>
      <c r="F31" s="1" t="s">
        <v>53</v>
      </c>
      <c r="G31" s="1" t="s">
        <v>2187</v>
      </c>
      <c r="H31" s="1" t="s">
        <v>2147</v>
      </c>
      <c r="I31" s="1" t="s">
        <v>49</v>
      </c>
      <c r="J31" s="1">
        <v>8</v>
      </c>
      <c r="K31" s="1" t="s">
        <v>2148</v>
      </c>
      <c r="L31" s="1" t="str" cm="1">
        <f t="array" ref="L31">_xlfn.REGEXEXTRACT(B31,"(?&lt;=//)[^/]+")</f>
        <v>bdsmstreak.com</v>
      </c>
      <c r="M31" s="1" t="s">
        <v>457</v>
      </c>
      <c r="N31" s="1" t="s">
        <v>1740</v>
      </c>
      <c r="O31" s="1" t="str" cm="1">
        <f t="array" ref="O31">IF(N31&lt;&gt;"NtApp",_xlfn.REGEXEXTRACT(N31,"\d+(?=p)"),"NtApp")</f>
        <v>NtApp</v>
      </c>
      <c r="P31" s="1" t="s">
        <v>1740</v>
      </c>
      <c r="Q31" s="1" t="b">
        <f t="shared" si="1"/>
        <v>0</v>
      </c>
      <c r="R31" s="1" t="s">
        <v>1620</v>
      </c>
      <c r="S31" s="1" t="s">
        <v>1620</v>
      </c>
      <c r="T31" s="1">
        <v>9</v>
      </c>
    </row>
    <row r="32" spans="1:20" ht="30" x14ac:dyDescent="0.25">
      <c r="A32" s="1" t="str">
        <f t="shared" si="0"/>
        <v>Done</v>
      </c>
      <c r="B32" s="1" t="s">
        <v>479</v>
      </c>
      <c r="C32" s="1">
        <v>55</v>
      </c>
      <c r="D32" s="1" t="s">
        <v>575</v>
      </c>
      <c r="E32" s="1" t="s">
        <v>480</v>
      </c>
      <c r="F32" s="1" t="s">
        <v>53</v>
      </c>
      <c r="G32" s="1" t="s">
        <v>551</v>
      </c>
      <c r="H32" s="1" t="s">
        <v>1968</v>
      </c>
      <c r="I32" s="1" t="s">
        <v>49</v>
      </c>
      <c r="J32" s="1">
        <v>8</v>
      </c>
      <c r="K32" s="1" t="s">
        <v>1798</v>
      </c>
      <c r="L32" s="1" t="str" cm="1">
        <f t="array" ref="L32">_xlfn.REGEXEXTRACT(B32,"(?&lt;=//)[^/]+")</f>
        <v>heavyfetish.com</v>
      </c>
      <c r="M32" s="1" t="s">
        <v>457</v>
      </c>
      <c r="N32" s="1" t="s">
        <v>1740</v>
      </c>
      <c r="O32" s="1" t="str" cm="1">
        <f t="array" ref="O32">IF(N32&lt;&gt;"NtApp",_xlfn.REGEXEXTRACT(N32,"\d+(?=p)"),"NtApp")</f>
        <v>NtApp</v>
      </c>
      <c r="P32" s="1" t="s">
        <v>1740</v>
      </c>
      <c r="Q32" s="1" t="b">
        <f t="shared" si="1"/>
        <v>0</v>
      </c>
      <c r="R32" s="1" t="s">
        <v>1199</v>
      </c>
      <c r="S32" s="1" t="s">
        <v>1198</v>
      </c>
      <c r="T32" s="1">
        <v>0</v>
      </c>
    </row>
    <row r="33" spans="1:20" ht="90" x14ac:dyDescent="0.25">
      <c r="A33" s="1" t="str">
        <f t="shared" si="0"/>
        <v>Done</v>
      </c>
      <c r="B33" s="1" t="s">
        <v>917</v>
      </c>
      <c r="C33" s="1">
        <v>55</v>
      </c>
      <c r="D33" s="1" t="s">
        <v>571</v>
      </c>
      <c r="E33" s="1" t="s">
        <v>918</v>
      </c>
      <c r="F33" s="1" t="s">
        <v>156</v>
      </c>
      <c r="G33" s="1" t="s">
        <v>2281</v>
      </c>
      <c r="H33" s="1" t="s">
        <v>2174</v>
      </c>
      <c r="I33" s="1" t="s">
        <v>49</v>
      </c>
      <c r="J33" s="1">
        <v>8</v>
      </c>
      <c r="K33" s="1" t="s">
        <v>2173</v>
      </c>
      <c r="L33" s="1" t="str" cm="1">
        <f t="array" ref="L33">_xlfn.REGEXEXTRACT(B33,"(?&lt;=//)[^/]+")</f>
        <v>bdsmstreak.com</v>
      </c>
      <c r="M33" s="1" t="s">
        <v>457</v>
      </c>
      <c r="N33" s="1" t="s">
        <v>1740</v>
      </c>
      <c r="O33" s="1" t="str" cm="1">
        <f t="array" ref="O33">IF(N33&lt;&gt;"NtApp",_xlfn.REGEXEXTRACT(N33,"\d+(?=p)"),"NtApp")</f>
        <v>NtApp</v>
      </c>
      <c r="P33" s="1" t="s">
        <v>1740</v>
      </c>
      <c r="Q33" s="1" t="b">
        <f t="shared" si="1"/>
        <v>1</v>
      </c>
      <c r="R33" s="1" t="s">
        <v>1406</v>
      </c>
      <c r="S33" s="1" t="s">
        <v>1406</v>
      </c>
      <c r="T33" s="1">
        <v>3</v>
      </c>
    </row>
    <row r="34" spans="1:20" ht="45" x14ac:dyDescent="0.25">
      <c r="A34" s="1" t="str">
        <f t="shared" si="0"/>
        <v>Done</v>
      </c>
      <c r="B34" s="1" t="s">
        <v>860</v>
      </c>
      <c r="C34" s="1">
        <v>57</v>
      </c>
      <c r="D34" s="1" t="s">
        <v>577</v>
      </c>
      <c r="E34" s="1" t="s">
        <v>861</v>
      </c>
      <c r="F34" s="1" t="s">
        <v>54</v>
      </c>
      <c r="G34" s="1" t="s">
        <v>2245</v>
      </c>
      <c r="H34" s="1" t="s">
        <v>2153</v>
      </c>
      <c r="I34" s="1" t="s">
        <v>49</v>
      </c>
      <c r="J34" s="1">
        <v>8</v>
      </c>
      <c r="K34" s="1" t="s">
        <v>2154</v>
      </c>
      <c r="L34" s="1" t="str" cm="1">
        <f t="array" ref="L34">_xlfn.REGEXEXTRACT(B34,"(?&lt;=//)[^/]+")</f>
        <v>hcbdsm.com</v>
      </c>
      <c r="M34" s="1" t="s">
        <v>457</v>
      </c>
      <c r="N34" s="1" t="s">
        <v>1740</v>
      </c>
      <c r="O34" s="1" t="str" cm="1">
        <f t="array" ref="O34">IF(N34&lt;&gt;"NtApp",_xlfn.REGEXEXTRACT(N34,"\d+(?=p)"),"NtApp")</f>
        <v>NtApp</v>
      </c>
      <c r="P34" s="1" t="s">
        <v>1740</v>
      </c>
      <c r="Q34" s="1" t="b">
        <f t="shared" si="1"/>
        <v>1</v>
      </c>
      <c r="R34" s="1" t="s">
        <v>1513</v>
      </c>
      <c r="S34" s="1" t="s">
        <v>1513</v>
      </c>
      <c r="T34" s="1">
        <v>8</v>
      </c>
    </row>
    <row r="35" spans="1:20" ht="75" x14ac:dyDescent="0.25">
      <c r="A35" s="1" t="str">
        <f t="shared" si="0"/>
        <v>Done</v>
      </c>
      <c r="B35" s="1" t="s">
        <v>903</v>
      </c>
      <c r="C35" s="1">
        <v>58</v>
      </c>
      <c r="D35" s="1" t="s">
        <v>573</v>
      </c>
      <c r="E35" s="1" t="s">
        <v>489</v>
      </c>
      <c r="F35" s="1" t="s">
        <v>53</v>
      </c>
      <c r="G35" s="1" t="s">
        <v>2251</v>
      </c>
      <c r="H35" s="1" t="s">
        <v>2155</v>
      </c>
      <c r="I35" s="1" t="s">
        <v>49</v>
      </c>
      <c r="J35" s="1">
        <v>8</v>
      </c>
      <c r="K35" s="1" t="s">
        <v>2156</v>
      </c>
      <c r="L35" s="1" t="str" cm="1">
        <f t="array" ref="L35">_xlfn.REGEXEXTRACT(B35,"(?&lt;=//)[^/]+")</f>
        <v>hcbdsm.com</v>
      </c>
      <c r="M35" s="1" t="s">
        <v>457</v>
      </c>
      <c r="N35" s="1" t="s">
        <v>1740</v>
      </c>
      <c r="O35" s="1" t="str" cm="1">
        <f t="array" ref="O35">IF(N35&lt;&gt;"NtApp",_xlfn.REGEXEXTRACT(N35,"\d+(?=p)"),"NtApp")</f>
        <v>NtApp</v>
      </c>
      <c r="P35" s="1" t="s">
        <v>1740</v>
      </c>
      <c r="Q35" s="1" t="b">
        <f t="shared" si="1"/>
        <v>0</v>
      </c>
      <c r="R35" s="1" t="s">
        <v>1679</v>
      </c>
      <c r="S35" s="1" t="s">
        <v>1678</v>
      </c>
      <c r="T35" s="1">
        <v>8</v>
      </c>
    </row>
    <row r="36" spans="1:20" ht="75" x14ac:dyDescent="0.25">
      <c r="A36" s="1" t="str">
        <f t="shared" si="0"/>
        <v>Done</v>
      </c>
      <c r="B36" s="1" t="s">
        <v>1005</v>
      </c>
      <c r="C36" s="1">
        <v>59</v>
      </c>
      <c r="D36" s="1" t="s">
        <v>573</v>
      </c>
      <c r="E36" s="1" t="s">
        <v>1006</v>
      </c>
      <c r="F36" s="1" t="s">
        <v>53</v>
      </c>
      <c r="G36" s="1" t="s">
        <v>2297</v>
      </c>
      <c r="H36" s="1" t="s">
        <v>2268</v>
      </c>
      <c r="I36" s="1" t="s">
        <v>49</v>
      </c>
      <c r="J36" s="1">
        <v>8</v>
      </c>
      <c r="K36" s="1" t="s">
        <v>2270</v>
      </c>
      <c r="L36" s="1" t="str" cm="1">
        <f t="array" ref="L36">_xlfn.REGEXEXTRACT(B36,"(?&lt;=//)[^/]+")</f>
        <v>bdsmstreak.com</v>
      </c>
      <c r="M36" s="1" t="s">
        <v>457</v>
      </c>
      <c r="N36" s="1" t="s">
        <v>1740</v>
      </c>
      <c r="O36" s="1" t="str" cm="1">
        <f t="array" ref="O36">IF(N36&lt;&gt;"NtApp",_xlfn.REGEXEXTRACT(N36,"\d+(?=p)"),"NtApp")</f>
        <v>NtApp</v>
      </c>
      <c r="P36" s="1" t="s">
        <v>1740</v>
      </c>
      <c r="Q36" s="1" t="b">
        <f t="shared" si="1"/>
        <v>0</v>
      </c>
      <c r="R36" s="1" t="s">
        <v>1683</v>
      </c>
      <c r="S36" s="1" t="s">
        <v>1683</v>
      </c>
      <c r="T36" s="1">
        <v>7</v>
      </c>
    </row>
    <row r="37" spans="1:20" ht="30" x14ac:dyDescent="0.25">
      <c r="A37" s="1" t="str">
        <f t="shared" si="0"/>
        <v>Done</v>
      </c>
      <c r="B37" s="1" t="s">
        <v>758</v>
      </c>
      <c r="C37" s="1">
        <v>61</v>
      </c>
      <c r="D37" s="1" t="s">
        <v>573</v>
      </c>
      <c r="E37" s="1" t="s">
        <v>769</v>
      </c>
      <c r="F37" s="1" t="s">
        <v>53</v>
      </c>
      <c r="G37" s="1" t="s">
        <v>2233</v>
      </c>
      <c r="H37" s="1" t="s">
        <v>1966</v>
      </c>
      <c r="I37" s="1" t="s">
        <v>49</v>
      </c>
      <c r="J37" s="1">
        <v>8</v>
      </c>
      <c r="K37" s="1" t="s">
        <v>2159</v>
      </c>
      <c r="L37" s="1" t="str" cm="1">
        <f t="array" ref="L37">_xlfn.REGEXEXTRACT(B37,"(?&lt;=//)[^/]+")</f>
        <v>hcbdsm.com</v>
      </c>
      <c r="M37" s="1" t="s">
        <v>457</v>
      </c>
      <c r="N37" s="1" t="s">
        <v>1740</v>
      </c>
      <c r="O37" s="1" t="str" cm="1">
        <f t="array" ref="O37">IF(N37&lt;&gt;"NtApp",_xlfn.REGEXEXTRACT(N37,"\d+(?=p)"),"NtApp")</f>
        <v>NtApp</v>
      </c>
      <c r="P37" s="1" t="s">
        <v>1740</v>
      </c>
      <c r="Q37" s="1" t="b">
        <f t="shared" si="1"/>
        <v>0</v>
      </c>
      <c r="R37" s="1" t="s">
        <v>1687</v>
      </c>
      <c r="S37" s="1" t="s">
        <v>1686</v>
      </c>
      <c r="T37" s="1">
        <v>8</v>
      </c>
    </row>
    <row r="38" spans="1:20" ht="60" x14ac:dyDescent="0.25">
      <c r="A38" s="1" t="str">
        <f t="shared" si="0"/>
        <v>Done</v>
      </c>
      <c r="B38" s="1" t="s">
        <v>978</v>
      </c>
      <c r="C38" s="1">
        <v>74</v>
      </c>
      <c r="D38" s="1" t="s">
        <v>577</v>
      </c>
      <c r="E38" s="1" t="s">
        <v>979</v>
      </c>
      <c r="F38" s="1" t="s">
        <v>54</v>
      </c>
      <c r="G38" s="1" t="s">
        <v>2280</v>
      </c>
      <c r="H38" s="1" t="s">
        <v>1958</v>
      </c>
      <c r="I38" s="1" t="s">
        <v>49</v>
      </c>
      <c r="J38" s="1">
        <v>8</v>
      </c>
      <c r="K38" s="1" t="s">
        <v>2163</v>
      </c>
      <c r="L38" s="1" t="str" cm="1">
        <f t="array" ref="L38">_xlfn.REGEXEXTRACT(B38,"(?&lt;=//)[^/]+")</f>
        <v>hcbdsm.com</v>
      </c>
      <c r="M38" s="1" t="s">
        <v>457</v>
      </c>
      <c r="N38" s="1" t="s">
        <v>1740</v>
      </c>
      <c r="O38" s="1" t="str" cm="1">
        <f t="array" ref="O38">IF(N38&lt;&gt;"NtApp",_xlfn.REGEXEXTRACT(N38,"\d+(?=p)"),"NtApp")</f>
        <v>NtApp</v>
      </c>
      <c r="P38" s="1" t="s">
        <v>1740</v>
      </c>
      <c r="Q38" s="1" t="b">
        <f t="shared" si="1"/>
        <v>1</v>
      </c>
      <c r="R38" s="1" t="s">
        <v>1516</v>
      </c>
      <c r="S38" s="1" t="s">
        <v>1515</v>
      </c>
      <c r="T38" s="1">
        <v>8</v>
      </c>
    </row>
    <row r="39" spans="1:20" ht="60" x14ac:dyDescent="0.25">
      <c r="A39" s="1" t="str">
        <f t="shared" si="0"/>
        <v>Done</v>
      </c>
      <c r="B39" s="1" t="s">
        <v>991</v>
      </c>
      <c r="C39" s="1">
        <v>84</v>
      </c>
      <c r="D39" s="1" t="s">
        <v>577</v>
      </c>
      <c r="E39" s="1" t="s">
        <v>992</v>
      </c>
      <c r="F39" s="1" t="s">
        <v>54</v>
      </c>
      <c r="G39" s="1" t="s">
        <v>2295</v>
      </c>
      <c r="H39" s="1" t="s">
        <v>2164</v>
      </c>
      <c r="I39" s="1" t="s">
        <v>49</v>
      </c>
      <c r="J39" s="1">
        <v>8</v>
      </c>
      <c r="K39" s="1" t="s">
        <v>2165</v>
      </c>
      <c r="L39" s="1" t="str" cm="1">
        <f t="array" ref="L39">_xlfn.REGEXEXTRACT(B39,"(?&lt;=//)[^/]+")</f>
        <v>bdsmstreak.com</v>
      </c>
      <c r="M39" s="1" t="s">
        <v>457</v>
      </c>
      <c r="N39" s="1" t="s">
        <v>1740</v>
      </c>
      <c r="O39" s="1" t="str" cm="1">
        <f t="array" ref="O39">IF(N39&lt;&gt;"NtApp",_xlfn.REGEXEXTRACT(N39,"\d+(?=p)"),"NtApp")</f>
        <v>NtApp</v>
      </c>
      <c r="P39" s="1" t="s">
        <v>1740</v>
      </c>
      <c r="Q39" s="1" t="b">
        <f t="shared" si="1"/>
        <v>1</v>
      </c>
      <c r="R39" s="1" t="s">
        <v>1522</v>
      </c>
      <c r="S39" s="1" t="s">
        <v>1521</v>
      </c>
      <c r="T39" s="1">
        <v>8</v>
      </c>
    </row>
    <row r="40" spans="1:20" ht="45" x14ac:dyDescent="0.25">
      <c r="A40" s="1" t="str">
        <f t="shared" si="0"/>
        <v>Done</v>
      </c>
      <c r="B40" s="1" t="s">
        <v>1089</v>
      </c>
      <c r="C40" s="1">
        <v>70</v>
      </c>
      <c r="D40" s="1" t="s">
        <v>573</v>
      </c>
      <c r="E40" s="1" t="s">
        <v>1090</v>
      </c>
      <c r="F40" s="1" t="s">
        <v>53</v>
      </c>
      <c r="G40" s="1" t="s">
        <v>2367</v>
      </c>
      <c r="H40" s="1" t="s">
        <v>2366</v>
      </c>
      <c r="I40" s="1" t="s">
        <v>49</v>
      </c>
      <c r="J40" s="1">
        <v>8</v>
      </c>
      <c r="K40" s="1" t="s">
        <v>2368</v>
      </c>
      <c r="L40" s="1" t="str" cm="1">
        <f t="array" ref="L40">_xlfn.REGEXEXTRACT(B40,"(?&lt;=//)[^/]+")</f>
        <v>bdsmstreak.com</v>
      </c>
      <c r="M40" s="1" t="s">
        <v>457</v>
      </c>
      <c r="N40" s="1" t="s">
        <v>1740</v>
      </c>
      <c r="O40" s="1" t="str" cm="1">
        <f t="array" ref="O40">IF(N40&lt;&gt;"NtApp",_xlfn.REGEXEXTRACT(N40,"\d+(?=p)"),"NtApp")</f>
        <v>NtApp</v>
      </c>
      <c r="P40" s="1" t="s">
        <v>1740</v>
      </c>
      <c r="Q40" s="1" t="b">
        <f t="shared" si="1"/>
        <v>0</v>
      </c>
      <c r="R40" s="1" t="s">
        <v>1693</v>
      </c>
      <c r="S40" s="1" t="s">
        <v>1693</v>
      </c>
      <c r="T40" s="1">
        <v>5</v>
      </c>
    </row>
    <row r="41" spans="1:20" x14ac:dyDescent="0.25">
      <c r="A41" s="1" t="str">
        <f t="shared" si="0"/>
        <v>Done</v>
      </c>
      <c r="B41" s="1" t="s">
        <v>222</v>
      </c>
      <c r="C41" s="1">
        <v>0</v>
      </c>
      <c r="D41" s="1" t="s">
        <v>1735</v>
      </c>
      <c r="E41" s="1" t="s">
        <v>837</v>
      </c>
      <c r="F41" s="1" t="s">
        <v>63</v>
      </c>
      <c r="G41" s="1" t="s">
        <v>475</v>
      </c>
      <c r="H41" s="1" t="s">
        <v>343</v>
      </c>
      <c r="I41" s="1" t="s">
        <v>49</v>
      </c>
      <c r="J41" s="1">
        <v>7</v>
      </c>
      <c r="K41" s="1" t="s">
        <v>237</v>
      </c>
      <c r="L41" s="1" t="str" cm="1">
        <f t="array" ref="L41">_xlfn.REGEXEXTRACT(B41,"(?&lt;=//)[^/]+")</f>
        <v>beeg.com</v>
      </c>
      <c r="M41" s="1" t="s">
        <v>457</v>
      </c>
      <c r="N41" s="1" t="s">
        <v>1740</v>
      </c>
      <c r="O41" s="1" t="str" cm="1">
        <f t="array" ref="O41">IF(N41&lt;&gt;"NtApp",_xlfn.REGEXEXTRACT(N41,"\d+(?=p)"),"NtApp")</f>
        <v>NtApp</v>
      </c>
      <c r="P41" s="1" t="s">
        <v>1740</v>
      </c>
      <c r="Q41" s="1" t="b">
        <f t="shared" si="1"/>
        <v>0</v>
      </c>
      <c r="R41" s="1" t="s">
        <v>1740</v>
      </c>
      <c r="S41" s="1" t="s">
        <v>1740</v>
      </c>
      <c r="T41" s="1">
        <v>0</v>
      </c>
    </row>
    <row r="42" spans="1:20" ht="30" x14ac:dyDescent="0.25">
      <c r="A42" s="1" t="str">
        <f t="shared" si="0"/>
        <v>Done</v>
      </c>
      <c r="B42" s="1" t="s">
        <v>262</v>
      </c>
      <c r="C42" s="1">
        <v>0</v>
      </c>
      <c r="D42" s="1" t="s">
        <v>836</v>
      </c>
      <c r="E42" s="1" t="s">
        <v>837</v>
      </c>
      <c r="F42" s="1" t="s">
        <v>127</v>
      </c>
      <c r="G42" s="1" t="s">
        <v>299</v>
      </c>
      <c r="H42" s="1" t="s">
        <v>308</v>
      </c>
      <c r="I42" s="1" t="s">
        <v>49</v>
      </c>
      <c r="J42" s="1">
        <v>7</v>
      </c>
      <c r="K42" s="1" t="s">
        <v>1801</v>
      </c>
      <c r="L42" s="1" t="str" cm="1">
        <f t="array" ref="L42">_xlfn.REGEXEXTRACT(B42,"(?&lt;=//)[^/]+")</f>
        <v>www.tubebdsm.com</v>
      </c>
      <c r="M42" s="1" t="s">
        <v>457</v>
      </c>
      <c r="N42" s="1" t="s">
        <v>1740</v>
      </c>
      <c r="O42" s="1" t="str" cm="1">
        <f t="array" ref="O42">IF(N42&lt;&gt;"NtApp",_xlfn.REGEXEXTRACT(N42,"\d+(?=p)"),"NtApp")</f>
        <v>NtApp</v>
      </c>
      <c r="P42" s="1" t="s">
        <v>1740</v>
      </c>
      <c r="Q42" s="1" t="b">
        <f t="shared" si="1"/>
        <v>0</v>
      </c>
      <c r="R42" s="1" t="s">
        <v>1740</v>
      </c>
      <c r="S42" s="1" t="s">
        <v>1740</v>
      </c>
      <c r="T42" s="1">
        <v>0</v>
      </c>
    </row>
    <row r="43" spans="1:20" ht="45" x14ac:dyDescent="0.25">
      <c r="A43" s="1" t="str">
        <f t="shared" si="0"/>
        <v>Done</v>
      </c>
      <c r="B43" s="1" t="s">
        <v>488</v>
      </c>
      <c r="C43" s="1">
        <v>0</v>
      </c>
      <c r="D43" s="1" t="s">
        <v>836</v>
      </c>
      <c r="E43" s="1" t="s">
        <v>489</v>
      </c>
      <c r="F43" s="1" t="s">
        <v>53</v>
      </c>
      <c r="G43" s="1" t="s">
        <v>2188</v>
      </c>
      <c r="H43" s="1" t="s">
        <v>494</v>
      </c>
      <c r="I43" s="1" t="s">
        <v>49</v>
      </c>
      <c r="J43" s="1">
        <v>7</v>
      </c>
      <c r="K43" s="1" t="s">
        <v>490</v>
      </c>
      <c r="L43" s="1" t="str" cm="1">
        <f t="array" ref="L43">_xlfn.REGEXEXTRACT(B43,"(?&lt;=//)[^/]+")</f>
        <v>bdsmmansion.com</v>
      </c>
      <c r="M43" s="1" t="s">
        <v>457</v>
      </c>
      <c r="N43" s="1" t="s">
        <v>1740</v>
      </c>
      <c r="O43" s="1" t="str" cm="1">
        <f t="array" ref="O43">IF(N43&lt;&gt;"NtApp",_xlfn.REGEXEXTRACT(N43,"\d+(?=p)"),"NtApp")</f>
        <v>NtApp</v>
      </c>
      <c r="P43" s="1" t="s">
        <v>1740</v>
      </c>
      <c r="Q43" s="1" t="b">
        <f t="shared" si="1"/>
        <v>0</v>
      </c>
      <c r="R43" s="1" t="s">
        <v>1740</v>
      </c>
      <c r="S43" s="1" t="s">
        <v>1740</v>
      </c>
      <c r="T43" s="1">
        <v>0</v>
      </c>
    </row>
    <row r="44" spans="1:20" ht="45" x14ac:dyDescent="0.25">
      <c r="A44" s="1" t="str">
        <f t="shared" si="0"/>
        <v>Done</v>
      </c>
      <c r="B44" s="1" t="s">
        <v>207</v>
      </c>
      <c r="C44" s="1">
        <v>0</v>
      </c>
      <c r="D44" s="1" t="s">
        <v>1737</v>
      </c>
      <c r="E44" s="1" t="s">
        <v>837</v>
      </c>
      <c r="F44" s="1" t="s">
        <v>63</v>
      </c>
      <c r="G44" s="1" t="s">
        <v>2323</v>
      </c>
      <c r="H44" s="1" t="s">
        <v>2038</v>
      </c>
      <c r="I44" s="1" t="s">
        <v>49</v>
      </c>
      <c r="J44" s="1">
        <v>7</v>
      </c>
      <c r="K44" s="1" t="s">
        <v>208</v>
      </c>
      <c r="L44" s="1" t="str" cm="1">
        <f t="array" ref="L44">_xlfn.REGEXEXTRACT(B44,"(?&lt;=//)[^/]+")</f>
        <v>www.txxx.porn</v>
      </c>
      <c r="M44" s="1" t="s">
        <v>457</v>
      </c>
      <c r="N44" s="1" t="s">
        <v>1740</v>
      </c>
      <c r="O44" s="1" t="str" cm="1">
        <f t="array" ref="O44">IF(N44&lt;&gt;"NtApp",_xlfn.REGEXEXTRACT(N44,"\d+(?=p)"),"NtApp")</f>
        <v>NtApp</v>
      </c>
      <c r="P44" s="1" t="s">
        <v>1740</v>
      </c>
      <c r="Q44" s="1" t="b">
        <f t="shared" si="1"/>
        <v>0</v>
      </c>
      <c r="R44" s="1" t="s">
        <v>1740</v>
      </c>
      <c r="S44" s="1" t="s">
        <v>1740</v>
      </c>
      <c r="T44" s="1">
        <v>0</v>
      </c>
    </row>
    <row r="45" spans="1:20" ht="30" x14ac:dyDescent="0.25">
      <c r="A45" s="1" t="str">
        <f t="shared" si="0"/>
        <v>Done</v>
      </c>
      <c r="B45" s="1" t="s">
        <v>220</v>
      </c>
      <c r="C45" s="1">
        <v>0</v>
      </c>
      <c r="D45" s="1" t="s">
        <v>836</v>
      </c>
      <c r="E45" s="1" t="s">
        <v>837</v>
      </c>
      <c r="F45" s="1" t="s">
        <v>235</v>
      </c>
      <c r="G45" s="1" t="s">
        <v>44</v>
      </c>
      <c r="H45" s="1" t="s">
        <v>311</v>
      </c>
      <c r="I45" s="1" t="s">
        <v>49</v>
      </c>
      <c r="J45" s="1">
        <v>7</v>
      </c>
      <c r="K45" s="1" t="s">
        <v>243</v>
      </c>
      <c r="L45" s="1" t="str" cm="1">
        <f t="array" ref="L45">_xlfn.REGEXEXTRACT(B45,"(?&lt;=//)[^/]+")</f>
        <v>beeg.com</v>
      </c>
      <c r="M45" s="1" t="s">
        <v>457</v>
      </c>
      <c r="N45" s="1" t="s">
        <v>1740</v>
      </c>
      <c r="O45" s="1" t="str" cm="1">
        <f t="array" ref="O45">IF(N45&lt;&gt;"NtApp",_xlfn.REGEXEXTRACT(N45,"\d+(?=p)"),"NtApp")</f>
        <v>NtApp</v>
      </c>
      <c r="P45" s="1" t="s">
        <v>1740</v>
      </c>
      <c r="Q45" s="1" t="b">
        <f t="shared" si="1"/>
        <v>0</v>
      </c>
      <c r="R45" s="1" t="s">
        <v>1740</v>
      </c>
      <c r="S45" s="1" t="s">
        <v>1740</v>
      </c>
      <c r="T45" s="1">
        <v>0</v>
      </c>
    </row>
    <row r="46" spans="1:20" ht="30" x14ac:dyDescent="0.25">
      <c r="A46" s="1" t="str">
        <f t="shared" si="0"/>
        <v>Done</v>
      </c>
      <c r="B46" s="1" t="s">
        <v>221</v>
      </c>
      <c r="C46" s="1">
        <v>0</v>
      </c>
      <c r="D46" s="1" t="s">
        <v>836</v>
      </c>
      <c r="E46" s="1" t="s">
        <v>837</v>
      </c>
      <c r="F46" s="1" t="s">
        <v>235</v>
      </c>
      <c r="G46" s="1" t="s">
        <v>44</v>
      </c>
      <c r="H46" s="1" t="s">
        <v>311</v>
      </c>
      <c r="I46" s="1" t="s">
        <v>49</v>
      </c>
      <c r="J46" s="1">
        <v>7</v>
      </c>
      <c r="K46" s="1" t="s">
        <v>244</v>
      </c>
      <c r="L46" s="1" t="str" cm="1">
        <f t="array" ref="L46">_xlfn.REGEXEXTRACT(B46,"(?&lt;=//)[^/]+")</f>
        <v>www.fuq.com</v>
      </c>
      <c r="M46" s="1" t="s">
        <v>457</v>
      </c>
      <c r="N46" s="1" t="s">
        <v>1740</v>
      </c>
      <c r="O46" s="1" t="str" cm="1">
        <f t="array" ref="O46">IF(N46&lt;&gt;"NtApp",_xlfn.REGEXEXTRACT(N46,"\d+(?=p)"),"NtApp")</f>
        <v>NtApp</v>
      </c>
      <c r="P46" s="1" t="s">
        <v>1740</v>
      </c>
      <c r="Q46" s="1" t="b">
        <f t="shared" si="1"/>
        <v>0</v>
      </c>
      <c r="R46" s="1" t="s">
        <v>1740</v>
      </c>
      <c r="S46" s="1" t="s">
        <v>1740</v>
      </c>
      <c r="T46" s="1">
        <v>0</v>
      </c>
    </row>
    <row r="47" spans="1:20" ht="30" x14ac:dyDescent="0.25">
      <c r="A47" s="1" t="str">
        <f t="shared" si="0"/>
        <v>Done</v>
      </c>
      <c r="B47" s="1" t="s">
        <v>250</v>
      </c>
      <c r="C47" s="1">
        <v>0</v>
      </c>
      <c r="D47" s="1" t="s">
        <v>1737</v>
      </c>
      <c r="E47" s="1" t="s">
        <v>837</v>
      </c>
      <c r="F47" s="1" t="s">
        <v>63</v>
      </c>
      <c r="G47" s="1" t="s">
        <v>378</v>
      </c>
      <c r="H47" s="1" t="s">
        <v>307</v>
      </c>
      <c r="I47" s="1" t="s">
        <v>49</v>
      </c>
      <c r="J47" s="1">
        <v>7</v>
      </c>
      <c r="K47" s="1" t="s">
        <v>251</v>
      </c>
      <c r="L47" s="1" t="str" cm="1">
        <f t="array" ref="L47">_xlfn.REGEXEXTRACT(B47,"(?&lt;=//)[^/]+")</f>
        <v>www.pornhits.com</v>
      </c>
      <c r="M47" s="1" t="s">
        <v>457</v>
      </c>
      <c r="N47" s="1" t="s">
        <v>1740</v>
      </c>
      <c r="O47" s="1" t="str" cm="1">
        <f t="array" ref="O47">IF(N47&lt;&gt;"NtApp",_xlfn.REGEXEXTRACT(N47,"\d+(?=p)"),"NtApp")</f>
        <v>NtApp</v>
      </c>
      <c r="P47" s="1" t="s">
        <v>1740</v>
      </c>
      <c r="Q47" s="1" t="b">
        <f t="shared" si="1"/>
        <v>0</v>
      </c>
      <c r="R47" s="1" t="s">
        <v>1740</v>
      </c>
      <c r="S47" s="1" t="s">
        <v>1740</v>
      </c>
      <c r="T47" s="1">
        <v>0</v>
      </c>
    </row>
    <row r="48" spans="1:20" ht="45" x14ac:dyDescent="0.25">
      <c r="A48" s="1" t="str">
        <f t="shared" si="0"/>
        <v>Done</v>
      </c>
      <c r="B48" s="1" t="s">
        <v>620</v>
      </c>
      <c r="C48" s="1">
        <v>0</v>
      </c>
      <c r="D48" s="1" t="s">
        <v>836</v>
      </c>
      <c r="E48" s="1" t="s">
        <v>489</v>
      </c>
      <c r="F48" s="1" t="s">
        <v>53</v>
      </c>
      <c r="G48" s="1" t="s">
        <v>2197</v>
      </c>
      <c r="H48" s="1" t="s">
        <v>1981</v>
      </c>
      <c r="I48" s="1" t="s">
        <v>49</v>
      </c>
      <c r="J48" s="1">
        <v>7</v>
      </c>
      <c r="K48" s="1" t="s">
        <v>626</v>
      </c>
      <c r="L48" s="1" t="str" cm="1">
        <f t="array" ref="L48">_xlfn.REGEXEXTRACT(B48,"(?&lt;=//)[^/]+")</f>
        <v>bdsmstreak.com</v>
      </c>
      <c r="M48" s="1" t="s">
        <v>457</v>
      </c>
      <c r="N48" s="1" t="s">
        <v>1740</v>
      </c>
      <c r="O48" s="1" t="str" cm="1">
        <f t="array" ref="O48">IF(N48&lt;&gt;"NtApp",_xlfn.REGEXEXTRACT(N48,"\d+(?=p)"),"NtApp")</f>
        <v>NtApp</v>
      </c>
      <c r="P48" s="1" t="s">
        <v>1740</v>
      </c>
      <c r="Q48" s="1" t="b">
        <f t="shared" si="1"/>
        <v>0</v>
      </c>
      <c r="R48" s="1" t="s">
        <v>1740</v>
      </c>
      <c r="S48" s="1" t="s">
        <v>1740</v>
      </c>
      <c r="T48" s="1">
        <v>0</v>
      </c>
    </row>
    <row r="49" spans="1:20" ht="45" x14ac:dyDescent="0.25">
      <c r="A49" s="1" t="str">
        <f t="shared" si="0"/>
        <v>Done</v>
      </c>
      <c r="B49" s="1" t="s">
        <v>1386</v>
      </c>
      <c r="C49" s="1">
        <v>16</v>
      </c>
      <c r="D49" s="1" t="s">
        <v>573</v>
      </c>
      <c r="E49" s="1" t="s">
        <v>1385</v>
      </c>
      <c r="F49" s="1" t="s">
        <v>53</v>
      </c>
      <c r="G49" s="1" t="s">
        <v>2198</v>
      </c>
      <c r="H49" s="1" t="s">
        <v>1966</v>
      </c>
      <c r="I49" s="1" t="s">
        <v>49</v>
      </c>
      <c r="J49" s="1">
        <v>7</v>
      </c>
      <c r="K49" s="1" t="s">
        <v>2119</v>
      </c>
      <c r="L49" s="1" t="str" cm="1">
        <f t="array" ref="L49">_xlfn.REGEXEXTRACT(B49,"(?&lt;=//)[^/]+")</f>
        <v>hcbdsm.com</v>
      </c>
      <c r="M49" s="1" t="s">
        <v>457</v>
      </c>
      <c r="N49" s="1" t="s">
        <v>1740</v>
      </c>
      <c r="O49" s="1" t="str" cm="1">
        <f t="array" ref="O49">IF(N49&lt;&gt;"NtApp",_xlfn.REGEXEXTRACT(N49,"\d+(?=p)"),"NtApp")</f>
        <v>NtApp</v>
      </c>
      <c r="P49" s="1" t="s">
        <v>1740</v>
      </c>
      <c r="Q49" s="1" t="b">
        <f t="shared" si="1"/>
        <v>0</v>
      </c>
      <c r="R49" s="1" t="s">
        <v>1897</v>
      </c>
      <c r="S49" s="1" t="s">
        <v>1898</v>
      </c>
      <c r="T49" s="1">
        <v>0</v>
      </c>
    </row>
    <row r="50" spans="1:20" ht="30" x14ac:dyDescent="0.25">
      <c r="A50" s="1" t="str">
        <f t="shared" si="0"/>
        <v>Done</v>
      </c>
      <c r="B50" s="1" t="s">
        <v>72</v>
      </c>
      <c r="C50" s="1">
        <v>24</v>
      </c>
      <c r="D50" s="1" t="s">
        <v>73</v>
      </c>
      <c r="E50" s="1" t="s">
        <v>291</v>
      </c>
      <c r="F50" s="1" t="s">
        <v>54</v>
      </c>
      <c r="G50" s="1" t="s">
        <v>2274</v>
      </c>
      <c r="H50" s="1" t="s">
        <v>2056</v>
      </c>
      <c r="I50" s="1" t="s">
        <v>49</v>
      </c>
      <c r="J50" s="1">
        <v>7</v>
      </c>
      <c r="K50" s="1" t="s">
        <v>82</v>
      </c>
      <c r="L50" s="1" t="str" cm="1">
        <f t="array" ref="L50">_xlfn.REGEXEXTRACT(B50,"(?&lt;=//)[^/]+")</f>
        <v>heavyfetish.com</v>
      </c>
      <c r="M50" s="1" t="s">
        <v>457</v>
      </c>
      <c r="N50" s="1" t="s">
        <v>1740</v>
      </c>
      <c r="O50" s="1" t="str" cm="1">
        <f t="array" ref="O50">IF(N50&lt;&gt;"NtApp",_xlfn.REGEXEXTRACT(N50,"\d+(?=p)"),"NtApp")</f>
        <v>NtApp</v>
      </c>
      <c r="P50" s="1" t="s">
        <v>1740</v>
      </c>
      <c r="Q50" s="1" t="b">
        <f t="shared" si="1"/>
        <v>1</v>
      </c>
      <c r="R50" s="1" t="s">
        <v>1244</v>
      </c>
      <c r="S50" s="1" t="s">
        <v>1809</v>
      </c>
      <c r="T50" s="1">
        <v>0</v>
      </c>
    </row>
    <row r="51" spans="1:20" ht="45" x14ac:dyDescent="0.25">
      <c r="A51" s="1" t="str">
        <f t="shared" si="0"/>
        <v>Done</v>
      </c>
      <c r="B51" s="1" t="s">
        <v>739</v>
      </c>
      <c r="C51" s="1">
        <v>25</v>
      </c>
      <c r="D51" s="1" t="s">
        <v>577</v>
      </c>
      <c r="E51" s="1" t="s">
        <v>188</v>
      </c>
      <c r="F51" s="1" t="s">
        <v>53</v>
      </c>
      <c r="G51" s="1" t="s">
        <v>2296</v>
      </c>
      <c r="H51" s="1" t="s">
        <v>74</v>
      </c>
      <c r="I51" s="1" t="s">
        <v>49</v>
      </c>
      <c r="J51" s="1">
        <v>7</v>
      </c>
      <c r="K51" s="1" t="s">
        <v>2107</v>
      </c>
      <c r="L51" s="1" t="str" cm="1">
        <f t="array" ref="L51">_xlfn.REGEXEXTRACT(B51,"(?&lt;=//)[^/]+")</f>
        <v>bdsmstreak.com</v>
      </c>
      <c r="M51" s="1" t="s">
        <v>457</v>
      </c>
      <c r="N51" s="1" t="s">
        <v>1740</v>
      </c>
      <c r="O51" s="1" t="str" cm="1">
        <f t="array" ref="O51">IF(N51&lt;&gt;"NtApp",_xlfn.REGEXEXTRACT(N51,"\d+(?=p)"),"NtApp")</f>
        <v>NtApp</v>
      </c>
      <c r="P51" s="1" t="s">
        <v>1740</v>
      </c>
      <c r="Q51" s="1" t="b">
        <f t="shared" si="1"/>
        <v>0</v>
      </c>
      <c r="R51" s="1" t="s">
        <v>1865</v>
      </c>
      <c r="S51" s="1" t="s">
        <v>1865</v>
      </c>
      <c r="T51" s="1">
        <v>8</v>
      </c>
    </row>
    <row r="52" spans="1:20" ht="45" x14ac:dyDescent="0.25">
      <c r="A52" s="1" t="str">
        <f t="shared" si="0"/>
        <v>Done</v>
      </c>
      <c r="B52" s="1" t="s">
        <v>675</v>
      </c>
      <c r="C52" s="1">
        <v>26</v>
      </c>
      <c r="D52" s="1" t="s">
        <v>573</v>
      </c>
      <c r="E52" s="1" t="s">
        <v>178</v>
      </c>
      <c r="F52" s="1" t="s">
        <v>53</v>
      </c>
      <c r="G52" s="1" t="s">
        <v>2291</v>
      </c>
      <c r="H52" s="1" t="s">
        <v>1966</v>
      </c>
      <c r="I52" s="1" t="s">
        <v>49</v>
      </c>
      <c r="J52" s="1">
        <v>7</v>
      </c>
      <c r="K52" s="1" t="s">
        <v>2290</v>
      </c>
      <c r="L52" s="1" t="str" cm="1">
        <f t="array" ref="L52">_xlfn.REGEXEXTRACT(B52,"(?&lt;=//)[^/]+")</f>
        <v>bdsmstreak.com</v>
      </c>
      <c r="M52" s="1" t="s">
        <v>457</v>
      </c>
      <c r="N52" s="1" t="s">
        <v>1740</v>
      </c>
      <c r="O52" s="1" t="str" cm="1">
        <f t="array" ref="O52">IF(N52&lt;&gt;"NtApp",_xlfn.REGEXEXTRACT(N52,"\d+(?=p)"),"NtApp")</f>
        <v>NtApp</v>
      </c>
      <c r="P52" s="1" t="s">
        <v>1740</v>
      </c>
      <c r="Q52" s="1" t="b">
        <f t="shared" si="1"/>
        <v>0</v>
      </c>
      <c r="R52" s="1" t="s">
        <v>1651</v>
      </c>
      <c r="S52" s="1" t="s">
        <v>1650</v>
      </c>
      <c r="T52" s="1">
        <v>6</v>
      </c>
    </row>
    <row r="53" spans="1:20" ht="30" x14ac:dyDescent="0.25">
      <c r="A53" s="1" t="str">
        <f t="shared" si="0"/>
        <v>Done</v>
      </c>
      <c r="B53" s="1" t="s">
        <v>449</v>
      </c>
      <c r="C53" s="1">
        <v>31</v>
      </c>
      <c r="D53" s="1" t="s">
        <v>835</v>
      </c>
      <c r="E53" s="1" t="s">
        <v>837</v>
      </c>
      <c r="F53" s="1" t="s">
        <v>156</v>
      </c>
      <c r="G53" s="1" t="s">
        <v>1787</v>
      </c>
      <c r="H53" s="1" t="s">
        <v>1970</v>
      </c>
      <c r="I53" s="1" t="s">
        <v>49</v>
      </c>
      <c r="J53" s="1">
        <v>7</v>
      </c>
      <c r="K53" s="1" t="s">
        <v>537</v>
      </c>
      <c r="L53" s="1" t="str" cm="1">
        <f t="array" ref="L53">_xlfn.REGEXEXTRACT(B53,"(?&lt;=//)[^/]+")</f>
        <v>www.amateur8.com</v>
      </c>
      <c r="M53" s="1" t="s">
        <v>457</v>
      </c>
      <c r="N53" s="1" t="s">
        <v>1740</v>
      </c>
      <c r="O53" s="1" t="str" cm="1">
        <f t="array" ref="O53">IF(N53&lt;&gt;"NtApp",_xlfn.REGEXEXTRACT(N53,"\d+(?=p)"),"NtApp")</f>
        <v>NtApp</v>
      </c>
      <c r="P53" s="1" t="s">
        <v>1740</v>
      </c>
      <c r="Q53" s="1" t="b">
        <f t="shared" si="1"/>
        <v>0</v>
      </c>
      <c r="R53" s="1" t="s">
        <v>1243</v>
      </c>
      <c r="S53" s="1" t="s">
        <v>1243</v>
      </c>
      <c r="T53" s="1">
        <v>0</v>
      </c>
    </row>
    <row r="54" spans="1:20" ht="45" x14ac:dyDescent="0.25">
      <c r="A54" s="1" t="str">
        <f t="shared" si="0"/>
        <v>Done</v>
      </c>
      <c r="B54" s="1" t="s">
        <v>268</v>
      </c>
      <c r="C54" s="1">
        <v>44</v>
      </c>
      <c r="D54" s="1" t="s">
        <v>576</v>
      </c>
      <c r="E54" s="1" t="s">
        <v>1242</v>
      </c>
      <c r="F54" s="1" t="s">
        <v>63</v>
      </c>
      <c r="G54" s="1" t="s">
        <v>2074</v>
      </c>
      <c r="H54" s="1" t="s">
        <v>322</v>
      </c>
      <c r="I54" s="1" t="s">
        <v>49</v>
      </c>
      <c r="J54" s="1">
        <v>7</v>
      </c>
      <c r="K54" s="1" t="s">
        <v>2075</v>
      </c>
      <c r="L54" s="1" t="str" cm="1">
        <f t="array" ref="L54">_xlfn.REGEXEXTRACT(B54,"(?&lt;=//)[^/]+")</f>
        <v>www.fapcat.com</v>
      </c>
      <c r="M54" s="1" t="s">
        <v>457</v>
      </c>
      <c r="N54" s="1" t="s">
        <v>1740</v>
      </c>
      <c r="O54" s="1" t="str" cm="1">
        <f t="array" ref="O54">IF(N54&lt;&gt;"NtApp",_xlfn.REGEXEXTRACT(N54,"\d+(?=p)"),"NtApp")</f>
        <v>NtApp</v>
      </c>
      <c r="P54" s="1" t="s">
        <v>1740</v>
      </c>
      <c r="Q54" s="1" t="b">
        <f t="shared" si="1"/>
        <v>0</v>
      </c>
      <c r="R54" s="1" t="s">
        <v>1241</v>
      </c>
      <c r="S54" s="1" t="s">
        <v>1240</v>
      </c>
      <c r="T54" s="1">
        <v>0</v>
      </c>
    </row>
    <row r="55" spans="1:20" ht="30" x14ac:dyDescent="0.25">
      <c r="A55" s="1" t="str">
        <f t="shared" si="0"/>
        <v>Done</v>
      </c>
      <c r="B55" s="1" t="s">
        <v>1471</v>
      </c>
      <c r="C55" s="1">
        <v>45</v>
      </c>
      <c r="D55" s="1" t="s">
        <v>577</v>
      </c>
      <c r="E55" s="1" t="s">
        <v>459</v>
      </c>
      <c r="F55" s="1" t="s">
        <v>53</v>
      </c>
      <c r="G55" s="1" t="s">
        <v>2190</v>
      </c>
      <c r="H55" s="1" t="s">
        <v>2060</v>
      </c>
      <c r="I55" s="1" t="s">
        <v>49</v>
      </c>
      <c r="J55" s="1">
        <v>7</v>
      </c>
      <c r="K55" s="1" t="s">
        <v>495</v>
      </c>
      <c r="L55" s="1" t="str" cm="1">
        <f t="array" ref="L55">_xlfn.REGEXEXTRACT(B55,"(?&lt;=//)[^/]+")</f>
        <v>bdsmstreak.com</v>
      </c>
      <c r="M55" s="1" t="s">
        <v>457</v>
      </c>
      <c r="N55" s="1" t="s">
        <v>1740</v>
      </c>
      <c r="O55" s="1" t="str" cm="1">
        <f t="array" ref="O55">IF(N55&lt;&gt;"NtApp",_xlfn.REGEXEXTRACT(N55,"\d+(?=p)"),"NtApp")</f>
        <v>NtApp</v>
      </c>
      <c r="P55" s="1" t="s">
        <v>1740</v>
      </c>
      <c r="Q55" s="1" t="b">
        <f t="shared" si="1"/>
        <v>1</v>
      </c>
      <c r="R55" s="1" t="s">
        <v>1239</v>
      </c>
      <c r="S55" s="1" t="s">
        <v>1239</v>
      </c>
      <c r="T55" s="1">
        <v>0</v>
      </c>
    </row>
    <row r="56" spans="1:20" ht="30" x14ac:dyDescent="0.25">
      <c r="A56" s="1" t="str">
        <f t="shared" si="0"/>
        <v>Done</v>
      </c>
      <c r="B56" s="1" t="s">
        <v>788</v>
      </c>
      <c r="C56" s="1">
        <v>46</v>
      </c>
      <c r="D56" s="1" t="s">
        <v>573</v>
      </c>
      <c r="E56" s="1" t="s">
        <v>275</v>
      </c>
      <c r="F56" s="1" t="s">
        <v>54</v>
      </c>
      <c r="G56" s="1" t="s">
        <v>2246</v>
      </c>
      <c r="H56" s="1" t="s">
        <v>1983</v>
      </c>
      <c r="I56" s="1" t="s">
        <v>49</v>
      </c>
      <c r="J56" s="1">
        <v>7</v>
      </c>
      <c r="K56" s="1" t="s">
        <v>403</v>
      </c>
      <c r="L56" s="1" t="str" cm="1">
        <f t="array" ref="L56">_xlfn.REGEXEXTRACT(B56,"(?&lt;=//)[^/]+")</f>
        <v>bdsmstreak.com</v>
      </c>
      <c r="M56" s="1" t="s">
        <v>457</v>
      </c>
      <c r="N56" s="1" t="s">
        <v>1740</v>
      </c>
      <c r="O56" s="1" t="str" cm="1">
        <f t="array" ref="O56">IF(N56&lt;&gt;"NtApp",_xlfn.REGEXEXTRACT(N56,"\d+(?=p)"),"NtApp")</f>
        <v>NtApp</v>
      </c>
      <c r="P56" s="1" t="s">
        <v>1740</v>
      </c>
      <c r="Q56" s="1" t="b">
        <f t="shared" si="1"/>
        <v>1</v>
      </c>
      <c r="R56" s="1" t="s">
        <v>1238</v>
      </c>
      <c r="S56" s="1" t="s">
        <v>1237</v>
      </c>
      <c r="T56" s="1">
        <v>0</v>
      </c>
    </row>
    <row r="57" spans="1:20" ht="30" x14ac:dyDescent="0.25">
      <c r="A57" s="1" t="str">
        <f t="shared" si="0"/>
        <v>Done</v>
      </c>
      <c r="B57" s="1" t="s">
        <v>228</v>
      </c>
      <c r="C57" s="1">
        <v>46</v>
      </c>
      <c r="D57" s="1" t="s">
        <v>576</v>
      </c>
      <c r="E57" s="1" t="s">
        <v>1235</v>
      </c>
      <c r="F57" s="1" t="s">
        <v>63</v>
      </c>
      <c r="G57" s="1" t="s">
        <v>2193</v>
      </c>
      <c r="H57" s="1" t="s">
        <v>343</v>
      </c>
      <c r="I57" s="1" t="s">
        <v>49</v>
      </c>
      <c r="J57" s="1">
        <v>7</v>
      </c>
      <c r="K57" s="1" t="s">
        <v>356</v>
      </c>
      <c r="L57" s="1" t="str" cm="1">
        <f t="array" ref="L57">_xlfn.REGEXEXTRACT(B57,"(?&lt;=//)[^/]+")</f>
        <v>heavyfetish.com</v>
      </c>
      <c r="M57" s="1" t="s">
        <v>457</v>
      </c>
      <c r="N57" s="1" t="s">
        <v>1740</v>
      </c>
      <c r="O57" s="1" t="str" cm="1">
        <f t="array" ref="O57">IF(N57&lt;&gt;"NtApp",_xlfn.REGEXEXTRACT(N57,"\d+(?=p)"),"NtApp")</f>
        <v>NtApp</v>
      </c>
      <c r="P57" s="1" t="s">
        <v>1740</v>
      </c>
      <c r="Q57" s="1" t="b">
        <f t="shared" si="1"/>
        <v>0</v>
      </c>
      <c r="R57" s="1" t="s">
        <v>1236</v>
      </c>
      <c r="S57" s="1" t="s">
        <v>1233</v>
      </c>
      <c r="T57" s="1">
        <v>0</v>
      </c>
    </row>
    <row r="58" spans="1:20" ht="30" x14ac:dyDescent="0.25">
      <c r="A58" s="1" t="str">
        <f t="shared" si="0"/>
        <v>Done</v>
      </c>
      <c r="B58" s="1" t="s">
        <v>102</v>
      </c>
      <c r="C58" s="1">
        <v>47</v>
      </c>
      <c r="D58" s="1" t="s">
        <v>118</v>
      </c>
      <c r="E58" s="1" t="s">
        <v>129</v>
      </c>
      <c r="F58" s="1" t="s">
        <v>53</v>
      </c>
      <c r="G58" s="1" t="s">
        <v>2189</v>
      </c>
      <c r="H58" s="1" t="s">
        <v>1978</v>
      </c>
      <c r="I58" s="1" t="s">
        <v>49</v>
      </c>
      <c r="J58" s="1">
        <v>7</v>
      </c>
      <c r="K58" s="1" t="s">
        <v>415</v>
      </c>
      <c r="L58" s="1" t="str" cm="1">
        <f t="array" ref="L58">_xlfn.REGEXEXTRACT(B58,"(?&lt;=//)[^/]+")</f>
        <v>bdsmstreak.com</v>
      </c>
      <c r="M58" s="1" t="s">
        <v>457</v>
      </c>
      <c r="N58" s="1" t="s">
        <v>1740</v>
      </c>
      <c r="O58" s="1" t="str" cm="1">
        <f t="array" ref="O58">IF(N58&lt;&gt;"NtApp",_xlfn.REGEXEXTRACT(N58,"\d+(?=p)"),"NtApp")</f>
        <v>NtApp</v>
      </c>
      <c r="P58" s="1" t="s">
        <v>1740</v>
      </c>
      <c r="Q58" s="1" t="b">
        <f t="shared" si="1"/>
        <v>0</v>
      </c>
      <c r="R58" s="1" t="s">
        <v>1232</v>
      </c>
      <c r="S58" s="1" t="s">
        <v>1231</v>
      </c>
      <c r="T58" s="1">
        <v>0</v>
      </c>
    </row>
    <row r="59" spans="1:20" ht="30" x14ac:dyDescent="0.25">
      <c r="A59" s="1" t="str">
        <f t="shared" si="0"/>
        <v>Done</v>
      </c>
      <c r="B59" s="1" t="s">
        <v>71</v>
      </c>
      <c r="C59" s="1">
        <v>48</v>
      </c>
      <c r="D59" s="1" t="s">
        <v>1289</v>
      </c>
      <c r="E59" s="1" t="s">
        <v>77</v>
      </c>
      <c r="F59" s="1" t="s">
        <v>54</v>
      </c>
      <c r="G59" s="1" t="s">
        <v>297</v>
      </c>
      <c r="H59" s="1" t="s">
        <v>74</v>
      </c>
      <c r="I59" s="1" t="s">
        <v>49</v>
      </c>
      <c r="J59" s="1">
        <v>7</v>
      </c>
      <c r="K59" s="1" t="s">
        <v>387</v>
      </c>
      <c r="L59" s="1" t="str" cm="1">
        <f t="array" ref="L59">_xlfn.REGEXEXTRACT(B59,"(?&lt;=//)[^/]+")</f>
        <v>heavyfetish.com</v>
      </c>
      <c r="M59" s="1" t="s">
        <v>457</v>
      </c>
      <c r="N59" s="1" t="s">
        <v>1740</v>
      </c>
      <c r="O59" s="1" t="str" cm="1">
        <f t="array" ref="O59">IF(N59&lt;&gt;"NtApp",_xlfn.REGEXEXTRACT(N59,"\d+(?=p)"),"NtApp")</f>
        <v>NtApp</v>
      </c>
      <c r="P59" s="1" t="s">
        <v>1740</v>
      </c>
      <c r="Q59" s="1" t="b">
        <f t="shared" si="1"/>
        <v>0</v>
      </c>
      <c r="R59" s="1" t="s">
        <v>1226</v>
      </c>
      <c r="S59" s="1" t="s">
        <v>1225</v>
      </c>
      <c r="T59" s="1">
        <v>0</v>
      </c>
    </row>
    <row r="60" spans="1:20" ht="45" x14ac:dyDescent="0.25">
      <c r="A60" s="1" t="str">
        <f t="shared" si="0"/>
        <v>Done</v>
      </c>
      <c r="B60" s="1" t="s">
        <v>1227</v>
      </c>
      <c r="C60" s="1">
        <v>48</v>
      </c>
      <c r="D60" s="1" t="s">
        <v>576</v>
      </c>
      <c r="E60" s="1" t="s">
        <v>334</v>
      </c>
      <c r="F60" s="1" t="s">
        <v>63</v>
      </c>
      <c r="G60" s="1" t="s">
        <v>2073</v>
      </c>
      <c r="H60" s="1" t="s">
        <v>426</v>
      </c>
      <c r="I60" s="1" t="s">
        <v>49</v>
      </c>
      <c r="J60" s="1">
        <v>7</v>
      </c>
      <c r="K60" s="1" t="s">
        <v>360</v>
      </c>
      <c r="L60" s="1" t="str" cm="1">
        <f t="array" ref="L60">_xlfn.REGEXEXTRACT(B60,"(?&lt;=//)[^/]+")</f>
        <v>www.kink.com</v>
      </c>
      <c r="M60" s="1" t="s">
        <v>457</v>
      </c>
      <c r="N60" s="1" t="s">
        <v>1740</v>
      </c>
      <c r="O60" s="1" t="str" cm="1">
        <f t="array" ref="O60">IF(N60&lt;&gt;"NtApp",_xlfn.REGEXEXTRACT(N60,"\d+(?=p)"),"NtApp")</f>
        <v>NtApp</v>
      </c>
      <c r="P60" s="1" t="s">
        <v>1740</v>
      </c>
      <c r="Q60" s="1" t="b">
        <f t="shared" si="1"/>
        <v>0</v>
      </c>
      <c r="R60" s="1" t="s">
        <v>1228</v>
      </c>
      <c r="S60" s="1" t="s">
        <v>1228</v>
      </c>
      <c r="T60" s="1">
        <v>0</v>
      </c>
    </row>
    <row r="61" spans="1:20" ht="30" x14ac:dyDescent="0.25">
      <c r="A61" s="1" t="str">
        <f t="shared" si="0"/>
        <v>Done</v>
      </c>
      <c r="B61" s="1" t="s">
        <v>838</v>
      </c>
      <c r="C61" s="1">
        <v>48</v>
      </c>
      <c r="D61" s="1" t="s">
        <v>577</v>
      </c>
      <c r="E61" s="1" t="s">
        <v>839</v>
      </c>
      <c r="F61" s="1" t="s">
        <v>53</v>
      </c>
      <c r="G61" s="1" t="s">
        <v>2071</v>
      </c>
      <c r="H61" s="1" t="s">
        <v>61</v>
      </c>
      <c r="I61" s="1" t="s">
        <v>49</v>
      </c>
      <c r="J61" s="1">
        <v>7</v>
      </c>
      <c r="K61" s="1" t="s">
        <v>840</v>
      </c>
      <c r="L61" s="1" t="str" cm="1">
        <f t="array" ref="L61">_xlfn.REGEXEXTRACT(B61,"(?&lt;=//)[^/]+")</f>
        <v>bdsmstreak.com</v>
      </c>
      <c r="M61" s="1" t="s">
        <v>457</v>
      </c>
      <c r="N61" s="1" t="s">
        <v>1740</v>
      </c>
      <c r="O61" s="1" t="str" cm="1">
        <f t="array" ref="O61">IF(N61&lt;&gt;"NtApp",_xlfn.REGEXEXTRACT(N61,"\d+(?=p)"),"NtApp")</f>
        <v>NtApp</v>
      </c>
      <c r="P61" s="1" t="s">
        <v>1740</v>
      </c>
      <c r="Q61" s="1" t="b">
        <f t="shared" si="1"/>
        <v>0</v>
      </c>
      <c r="R61" s="1" t="s">
        <v>1230</v>
      </c>
      <c r="S61" s="1" t="s">
        <v>1229</v>
      </c>
      <c r="T61" s="1">
        <v>0</v>
      </c>
    </row>
    <row r="62" spans="1:20" ht="30" x14ac:dyDescent="0.25">
      <c r="A62" s="1" t="str">
        <f t="shared" si="0"/>
        <v>Done</v>
      </c>
      <c r="B62" s="1" t="s">
        <v>94</v>
      </c>
      <c r="C62" s="1">
        <v>51</v>
      </c>
      <c r="D62" s="1" t="s">
        <v>577</v>
      </c>
      <c r="E62" s="1" t="s">
        <v>171</v>
      </c>
      <c r="F62" s="1" t="s">
        <v>53</v>
      </c>
      <c r="G62" s="1" t="s">
        <v>405</v>
      </c>
      <c r="H62" s="1" t="s">
        <v>2054</v>
      </c>
      <c r="I62" s="1" t="s">
        <v>49</v>
      </c>
      <c r="J62" s="1">
        <v>7</v>
      </c>
      <c r="K62" s="1" t="s">
        <v>544</v>
      </c>
      <c r="L62" s="1" t="str" cm="1">
        <f t="array" ref="L62">_xlfn.REGEXEXTRACT(B62,"(?&lt;=//)[^/]+")</f>
        <v>m.hqporner.com</v>
      </c>
      <c r="M62" s="1" t="s">
        <v>457</v>
      </c>
      <c r="N62" s="1" t="s">
        <v>1740</v>
      </c>
      <c r="O62" s="1" t="str" cm="1">
        <f t="array" ref="O62">IF(N62&lt;&gt;"NtApp",_xlfn.REGEXEXTRACT(N62,"\d+(?=p)"),"NtApp")</f>
        <v>NtApp</v>
      </c>
      <c r="P62" s="1" t="s">
        <v>1740</v>
      </c>
      <c r="Q62" s="1" t="b">
        <f t="shared" si="1"/>
        <v>0</v>
      </c>
      <c r="R62" s="1" t="s">
        <v>1221</v>
      </c>
      <c r="S62" s="1" t="s">
        <v>1802</v>
      </c>
      <c r="T62" s="1">
        <v>0</v>
      </c>
    </row>
    <row r="63" spans="1:20" ht="60" x14ac:dyDescent="0.25">
      <c r="A63" s="1" t="str">
        <f t="shared" si="0"/>
        <v>Done</v>
      </c>
      <c r="B63" s="1" t="s">
        <v>458</v>
      </c>
      <c r="C63" s="1">
        <v>51</v>
      </c>
      <c r="D63" s="1" t="s">
        <v>566</v>
      </c>
      <c r="E63" s="1" t="s">
        <v>481</v>
      </c>
      <c r="F63" s="1" t="s">
        <v>53</v>
      </c>
      <c r="G63" s="1" t="s">
        <v>2304</v>
      </c>
      <c r="H63" s="1" t="s">
        <v>2072</v>
      </c>
      <c r="I63" s="1" t="s">
        <v>49</v>
      </c>
      <c r="J63" s="1">
        <v>7</v>
      </c>
      <c r="K63" s="1" t="s">
        <v>547</v>
      </c>
      <c r="L63" s="1" t="str" cm="1">
        <f t="array" ref="L63">_xlfn.REGEXEXTRACT(B63,"(?&lt;=//)[^/]+")</f>
        <v>www.eporner.com</v>
      </c>
      <c r="M63" s="1" t="s">
        <v>457</v>
      </c>
      <c r="N63" s="1" t="s">
        <v>1740</v>
      </c>
      <c r="O63" s="1" t="str" cm="1">
        <f t="array" ref="O63">IF(N63&lt;&gt;"NtApp",_xlfn.REGEXEXTRACT(N63,"\d+(?=p)"),"NtApp")</f>
        <v>NtApp</v>
      </c>
      <c r="P63" s="1" t="s">
        <v>1740</v>
      </c>
      <c r="Q63" s="1" t="b">
        <f t="shared" si="1"/>
        <v>0</v>
      </c>
      <c r="R63" s="1" t="s">
        <v>1223</v>
      </c>
      <c r="S63" s="1" t="s">
        <v>1222</v>
      </c>
      <c r="T63" s="1">
        <v>0</v>
      </c>
    </row>
    <row r="64" spans="1:20" ht="45" x14ac:dyDescent="0.25">
      <c r="A64" s="1" t="str">
        <f t="shared" si="0"/>
        <v>Done</v>
      </c>
      <c r="B64" s="1" t="s">
        <v>346</v>
      </c>
      <c r="C64" s="1">
        <v>51</v>
      </c>
      <c r="D64" s="1" t="s">
        <v>571</v>
      </c>
      <c r="E64" s="1" t="s">
        <v>349</v>
      </c>
      <c r="F64" s="1" t="s">
        <v>54</v>
      </c>
      <c r="G64" s="1" t="s">
        <v>2255</v>
      </c>
      <c r="H64" s="1" t="s">
        <v>2034</v>
      </c>
      <c r="I64" s="1" t="s">
        <v>49</v>
      </c>
      <c r="J64" s="1">
        <v>7</v>
      </c>
      <c r="K64" s="1" t="s">
        <v>1940</v>
      </c>
      <c r="L64" s="1" t="str" cm="1">
        <f t="array" ref="L64">_xlfn.REGEXEXTRACT(B64,"(?&lt;=//)[^/]+")</f>
        <v>bdsmmansion.com</v>
      </c>
      <c r="M64" s="1" t="s">
        <v>457</v>
      </c>
      <c r="N64" s="1" t="s">
        <v>1740</v>
      </c>
      <c r="O64" s="1" t="str" cm="1">
        <f t="array" ref="O64">IF(N64&lt;&gt;"NtApp",_xlfn.REGEXEXTRACT(N64,"\d+(?=p)"),"NtApp")</f>
        <v>NtApp</v>
      </c>
      <c r="P64" s="1" t="s">
        <v>1740</v>
      </c>
      <c r="Q64" s="1" t="b">
        <f t="shared" si="1"/>
        <v>1</v>
      </c>
      <c r="R64" s="1" t="s">
        <v>1220</v>
      </c>
      <c r="S64" s="1" t="s">
        <v>1806</v>
      </c>
      <c r="T64" s="1">
        <v>0</v>
      </c>
    </row>
    <row r="65" spans="1:20" ht="45" x14ac:dyDescent="0.25">
      <c r="A65" s="1" t="str">
        <f t="shared" si="0"/>
        <v>Done</v>
      </c>
      <c r="B65" s="1" t="s">
        <v>521</v>
      </c>
      <c r="C65" s="1">
        <v>51</v>
      </c>
      <c r="D65" s="1" t="s">
        <v>571</v>
      </c>
      <c r="E65" s="1" t="s">
        <v>522</v>
      </c>
      <c r="F65" s="1" t="s">
        <v>54</v>
      </c>
      <c r="G65" s="1" t="s">
        <v>2196</v>
      </c>
      <c r="H65" s="1" t="s">
        <v>550</v>
      </c>
      <c r="I65" s="1" t="s">
        <v>49</v>
      </c>
      <c r="J65" s="1">
        <v>7</v>
      </c>
      <c r="K65" s="1" t="s">
        <v>549</v>
      </c>
      <c r="L65" s="1" t="str" cm="1">
        <f t="array" ref="L65">_xlfn.REGEXEXTRACT(B65,"(?&lt;=//)[^/]+")</f>
        <v>heavyfetish.com</v>
      </c>
      <c r="M65" s="1" t="s">
        <v>457</v>
      </c>
      <c r="N65" s="1" t="s">
        <v>1740</v>
      </c>
      <c r="O65" s="1" t="str" cm="1">
        <f t="array" ref="O65">IF(N65&lt;&gt;"NtApp",_xlfn.REGEXEXTRACT(N65,"\d+(?=p)"),"NtApp")</f>
        <v>NtApp</v>
      </c>
      <c r="P65" s="1" t="s">
        <v>1740</v>
      </c>
      <c r="Q65" s="1" t="b">
        <f t="shared" si="1"/>
        <v>1</v>
      </c>
      <c r="R65" s="1" t="s">
        <v>1224</v>
      </c>
      <c r="S65" s="1" t="s">
        <v>1807</v>
      </c>
      <c r="T65" s="1">
        <v>0</v>
      </c>
    </row>
    <row r="66" spans="1:20" ht="60" x14ac:dyDescent="0.25">
      <c r="A66" s="1" t="str">
        <f t="shared" ref="A66:A129" si="2">IF(ISBLANK(I66)=TRUE,"Pending","Done")</f>
        <v>Done</v>
      </c>
      <c r="B66" s="1" t="s">
        <v>28</v>
      </c>
      <c r="C66" s="1">
        <v>53</v>
      </c>
      <c r="D66" s="1" t="s">
        <v>577</v>
      </c>
      <c r="E66" s="1" t="s">
        <v>149</v>
      </c>
      <c r="F66" s="1" t="s">
        <v>53</v>
      </c>
      <c r="G66" s="1" t="s">
        <v>2194</v>
      </c>
      <c r="H66" s="1" t="s">
        <v>1999</v>
      </c>
      <c r="I66" s="1" t="s">
        <v>49</v>
      </c>
      <c r="J66" s="1">
        <v>7</v>
      </c>
      <c r="K66" s="1" t="s">
        <v>58</v>
      </c>
      <c r="L66" s="1" t="str" cm="1">
        <f t="array" ref="L66">_xlfn.REGEXEXTRACT(B66,"(?&lt;=//)[^/]+")</f>
        <v>bdsmstreak.com</v>
      </c>
      <c r="M66" s="1" t="s">
        <v>457</v>
      </c>
      <c r="N66" s="1" t="s">
        <v>1740</v>
      </c>
      <c r="O66" s="1" t="str" cm="1">
        <f t="array" ref="O66">IF(N66&lt;&gt;"NtApp",_xlfn.REGEXEXTRACT(N66,"\d+(?=p)"),"NtApp")</f>
        <v>NtApp</v>
      </c>
      <c r="P66" s="1" t="s">
        <v>1740</v>
      </c>
      <c r="Q66" s="1" t="b">
        <f t="shared" ref="Q66:Q129" si="3">ISNUMBER(SEARCH(",",E66))</f>
        <v>0</v>
      </c>
      <c r="R66" s="1" t="s">
        <v>1219</v>
      </c>
      <c r="S66" s="1" t="s">
        <v>1218</v>
      </c>
      <c r="T66" s="1">
        <v>0</v>
      </c>
    </row>
    <row r="67" spans="1:20" ht="60" x14ac:dyDescent="0.25">
      <c r="A67" s="1" t="str">
        <f t="shared" si="2"/>
        <v>Done</v>
      </c>
      <c r="B67" s="1" t="s">
        <v>1004</v>
      </c>
      <c r="C67" s="1">
        <v>53</v>
      </c>
      <c r="D67" s="1" t="s">
        <v>577</v>
      </c>
      <c r="E67" s="1" t="s">
        <v>888</v>
      </c>
      <c r="F67" s="1" t="s">
        <v>54</v>
      </c>
      <c r="G67" s="1" t="s">
        <v>2150</v>
      </c>
      <c r="H67" s="1" t="s">
        <v>2149</v>
      </c>
      <c r="I67" s="1" t="s">
        <v>49</v>
      </c>
      <c r="J67" s="1">
        <v>7</v>
      </c>
      <c r="K67" s="1" t="s">
        <v>2151</v>
      </c>
      <c r="L67" s="1" t="str" cm="1">
        <f t="array" ref="L67">_xlfn.REGEXEXTRACT(B67,"(?&lt;=//)[^/]+")</f>
        <v>bdsmstreak.com</v>
      </c>
      <c r="M67" s="1" t="s">
        <v>457</v>
      </c>
      <c r="N67" s="1" t="s">
        <v>1740</v>
      </c>
      <c r="O67" s="1" t="str" cm="1">
        <f t="array" ref="O67">IF(N67&lt;&gt;"NtApp",_xlfn.REGEXEXTRACT(N67,"\d+(?=p)"),"NtApp")</f>
        <v>NtApp</v>
      </c>
      <c r="P67" s="1" t="s">
        <v>1740</v>
      </c>
      <c r="Q67" s="1" t="b">
        <f t="shared" si="3"/>
        <v>1</v>
      </c>
      <c r="R67" s="1" t="s">
        <v>1512</v>
      </c>
      <c r="S67" s="1" t="s">
        <v>1512</v>
      </c>
      <c r="T67" s="1">
        <v>8</v>
      </c>
    </row>
    <row r="68" spans="1:20" ht="45" x14ac:dyDescent="0.25">
      <c r="A68" s="1" t="str">
        <f t="shared" si="2"/>
        <v>Done</v>
      </c>
      <c r="B68" s="1" t="s">
        <v>32</v>
      </c>
      <c r="C68" s="1">
        <v>53</v>
      </c>
      <c r="D68" s="1" t="s">
        <v>1290</v>
      </c>
      <c r="E68" s="1" t="s">
        <v>67</v>
      </c>
      <c r="F68" s="1" t="s">
        <v>54</v>
      </c>
      <c r="G68" s="1" t="s">
        <v>2284</v>
      </c>
      <c r="H68" s="1" t="s">
        <v>2052</v>
      </c>
      <c r="I68" s="1" t="s">
        <v>49</v>
      </c>
      <c r="J68" s="1">
        <v>7</v>
      </c>
      <c r="K68" s="1" t="s">
        <v>1838</v>
      </c>
      <c r="L68" s="1" t="str" cm="1">
        <f t="array" ref="L68">_xlfn.REGEXEXTRACT(B68,"(?&lt;=//)[^/]+")</f>
        <v>heavyfetish.com</v>
      </c>
      <c r="M68" s="1" t="s">
        <v>457</v>
      </c>
      <c r="N68" s="1" t="s">
        <v>1740</v>
      </c>
      <c r="O68" s="1" t="str" cm="1">
        <f t="array" ref="O68">IF(N68&lt;&gt;"NtApp",_xlfn.REGEXEXTRACT(N68,"\d+(?=p)"),"NtApp")</f>
        <v>NtApp</v>
      </c>
      <c r="P68" s="1" t="s">
        <v>1740</v>
      </c>
      <c r="Q68" s="1" t="b">
        <f t="shared" si="3"/>
        <v>0</v>
      </c>
      <c r="R68" s="1" t="s">
        <v>1293</v>
      </c>
      <c r="S68" s="1" t="s">
        <v>1294</v>
      </c>
      <c r="T68" s="1">
        <v>0</v>
      </c>
    </row>
    <row r="69" spans="1:20" ht="60" x14ac:dyDescent="0.25">
      <c r="A69" s="1" t="str">
        <f t="shared" si="2"/>
        <v>Done</v>
      </c>
      <c r="B69" s="1" t="s">
        <v>666</v>
      </c>
      <c r="C69" s="1">
        <v>53</v>
      </c>
      <c r="D69" s="1" t="s">
        <v>577</v>
      </c>
      <c r="E69" s="1" t="s">
        <v>667</v>
      </c>
      <c r="F69" s="1" t="s">
        <v>53</v>
      </c>
      <c r="G69" s="1" t="s">
        <v>2319</v>
      </c>
      <c r="H69" s="1" t="s">
        <v>2317</v>
      </c>
      <c r="I69" s="1" t="s">
        <v>49</v>
      </c>
      <c r="J69" s="1">
        <v>7</v>
      </c>
      <c r="K69" s="1" t="s">
        <v>2318</v>
      </c>
      <c r="L69" s="1" t="str" cm="1">
        <f t="array" ref="L69">_xlfn.REGEXEXTRACT(B69,"(?&lt;=//)[^/]+")</f>
        <v>bdsmstreak.com</v>
      </c>
      <c r="M69" s="1" t="s">
        <v>457</v>
      </c>
      <c r="N69" s="1" t="s">
        <v>1740</v>
      </c>
      <c r="O69" s="1" t="str" cm="1">
        <f t="array" ref="O69">IF(N69&lt;&gt;"NtApp",_xlfn.REGEXEXTRACT(N69,"\d+(?=p)"),"NtApp")</f>
        <v>NtApp</v>
      </c>
      <c r="P69" s="1" t="s">
        <v>1740</v>
      </c>
      <c r="Q69" s="1" t="b">
        <f t="shared" si="3"/>
        <v>0</v>
      </c>
      <c r="R69" s="1" t="s">
        <v>1619</v>
      </c>
      <c r="S69" s="1" t="s">
        <v>1618</v>
      </c>
      <c r="T69" s="1">
        <v>5</v>
      </c>
    </row>
    <row r="70" spans="1:20" ht="30" x14ac:dyDescent="0.25">
      <c r="A70" s="1" t="str">
        <f t="shared" si="2"/>
        <v>Done</v>
      </c>
      <c r="B70" s="1" t="s">
        <v>1341</v>
      </c>
      <c r="C70" s="1">
        <v>55</v>
      </c>
      <c r="D70" s="1" t="s">
        <v>573</v>
      </c>
      <c r="E70" s="1" t="s">
        <v>500</v>
      </c>
      <c r="F70" s="1" t="s">
        <v>53</v>
      </c>
      <c r="G70" s="1" t="s">
        <v>2191</v>
      </c>
      <c r="H70" s="1" t="s">
        <v>1969</v>
      </c>
      <c r="I70" s="1" t="s">
        <v>49</v>
      </c>
      <c r="J70" s="1">
        <v>7</v>
      </c>
      <c r="K70" s="1" t="s">
        <v>1342</v>
      </c>
      <c r="L70" s="1" t="str" cm="1">
        <f t="array" ref="L70">_xlfn.REGEXEXTRACT(B70,"(?&lt;=//)[^/]+")</f>
        <v>bdsmstreak.com</v>
      </c>
      <c r="M70" s="1" t="s">
        <v>457</v>
      </c>
      <c r="N70" s="1" t="s">
        <v>1740</v>
      </c>
      <c r="O70" s="1" t="str" cm="1">
        <f t="array" ref="O70">IF(N70&lt;&gt;"NtApp",_xlfn.REGEXEXTRACT(N70,"\d+(?=p)"),"NtApp")</f>
        <v>NtApp</v>
      </c>
      <c r="P70" s="1" t="s">
        <v>1740</v>
      </c>
      <c r="Q70" s="1" t="b">
        <f t="shared" si="3"/>
        <v>0</v>
      </c>
      <c r="R70" s="1" t="s">
        <v>1340</v>
      </c>
      <c r="S70" s="1" t="s">
        <v>1340</v>
      </c>
      <c r="T70" s="1">
        <v>0</v>
      </c>
    </row>
    <row r="71" spans="1:20" ht="30" x14ac:dyDescent="0.25">
      <c r="A71" s="1" t="str">
        <f t="shared" si="2"/>
        <v>Done</v>
      </c>
      <c r="B71" s="1" t="s">
        <v>92</v>
      </c>
      <c r="C71" s="1">
        <v>56</v>
      </c>
      <c r="D71" s="1" t="s">
        <v>577</v>
      </c>
      <c r="E71" s="1" t="s">
        <v>180</v>
      </c>
      <c r="F71" s="1" t="s">
        <v>53</v>
      </c>
      <c r="G71" s="1" t="s">
        <v>2309</v>
      </c>
      <c r="H71" s="1" t="s">
        <v>1992</v>
      </c>
      <c r="I71" s="1" t="s">
        <v>49</v>
      </c>
      <c r="J71" s="1">
        <v>7</v>
      </c>
      <c r="K71" s="1" t="s">
        <v>2310</v>
      </c>
      <c r="L71" s="1" t="str" cm="1">
        <f t="array" ref="L71">_xlfn.REGEXEXTRACT(B71,"(?&lt;=//)[^/]+")</f>
        <v>m.hqporner.com</v>
      </c>
      <c r="M71" s="1" t="s">
        <v>457</v>
      </c>
      <c r="N71" s="1" t="s">
        <v>1740</v>
      </c>
      <c r="O71" s="1" t="str" cm="1">
        <f t="array" ref="O71">IF(N71&lt;&gt;"NtApp",_xlfn.REGEXEXTRACT(N71,"\d+(?=p)"),"NtApp")</f>
        <v>NtApp</v>
      </c>
      <c r="P71" s="1" t="s">
        <v>1740</v>
      </c>
      <c r="Q71" s="1" t="b">
        <f t="shared" si="3"/>
        <v>0</v>
      </c>
      <c r="R71" s="1" t="s">
        <v>1217</v>
      </c>
      <c r="S71" s="1" t="s">
        <v>1216</v>
      </c>
      <c r="T71" s="1">
        <v>0</v>
      </c>
    </row>
    <row r="72" spans="1:20" ht="30" x14ac:dyDescent="0.25">
      <c r="A72" s="1" t="str">
        <f t="shared" si="2"/>
        <v>Done</v>
      </c>
      <c r="B72" s="1" t="s">
        <v>510</v>
      </c>
      <c r="C72" s="1">
        <v>57</v>
      </c>
      <c r="D72" s="1" t="s">
        <v>566</v>
      </c>
      <c r="E72" s="1" t="s">
        <v>241</v>
      </c>
      <c r="F72" s="1" t="s">
        <v>63</v>
      </c>
      <c r="G72" s="1" t="s">
        <v>2087</v>
      </c>
      <c r="H72" s="1" t="s">
        <v>305</v>
      </c>
      <c r="I72" s="1" t="s">
        <v>49</v>
      </c>
      <c r="J72" s="1">
        <v>7</v>
      </c>
      <c r="K72" s="1" t="s">
        <v>385</v>
      </c>
      <c r="L72" s="1" t="str" cm="1">
        <f t="array" ref="L72">_xlfn.REGEXEXTRACT(B72,"(?&lt;=//)[^/]+")</f>
        <v>bdsmmansion.com</v>
      </c>
      <c r="M72" s="1" t="s">
        <v>457</v>
      </c>
      <c r="N72" s="1" t="s">
        <v>1740</v>
      </c>
      <c r="O72" s="1" t="str" cm="1">
        <f t="array" ref="O72">IF(N72&lt;&gt;"NtApp",_xlfn.REGEXEXTRACT(N72,"\d+(?=p)"),"NtApp")</f>
        <v>NtApp</v>
      </c>
      <c r="P72" s="1" t="s">
        <v>1740</v>
      </c>
      <c r="Q72" s="1" t="b">
        <f t="shared" si="3"/>
        <v>0</v>
      </c>
      <c r="R72" s="1" t="s">
        <v>1214</v>
      </c>
      <c r="S72" s="1" t="s">
        <v>1215</v>
      </c>
      <c r="T72" s="1">
        <v>0</v>
      </c>
    </row>
    <row r="73" spans="1:20" ht="45" x14ac:dyDescent="0.25">
      <c r="A73" s="1" t="str">
        <f t="shared" si="2"/>
        <v>Done</v>
      </c>
      <c r="B73" s="1" t="s">
        <v>20</v>
      </c>
      <c r="C73" s="1">
        <v>58</v>
      </c>
      <c r="D73" s="1" t="s">
        <v>577</v>
      </c>
      <c r="E73" s="1" t="s">
        <v>276</v>
      </c>
      <c r="F73" s="1" t="s">
        <v>53</v>
      </c>
      <c r="G73" s="1" t="s">
        <v>2195</v>
      </c>
      <c r="H73" s="1" t="s">
        <v>1995</v>
      </c>
      <c r="I73" s="1" t="s">
        <v>49</v>
      </c>
      <c r="J73" s="1">
        <v>7</v>
      </c>
      <c r="K73" s="1" t="s">
        <v>68</v>
      </c>
      <c r="L73" s="1" t="str" cm="1">
        <f t="array" ref="L73">_xlfn.REGEXEXTRACT(B73,"(?&lt;=//)[^/]+")</f>
        <v>bdsmstreak.com</v>
      </c>
      <c r="M73" s="1" t="s">
        <v>457</v>
      </c>
      <c r="N73" s="1" t="s">
        <v>1740</v>
      </c>
      <c r="O73" s="1" t="str" cm="1">
        <f t="array" ref="O73">IF(N73&lt;&gt;"NtApp",_xlfn.REGEXEXTRACT(N73,"\d+(?=p)"),"NtApp")</f>
        <v>NtApp</v>
      </c>
      <c r="P73" s="1" t="s">
        <v>1740</v>
      </c>
      <c r="Q73" s="1" t="b">
        <f t="shared" si="3"/>
        <v>1</v>
      </c>
      <c r="R73" s="1" t="s">
        <v>1803</v>
      </c>
      <c r="S73" s="1" t="s">
        <v>1804</v>
      </c>
      <c r="T73" s="1">
        <v>0</v>
      </c>
    </row>
    <row r="74" spans="1:20" ht="30" x14ac:dyDescent="0.25">
      <c r="A74" s="1" t="str">
        <f t="shared" si="2"/>
        <v>Done</v>
      </c>
      <c r="B74" s="1" t="s">
        <v>1126</v>
      </c>
      <c r="C74" s="1">
        <v>59</v>
      </c>
      <c r="D74" s="1" t="s">
        <v>846</v>
      </c>
      <c r="E74" s="1" t="s">
        <v>1127</v>
      </c>
      <c r="F74" s="1" t="s">
        <v>53</v>
      </c>
      <c r="G74" s="1" t="s">
        <v>2238</v>
      </c>
      <c r="H74" s="1" t="s">
        <v>2158</v>
      </c>
      <c r="I74" s="1" t="s">
        <v>49</v>
      </c>
      <c r="J74" s="1">
        <v>7</v>
      </c>
      <c r="K74" s="1" t="s">
        <v>2157</v>
      </c>
      <c r="L74" s="1" t="str" cm="1">
        <f t="array" ref="L74">_xlfn.REGEXEXTRACT(B74,"(?&lt;=//)[^/]+")</f>
        <v>hcbdsm.com</v>
      </c>
      <c r="M74" s="1" t="s">
        <v>457</v>
      </c>
      <c r="N74" s="1" t="s">
        <v>1740</v>
      </c>
      <c r="O74" s="1" t="str" cm="1">
        <f t="array" ref="O74">IF(N74&lt;&gt;"NtApp",_xlfn.REGEXEXTRACT(N74,"\d+(?=p)"),"NtApp")</f>
        <v>NtApp</v>
      </c>
      <c r="P74" s="1" t="s">
        <v>1740</v>
      </c>
      <c r="Q74" s="1" t="b">
        <f t="shared" si="3"/>
        <v>0</v>
      </c>
      <c r="R74" s="1" t="s">
        <v>1647</v>
      </c>
      <c r="S74" s="1" t="s">
        <v>1646</v>
      </c>
      <c r="T74" s="1">
        <v>8</v>
      </c>
    </row>
    <row r="75" spans="1:20" ht="45" x14ac:dyDescent="0.25">
      <c r="A75" s="1" t="str">
        <f t="shared" si="2"/>
        <v>Done</v>
      </c>
      <c r="B75" s="1" t="s">
        <v>1094</v>
      </c>
      <c r="C75" s="1">
        <v>62</v>
      </c>
      <c r="D75" s="1" t="s">
        <v>577</v>
      </c>
      <c r="E75" s="1" t="s">
        <v>719</v>
      </c>
      <c r="F75" s="1" t="s">
        <v>53</v>
      </c>
      <c r="G75" s="1" t="s">
        <v>2199</v>
      </c>
      <c r="H75" s="1" t="s">
        <v>1966</v>
      </c>
      <c r="I75" s="1" t="s">
        <v>49</v>
      </c>
      <c r="J75" s="1">
        <v>7</v>
      </c>
      <c r="K75" s="1" t="s">
        <v>2162</v>
      </c>
      <c r="L75" s="1" t="str" cm="1">
        <f t="array" ref="L75">_xlfn.REGEXEXTRACT(B75,"(?&lt;=//)[^/]+")</f>
        <v>bdsmstreak.com</v>
      </c>
      <c r="M75" s="1" t="s">
        <v>457</v>
      </c>
      <c r="N75" s="1" t="s">
        <v>1740</v>
      </c>
      <c r="O75" s="1" t="str" cm="1">
        <f t="array" ref="O75">IF(N75&lt;&gt;"NtApp",_xlfn.REGEXEXTRACT(N75,"\d+(?=p)"),"NtApp")</f>
        <v>NtApp</v>
      </c>
      <c r="P75" s="1" t="s">
        <v>1740</v>
      </c>
      <c r="Q75" s="1" t="b">
        <f t="shared" si="3"/>
        <v>0</v>
      </c>
      <c r="R75" s="1" t="s">
        <v>1622</v>
      </c>
      <c r="S75" s="1" t="s">
        <v>1622</v>
      </c>
      <c r="T75" s="1">
        <v>8</v>
      </c>
    </row>
    <row r="76" spans="1:20" ht="45" x14ac:dyDescent="0.25">
      <c r="A76" s="1" t="str">
        <f t="shared" si="2"/>
        <v>Done</v>
      </c>
      <c r="B76" s="1" t="s">
        <v>199</v>
      </c>
      <c r="C76" s="1">
        <v>73</v>
      </c>
      <c r="D76" s="1" t="s">
        <v>569</v>
      </c>
      <c r="E76" s="1" t="s">
        <v>200</v>
      </c>
      <c r="F76" s="1" t="s">
        <v>53</v>
      </c>
      <c r="G76" s="1" t="s">
        <v>366</v>
      </c>
      <c r="H76" s="1" t="s">
        <v>2001</v>
      </c>
      <c r="I76" s="1" t="s">
        <v>49</v>
      </c>
      <c r="J76" s="1">
        <v>7</v>
      </c>
      <c r="K76" s="1" t="s">
        <v>1805</v>
      </c>
      <c r="L76" s="1" t="str" cm="1">
        <f t="array" ref="L76">_xlfn.REGEXEXTRACT(B76,"(?&lt;=//)[^/]+")</f>
        <v>heavyfetish.com</v>
      </c>
      <c r="M76" s="1" t="s">
        <v>457</v>
      </c>
      <c r="N76" s="1" t="s">
        <v>1740</v>
      </c>
      <c r="O76" s="1" t="str" cm="1">
        <f t="array" ref="O76">IF(N76&lt;&gt;"NtApp",_xlfn.REGEXEXTRACT(N76,"\d+(?=p)"),"NtApp")</f>
        <v>NtApp</v>
      </c>
      <c r="P76" s="1" t="s">
        <v>1740</v>
      </c>
      <c r="Q76" s="1" t="b">
        <f t="shared" si="3"/>
        <v>0</v>
      </c>
      <c r="R76" s="1" t="s">
        <v>1213</v>
      </c>
      <c r="S76" s="1" t="s">
        <v>1212</v>
      </c>
      <c r="T76" s="1">
        <v>0</v>
      </c>
    </row>
    <row r="77" spans="1:20" ht="45" x14ac:dyDescent="0.25">
      <c r="A77" s="1" t="str">
        <f t="shared" si="2"/>
        <v>Done</v>
      </c>
      <c r="B77" s="1" t="s">
        <v>634</v>
      </c>
      <c r="C77" s="1">
        <v>77</v>
      </c>
      <c r="D77" s="1" t="s">
        <v>572</v>
      </c>
      <c r="E77" s="1" t="s">
        <v>635</v>
      </c>
      <c r="F77" s="1" t="s">
        <v>54</v>
      </c>
      <c r="G77" s="1" t="s">
        <v>2260</v>
      </c>
      <c r="H77" s="1" t="s">
        <v>2049</v>
      </c>
      <c r="I77" s="1" t="s">
        <v>49</v>
      </c>
      <c r="J77" s="1">
        <v>7</v>
      </c>
      <c r="K77" s="1" t="s">
        <v>640</v>
      </c>
      <c r="L77" s="1" t="str" cm="1">
        <f t="array" ref="L77">_xlfn.REGEXEXTRACT(B77,"(?&lt;=//)[^/]+")</f>
        <v>heavyfetish.com</v>
      </c>
      <c r="M77" s="1" t="s">
        <v>457</v>
      </c>
      <c r="N77" s="1" t="s">
        <v>1740</v>
      </c>
      <c r="O77" s="1" t="str" cm="1">
        <f t="array" ref="O77">IF(N77&lt;&gt;"NtApp",_xlfn.REGEXEXTRACT(N77,"\d+(?=p)"),"NtApp")</f>
        <v>NtApp</v>
      </c>
      <c r="P77" s="1" t="s">
        <v>1740</v>
      </c>
      <c r="Q77" s="1" t="b">
        <f t="shared" si="3"/>
        <v>1</v>
      </c>
      <c r="R77" s="1" t="s">
        <v>1211</v>
      </c>
      <c r="S77" s="1" t="s">
        <v>1808</v>
      </c>
      <c r="T77" s="1">
        <v>0</v>
      </c>
    </row>
    <row r="78" spans="1:20" ht="45" x14ac:dyDescent="0.25">
      <c r="A78" s="1" t="str">
        <f t="shared" si="2"/>
        <v>Done</v>
      </c>
      <c r="B78" s="1" t="s">
        <v>782</v>
      </c>
      <c r="C78" s="1">
        <v>85</v>
      </c>
      <c r="D78" s="1" t="s">
        <v>704</v>
      </c>
      <c r="E78" s="1" t="s">
        <v>274</v>
      </c>
      <c r="F78" s="1" t="s">
        <v>52</v>
      </c>
      <c r="G78" s="1" t="s">
        <v>2135</v>
      </c>
      <c r="H78" s="1" t="s">
        <v>2086</v>
      </c>
      <c r="I78" s="1" t="s">
        <v>49</v>
      </c>
      <c r="J78" s="1">
        <v>7</v>
      </c>
      <c r="K78" s="1" t="s">
        <v>2100</v>
      </c>
      <c r="L78" s="1" t="str" cm="1">
        <f t="array" ref="L78">_xlfn.REGEXEXTRACT(B78,"(?&lt;=//)[^/]+")</f>
        <v>bdsmstreak.com</v>
      </c>
      <c r="M78" s="1" t="s">
        <v>457</v>
      </c>
      <c r="N78" s="1" t="s">
        <v>1740</v>
      </c>
      <c r="O78" s="1" t="str" cm="1">
        <f t="array" ref="O78">IF(N78&lt;&gt;"NtApp",_xlfn.REGEXEXTRACT(N78,"\d+(?=p)"),"NtApp")</f>
        <v>NtApp</v>
      </c>
      <c r="P78" s="1" t="s">
        <v>1740</v>
      </c>
      <c r="Q78" s="1" t="b">
        <f t="shared" si="3"/>
        <v>1</v>
      </c>
      <c r="R78" s="1" t="s">
        <v>1210</v>
      </c>
      <c r="S78" s="1" t="s">
        <v>1209</v>
      </c>
      <c r="T78" s="1">
        <v>0</v>
      </c>
    </row>
    <row r="79" spans="1:20" ht="45" x14ac:dyDescent="0.25">
      <c r="A79" s="1" t="str">
        <f t="shared" si="2"/>
        <v>Done</v>
      </c>
      <c r="B79" s="1" t="s">
        <v>259</v>
      </c>
      <c r="C79" s="1">
        <v>99</v>
      </c>
      <c r="D79" s="1" t="s">
        <v>835</v>
      </c>
      <c r="E79" s="1" t="s">
        <v>1810</v>
      </c>
      <c r="F79" s="1" t="s">
        <v>53</v>
      </c>
      <c r="G79" s="1" t="s">
        <v>2192</v>
      </c>
      <c r="H79" s="1" t="s">
        <v>436</v>
      </c>
      <c r="I79" s="1" t="s">
        <v>49</v>
      </c>
      <c r="J79" s="1">
        <v>7</v>
      </c>
      <c r="K79" s="1" t="s">
        <v>1937</v>
      </c>
      <c r="L79" s="1" t="str" cm="1">
        <f t="array" ref="L79">_xlfn.REGEXEXTRACT(B79,"(?&lt;=//)[^/]+")</f>
        <v>xhamster44.desi</v>
      </c>
      <c r="M79" s="1" t="s">
        <v>457</v>
      </c>
      <c r="N79" s="1" t="s">
        <v>1740</v>
      </c>
      <c r="O79" s="1" t="str" cm="1">
        <f t="array" ref="O79">IF(N79&lt;&gt;"NtApp",_xlfn.REGEXEXTRACT(N79,"\d+(?=p)"),"NtApp")</f>
        <v>NtApp</v>
      </c>
      <c r="P79" s="1" t="s">
        <v>1740</v>
      </c>
      <c r="Q79" s="1" t="b">
        <f t="shared" si="3"/>
        <v>1</v>
      </c>
      <c r="R79" s="1" t="s">
        <v>1208</v>
      </c>
      <c r="S79" s="1" t="s">
        <v>1207</v>
      </c>
      <c r="T79" s="1">
        <v>0</v>
      </c>
    </row>
    <row r="80" spans="1:20" ht="30" x14ac:dyDescent="0.25">
      <c r="A80" s="1" t="str">
        <f t="shared" si="2"/>
        <v>Done</v>
      </c>
      <c r="B80" s="1" t="s">
        <v>38</v>
      </c>
      <c r="C80" s="1">
        <v>111</v>
      </c>
      <c r="D80" s="1" t="s">
        <v>835</v>
      </c>
      <c r="E80" s="1" t="s">
        <v>837</v>
      </c>
      <c r="F80" s="1" t="s">
        <v>53</v>
      </c>
      <c r="G80" s="1" t="s">
        <v>1788</v>
      </c>
      <c r="H80" s="1" t="s">
        <v>1953</v>
      </c>
      <c r="I80" s="1" t="s">
        <v>49</v>
      </c>
      <c r="J80" s="1">
        <v>7</v>
      </c>
      <c r="K80" s="1" t="s">
        <v>384</v>
      </c>
      <c r="L80" s="1" t="str" cm="1">
        <f t="array" ref="L80">_xlfn.REGEXEXTRACT(B80,"(?&lt;=//)[^/]+")</f>
        <v>punishworld.com</v>
      </c>
      <c r="M80" s="1" t="s">
        <v>457</v>
      </c>
      <c r="N80" s="1" t="s">
        <v>1740</v>
      </c>
      <c r="O80" s="1" t="str" cm="1">
        <f t="array" ref="O80">IF(N80&lt;&gt;"NtApp",_xlfn.REGEXEXTRACT(N80,"\d+(?=p)"),"NtApp")</f>
        <v>NtApp</v>
      </c>
      <c r="P80" s="1" t="s">
        <v>1740</v>
      </c>
      <c r="Q80" s="1" t="b">
        <f t="shared" si="3"/>
        <v>0</v>
      </c>
      <c r="R80" s="1" t="s">
        <v>1740</v>
      </c>
      <c r="S80" s="1" t="s">
        <v>1206</v>
      </c>
      <c r="T80" s="1">
        <v>0</v>
      </c>
    </row>
    <row r="81" spans="1:20" ht="45" x14ac:dyDescent="0.25">
      <c r="A81" s="1" t="str">
        <f t="shared" si="2"/>
        <v>Done</v>
      </c>
      <c r="B81" s="1" t="s">
        <v>676</v>
      </c>
      <c r="C81" s="1">
        <v>29</v>
      </c>
      <c r="D81" s="1" t="s">
        <v>573</v>
      </c>
      <c r="E81" s="1" t="s">
        <v>178</v>
      </c>
      <c r="F81" s="1" t="s">
        <v>53</v>
      </c>
      <c r="G81" s="1" t="s">
        <v>2357</v>
      </c>
      <c r="H81" s="1" t="s">
        <v>2024</v>
      </c>
      <c r="I81" s="1" t="s">
        <v>49</v>
      </c>
      <c r="J81" s="1">
        <v>7</v>
      </c>
      <c r="K81" s="1" t="s">
        <v>2356</v>
      </c>
      <c r="L81" s="1" t="str" cm="1">
        <f t="array" ref="L81">_xlfn.REGEXEXTRACT(B81,"(?&lt;=//)[^/]+")</f>
        <v>bdsmstreak.com</v>
      </c>
      <c r="M81" s="1" t="s">
        <v>457</v>
      </c>
      <c r="N81" s="1" t="s">
        <v>1740</v>
      </c>
      <c r="O81" s="1" t="str" cm="1">
        <f t="array" ref="O81">IF(N81&lt;&gt;"NtApp",_xlfn.REGEXEXTRACT(N81,"\d+(?=p)"),"NtApp")</f>
        <v>NtApp</v>
      </c>
      <c r="P81" s="1" t="s">
        <v>1740</v>
      </c>
      <c r="Q81" s="1" t="b">
        <f t="shared" si="3"/>
        <v>0</v>
      </c>
      <c r="R81" s="1" t="s">
        <v>1653</v>
      </c>
      <c r="S81" s="1" t="s">
        <v>1652</v>
      </c>
      <c r="T81" s="1">
        <v>6</v>
      </c>
    </row>
    <row r="82" spans="1:20" ht="75" x14ac:dyDescent="0.25">
      <c r="A82" s="1" t="str">
        <f t="shared" si="2"/>
        <v>Done</v>
      </c>
      <c r="B82" s="1" t="s">
        <v>2363</v>
      </c>
      <c r="C82" s="1">
        <v>64</v>
      </c>
      <c r="D82" s="1" t="s">
        <v>577</v>
      </c>
      <c r="E82" s="1" t="s">
        <v>866</v>
      </c>
      <c r="F82" s="1" t="s">
        <v>53</v>
      </c>
      <c r="G82" s="1" t="s">
        <v>2364</v>
      </c>
      <c r="H82" s="1" t="s">
        <v>638</v>
      </c>
      <c r="I82" s="1" t="s">
        <v>49</v>
      </c>
      <c r="J82" s="1">
        <v>7</v>
      </c>
      <c r="K82" s="1" t="s">
        <v>2365</v>
      </c>
      <c r="L82" s="1" t="str" cm="1">
        <f t="array" ref="L82">_xlfn.REGEXEXTRACT(B82,"(?&lt;=//)[^/]+")</f>
        <v>hcbdsm.com</v>
      </c>
      <c r="M82" s="1" t="s">
        <v>457</v>
      </c>
      <c r="N82" s="1" t="s">
        <v>1740</v>
      </c>
      <c r="O82" s="1" t="str" cm="1">
        <f t="array" ref="O82">IF(N82&lt;&gt;"NtApp",_xlfn.REGEXEXTRACT(N82,"\d+(?=p)"),"NtApp")</f>
        <v>NtApp</v>
      </c>
      <c r="P82" s="1" t="s">
        <v>1740</v>
      </c>
      <c r="Q82" s="1" t="b">
        <f t="shared" si="3"/>
        <v>0</v>
      </c>
      <c r="R82" s="1" t="s">
        <v>1629</v>
      </c>
      <c r="S82" s="1" t="s">
        <v>1628</v>
      </c>
      <c r="T82" s="1">
        <v>5</v>
      </c>
    </row>
    <row r="83" spans="1:20" ht="30" x14ac:dyDescent="0.25">
      <c r="A83" s="1" t="str">
        <f t="shared" si="2"/>
        <v>Done</v>
      </c>
      <c r="B83" s="1" t="s">
        <v>209</v>
      </c>
      <c r="C83" s="1">
        <v>0</v>
      </c>
      <c r="D83" s="1" t="s">
        <v>1738</v>
      </c>
      <c r="E83" s="1" t="s">
        <v>837</v>
      </c>
      <c r="F83" s="1" t="s">
        <v>63</v>
      </c>
      <c r="G83" s="1" t="s">
        <v>391</v>
      </c>
      <c r="H83" s="1" t="s">
        <v>2039</v>
      </c>
      <c r="I83" s="1" t="s">
        <v>49</v>
      </c>
      <c r="J83" s="1">
        <v>6</v>
      </c>
      <c r="K83" s="1" t="s">
        <v>210</v>
      </c>
      <c r="L83" s="1" t="str" cm="1">
        <f t="array" ref="L83">_xlfn.REGEXEXTRACT(B83,"(?&lt;=//)[^/]+")</f>
        <v>www.txxx.porn</v>
      </c>
      <c r="M83" s="1" t="s">
        <v>457</v>
      </c>
      <c r="N83" s="1" t="s">
        <v>1740</v>
      </c>
      <c r="O83" s="1" t="str" cm="1">
        <f t="array" ref="O83">IF(N83&lt;&gt;"NtApp",_xlfn.REGEXEXTRACT(N83,"\d+(?=p)"),"NtApp")</f>
        <v>NtApp</v>
      </c>
      <c r="P83" s="1" t="s">
        <v>1740</v>
      </c>
      <c r="Q83" s="1" t="b">
        <f t="shared" si="3"/>
        <v>0</v>
      </c>
      <c r="R83" s="1" t="s">
        <v>1740</v>
      </c>
      <c r="S83" s="1" t="s">
        <v>1740</v>
      </c>
      <c r="T83" s="1">
        <v>0</v>
      </c>
    </row>
    <row r="84" spans="1:20" ht="30" x14ac:dyDescent="0.25">
      <c r="A84" s="1" t="str">
        <f t="shared" si="2"/>
        <v>Done</v>
      </c>
      <c r="B84" s="1" t="s">
        <v>260</v>
      </c>
      <c r="C84" s="1">
        <v>0</v>
      </c>
      <c r="D84" s="1" t="s">
        <v>836</v>
      </c>
      <c r="E84" s="1" t="s">
        <v>837</v>
      </c>
      <c r="F84" s="1" t="s">
        <v>53</v>
      </c>
      <c r="G84" s="1" t="s">
        <v>2201</v>
      </c>
      <c r="H84" s="1" t="s">
        <v>417</v>
      </c>
      <c r="I84" s="1" t="s">
        <v>49</v>
      </c>
      <c r="J84" s="1">
        <v>6</v>
      </c>
      <c r="K84" s="1" t="s">
        <v>323</v>
      </c>
      <c r="L84" s="1" t="str" cm="1">
        <f t="array" ref="L84">_xlfn.REGEXEXTRACT(B84,"(?&lt;=//)[^/]+")</f>
        <v>www.tubebdsm.com</v>
      </c>
      <c r="M84" s="1" t="s">
        <v>457</v>
      </c>
      <c r="N84" s="1" t="s">
        <v>1740</v>
      </c>
      <c r="O84" s="1" t="str" cm="1">
        <f t="array" ref="O84">IF(N84&lt;&gt;"NtApp",_xlfn.REGEXEXTRACT(N84,"\d+(?=p)"),"NtApp")</f>
        <v>NtApp</v>
      </c>
      <c r="P84" s="1" t="s">
        <v>1740</v>
      </c>
      <c r="Q84" s="1" t="b">
        <f t="shared" si="3"/>
        <v>0</v>
      </c>
      <c r="R84" s="1" t="s">
        <v>1740</v>
      </c>
      <c r="S84" s="1" t="s">
        <v>1740</v>
      </c>
      <c r="T84" s="1">
        <v>0</v>
      </c>
    </row>
    <row r="85" spans="1:20" ht="30" x14ac:dyDescent="0.25">
      <c r="A85" s="1" t="str">
        <f t="shared" si="2"/>
        <v>Done</v>
      </c>
      <c r="B85" s="1" t="s">
        <v>443</v>
      </c>
      <c r="C85" s="1">
        <v>0</v>
      </c>
      <c r="D85" s="1" t="s">
        <v>836</v>
      </c>
      <c r="E85" s="1" t="s">
        <v>837</v>
      </c>
      <c r="F85" s="1" t="s">
        <v>63</v>
      </c>
      <c r="G85" s="1" t="s">
        <v>2091</v>
      </c>
      <c r="H85" s="1" t="s">
        <v>2030</v>
      </c>
      <c r="I85" s="1" t="s">
        <v>49</v>
      </c>
      <c r="J85" s="1">
        <v>6</v>
      </c>
      <c r="K85" s="1" t="s">
        <v>357</v>
      </c>
      <c r="L85" s="1" t="str" cm="1">
        <f t="array" ref="L85">_xlfn.REGEXEXTRACT(B85,"(?&lt;=//)[^/]+")</f>
        <v>www.fuq.com</v>
      </c>
      <c r="M85" s="1" t="s">
        <v>457</v>
      </c>
      <c r="N85" s="1" t="s">
        <v>1740</v>
      </c>
      <c r="O85" s="1" t="str" cm="1">
        <f t="array" ref="O85">IF(N85&lt;&gt;"NtApp",_xlfn.REGEXEXTRACT(N85,"\d+(?=p)"),"NtApp")</f>
        <v>NtApp</v>
      </c>
      <c r="P85" s="1" t="s">
        <v>1740</v>
      </c>
      <c r="Q85" s="1" t="b">
        <f t="shared" si="3"/>
        <v>0</v>
      </c>
      <c r="R85" s="1" t="s">
        <v>1740</v>
      </c>
      <c r="S85" s="1" t="s">
        <v>1740</v>
      </c>
      <c r="T85" s="1">
        <v>0</v>
      </c>
    </row>
    <row r="86" spans="1:20" ht="30" x14ac:dyDescent="0.25">
      <c r="A86" s="1" t="str">
        <f t="shared" si="2"/>
        <v>Done</v>
      </c>
      <c r="B86" s="1" t="s">
        <v>109</v>
      </c>
      <c r="C86" s="1">
        <v>0</v>
      </c>
      <c r="D86" s="1" t="s">
        <v>1736</v>
      </c>
      <c r="E86" s="1" t="s">
        <v>134</v>
      </c>
      <c r="F86" s="1" t="s">
        <v>126</v>
      </c>
      <c r="G86" s="1" t="s">
        <v>2136</v>
      </c>
      <c r="H86" s="1" t="s">
        <v>311</v>
      </c>
      <c r="I86" s="1" t="s">
        <v>49</v>
      </c>
      <c r="J86" s="1">
        <v>6</v>
      </c>
      <c r="K86" s="1" t="s">
        <v>191</v>
      </c>
      <c r="L86" s="1" t="str" cm="1">
        <f t="array" ref="L86">_xlfn.REGEXEXTRACT(B86,"(?&lt;=//)[^/]+")</f>
        <v>pornxp.com</v>
      </c>
      <c r="M86" s="1" t="s">
        <v>457</v>
      </c>
      <c r="N86" s="1" t="s">
        <v>1740</v>
      </c>
      <c r="O86" s="1" t="str" cm="1">
        <f t="array" ref="O86">IF(N86&lt;&gt;"NtApp",_xlfn.REGEXEXTRACT(N86,"\d+(?=p)"),"NtApp")</f>
        <v>NtApp</v>
      </c>
      <c r="P86" s="1" t="s">
        <v>1740</v>
      </c>
      <c r="Q86" s="1" t="b">
        <f t="shared" si="3"/>
        <v>0</v>
      </c>
      <c r="R86" s="1" t="s">
        <v>1740</v>
      </c>
      <c r="S86" s="1" t="s">
        <v>1740</v>
      </c>
      <c r="T86" s="1">
        <v>0</v>
      </c>
    </row>
    <row r="87" spans="1:20" ht="30" x14ac:dyDescent="0.25">
      <c r="A87" s="1" t="str">
        <f t="shared" si="2"/>
        <v>Done</v>
      </c>
      <c r="B87" s="1" t="s">
        <v>252</v>
      </c>
      <c r="C87" s="1">
        <v>0</v>
      </c>
      <c r="D87" s="1" t="s">
        <v>1738</v>
      </c>
      <c r="E87" s="1" t="s">
        <v>837</v>
      </c>
      <c r="F87" s="1" t="s">
        <v>53</v>
      </c>
      <c r="G87" s="1" t="s">
        <v>358</v>
      </c>
      <c r="H87" s="1" t="s">
        <v>424</v>
      </c>
      <c r="I87" s="1" t="s">
        <v>49</v>
      </c>
      <c r="J87" s="1">
        <v>6</v>
      </c>
      <c r="K87" s="1" t="s">
        <v>253</v>
      </c>
      <c r="L87" s="1" t="str" cm="1">
        <f t="array" ref="L87">_xlfn.REGEXEXTRACT(B87,"(?&lt;=//)[^/]+")</f>
        <v>www.porntry.com</v>
      </c>
      <c r="M87" s="1" t="s">
        <v>457</v>
      </c>
      <c r="N87" s="1" t="s">
        <v>1740</v>
      </c>
      <c r="O87" s="1" t="str" cm="1">
        <f t="array" ref="O87">IF(N87&lt;&gt;"NtApp",_xlfn.REGEXEXTRACT(N87,"\d+(?=p)"),"NtApp")</f>
        <v>NtApp</v>
      </c>
      <c r="P87" s="1" t="s">
        <v>1740</v>
      </c>
      <c r="Q87" s="1" t="b">
        <f t="shared" si="3"/>
        <v>0</v>
      </c>
      <c r="R87" s="1" t="s">
        <v>1740</v>
      </c>
      <c r="S87" s="1" t="s">
        <v>1740</v>
      </c>
      <c r="T87" s="1">
        <v>0</v>
      </c>
    </row>
    <row r="88" spans="1:20" ht="30" x14ac:dyDescent="0.25">
      <c r="A88" s="1" t="str">
        <f t="shared" si="2"/>
        <v>Done</v>
      </c>
      <c r="B88" s="1" t="s">
        <v>211</v>
      </c>
      <c r="C88" s="1">
        <v>0</v>
      </c>
      <c r="D88" s="1" t="s">
        <v>1739</v>
      </c>
      <c r="E88" s="1" t="s">
        <v>837</v>
      </c>
      <c r="F88" s="1" t="s">
        <v>53</v>
      </c>
      <c r="G88" s="1" t="s">
        <v>2088</v>
      </c>
      <c r="H88" s="1" t="s">
        <v>470</v>
      </c>
      <c r="I88" s="1" t="s">
        <v>49</v>
      </c>
      <c r="J88" s="1">
        <v>6</v>
      </c>
      <c r="K88" s="1" t="s">
        <v>213</v>
      </c>
      <c r="L88" s="1" t="str" cm="1">
        <f t="array" ref="L88">_xlfn.REGEXEXTRACT(B88,"(?&lt;=//)[^/]+")</f>
        <v>www.txxx.porn</v>
      </c>
      <c r="M88" s="1" t="s">
        <v>457</v>
      </c>
      <c r="N88" s="1" t="s">
        <v>1740</v>
      </c>
      <c r="O88" s="1" t="str" cm="1">
        <f t="array" ref="O88">IF(N88&lt;&gt;"NtApp",_xlfn.REGEXEXTRACT(N88,"\d+(?=p)"),"NtApp")</f>
        <v>NtApp</v>
      </c>
      <c r="P88" s="1" t="s">
        <v>1740</v>
      </c>
      <c r="Q88" s="1" t="b">
        <f t="shared" si="3"/>
        <v>0</v>
      </c>
      <c r="R88" s="1" t="s">
        <v>1740</v>
      </c>
      <c r="S88" s="1" t="s">
        <v>1740</v>
      </c>
      <c r="T88" s="1">
        <v>0</v>
      </c>
    </row>
    <row r="89" spans="1:20" x14ac:dyDescent="0.25">
      <c r="A89" s="1" t="str">
        <f t="shared" si="2"/>
        <v>Done</v>
      </c>
      <c r="B89" s="1" t="s">
        <v>442</v>
      </c>
      <c r="C89" s="1">
        <v>0</v>
      </c>
      <c r="D89" s="1" t="s">
        <v>836</v>
      </c>
      <c r="E89" s="1" t="s">
        <v>837</v>
      </c>
      <c r="F89" s="1" t="s">
        <v>63</v>
      </c>
      <c r="G89" s="1" t="s">
        <v>355</v>
      </c>
      <c r="H89" s="1" t="s">
        <v>2025</v>
      </c>
      <c r="I89" s="1" t="s">
        <v>49</v>
      </c>
      <c r="J89" s="1">
        <v>6</v>
      </c>
      <c r="K89" s="1" t="s">
        <v>236</v>
      </c>
      <c r="L89" s="1" t="str" cm="1">
        <f t="array" ref="L89">_xlfn.REGEXEXTRACT(B89,"(?&lt;=//)[^/]+")</f>
        <v>beeg.com</v>
      </c>
      <c r="M89" s="1" t="s">
        <v>457</v>
      </c>
      <c r="N89" s="1" t="s">
        <v>1740</v>
      </c>
      <c r="O89" s="1" t="str" cm="1">
        <f t="array" ref="O89">IF(N89&lt;&gt;"NtApp",_xlfn.REGEXEXTRACT(N89,"\d+(?=p)"),"NtApp")</f>
        <v>NtApp</v>
      </c>
      <c r="P89" s="1" t="s">
        <v>1740</v>
      </c>
      <c r="Q89" s="1" t="b">
        <f t="shared" si="3"/>
        <v>0</v>
      </c>
      <c r="R89" s="1" t="s">
        <v>1740</v>
      </c>
      <c r="S89" s="1" t="s">
        <v>1740</v>
      </c>
      <c r="T89" s="1">
        <v>0</v>
      </c>
    </row>
    <row r="90" spans="1:20" ht="30" x14ac:dyDescent="0.25">
      <c r="A90" s="1" t="str">
        <f t="shared" si="2"/>
        <v>Done</v>
      </c>
      <c r="B90" s="1" t="s">
        <v>226</v>
      </c>
      <c r="C90" s="1">
        <v>0</v>
      </c>
      <c r="D90" s="1" t="s">
        <v>836</v>
      </c>
      <c r="E90" s="1" t="s">
        <v>837</v>
      </c>
      <c r="F90" s="1" t="s">
        <v>63</v>
      </c>
      <c r="G90" s="1" t="s">
        <v>300</v>
      </c>
      <c r="H90" s="1" t="s">
        <v>423</v>
      </c>
      <c r="I90" s="1" t="s">
        <v>49</v>
      </c>
      <c r="J90" s="1">
        <v>6</v>
      </c>
      <c r="K90" s="1" t="s">
        <v>239</v>
      </c>
      <c r="L90" s="1" t="str" cm="1">
        <f t="array" ref="L90">_xlfn.REGEXEXTRACT(B90,"(?&lt;=//)[^/]+")</f>
        <v>www.fuq.com</v>
      </c>
      <c r="M90" s="1" t="s">
        <v>457</v>
      </c>
      <c r="N90" s="1" t="s">
        <v>1740</v>
      </c>
      <c r="O90" s="1" t="str" cm="1">
        <f t="array" ref="O90">IF(N90&lt;&gt;"NtApp",_xlfn.REGEXEXTRACT(N90,"\d+(?=p)"),"NtApp")</f>
        <v>NtApp</v>
      </c>
      <c r="P90" s="1" t="s">
        <v>1740</v>
      </c>
      <c r="Q90" s="1" t="b">
        <f t="shared" si="3"/>
        <v>0</v>
      </c>
      <c r="R90" s="1" t="s">
        <v>1740</v>
      </c>
      <c r="S90" s="1" t="s">
        <v>1740</v>
      </c>
      <c r="T90" s="1">
        <v>0</v>
      </c>
    </row>
    <row r="91" spans="1:20" ht="30" x14ac:dyDescent="0.25">
      <c r="A91" s="1" t="str">
        <f t="shared" si="2"/>
        <v>Done</v>
      </c>
      <c r="B91" s="1" t="s">
        <v>224</v>
      </c>
      <c r="C91" s="1">
        <v>0</v>
      </c>
      <c r="D91" s="1" t="s">
        <v>836</v>
      </c>
      <c r="E91" s="1" t="s">
        <v>837</v>
      </c>
      <c r="F91" s="1" t="s">
        <v>63</v>
      </c>
      <c r="G91" s="1" t="s">
        <v>352</v>
      </c>
      <c r="H91" s="1" t="s">
        <v>468</v>
      </c>
      <c r="I91" s="1" t="s">
        <v>49</v>
      </c>
      <c r="J91" s="1">
        <v>6</v>
      </c>
      <c r="K91" s="1" t="s">
        <v>1819</v>
      </c>
      <c r="L91" s="1" t="str" cm="1">
        <f t="array" ref="L91">_xlfn.REGEXEXTRACT(B91,"(?&lt;=//)[^/]+")</f>
        <v>www.fuq.com</v>
      </c>
      <c r="M91" s="1" t="s">
        <v>457</v>
      </c>
      <c r="N91" s="1" t="s">
        <v>1740</v>
      </c>
      <c r="O91" s="1" t="str" cm="1">
        <f t="array" ref="O91">IF(N91&lt;&gt;"NtApp",_xlfn.REGEXEXTRACT(N91,"\d+(?=p)"),"NtApp")</f>
        <v>NtApp</v>
      </c>
      <c r="P91" s="1" t="s">
        <v>1740</v>
      </c>
      <c r="Q91" s="1" t="b">
        <f t="shared" si="3"/>
        <v>0</v>
      </c>
      <c r="R91" s="1" t="s">
        <v>1740</v>
      </c>
      <c r="S91" s="1" t="s">
        <v>1740</v>
      </c>
      <c r="T91" s="1">
        <v>0</v>
      </c>
    </row>
    <row r="92" spans="1:20" ht="30" x14ac:dyDescent="0.25">
      <c r="A92" s="1" t="str">
        <f t="shared" si="2"/>
        <v>Done</v>
      </c>
      <c r="B92" s="1" t="s">
        <v>264</v>
      </c>
      <c r="C92" s="1">
        <v>0</v>
      </c>
      <c r="D92" s="1" t="s">
        <v>836</v>
      </c>
      <c r="E92" s="1" t="s">
        <v>837</v>
      </c>
      <c r="F92" s="1" t="s">
        <v>63</v>
      </c>
      <c r="G92" s="1" t="s">
        <v>832</v>
      </c>
      <c r="H92" s="1" t="s">
        <v>418</v>
      </c>
      <c r="I92" s="1" t="s">
        <v>49</v>
      </c>
      <c r="J92" s="1">
        <v>6</v>
      </c>
      <c r="K92" s="1" t="s">
        <v>324</v>
      </c>
      <c r="L92" s="1" t="str" cm="1">
        <f t="array" ref="L92">_xlfn.REGEXEXTRACT(B92,"(?&lt;=//)[^/]+")</f>
        <v>www.tubebdsm.com</v>
      </c>
      <c r="M92" s="1" t="s">
        <v>457</v>
      </c>
      <c r="N92" s="1" t="s">
        <v>1740</v>
      </c>
      <c r="O92" s="1" t="str" cm="1">
        <f t="array" ref="O92">IF(N92&lt;&gt;"NtApp",_xlfn.REGEXEXTRACT(N92,"\d+(?=p)"),"NtApp")</f>
        <v>NtApp</v>
      </c>
      <c r="P92" s="1" t="s">
        <v>1740</v>
      </c>
      <c r="Q92" s="1" t="b">
        <f t="shared" si="3"/>
        <v>0</v>
      </c>
      <c r="R92" s="1" t="s">
        <v>1740</v>
      </c>
      <c r="S92" s="1" t="s">
        <v>1740</v>
      </c>
      <c r="T92" s="1">
        <v>0</v>
      </c>
    </row>
    <row r="93" spans="1:20" ht="30" x14ac:dyDescent="0.25">
      <c r="A93" s="1" t="str">
        <f t="shared" si="2"/>
        <v>Done</v>
      </c>
      <c r="B93" s="1" t="s">
        <v>330</v>
      </c>
      <c r="C93" s="1">
        <v>0</v>
      </c>
      <c r="D93" s="1" t="s">
        <v>1737</v>
      </c>
      <c r="E93" s="1" t="s">
        <v>837</v>
      </c>
      <c r="F93" s="1" t="s">
        <v>63</v>
      </c>
      <c r="G93" s="1" t="s">
        <v>390</v>
      </c>
      <c r="H93" s="1" t="s">
        <v>339</v>
      </c>
      <c r="I93" s="1" t="s">
        <v>49</v>
      </c>
      <c r="J93" s="1">
        <v>6</v>
      </c>
      <c r="K93" s="1" t="s">
        <v>341</v>
      </c>
      <c r="L93" s="1" t="str" cm="1">
        <f t="array" ref="L93">_xlfn.REGEXEXTRACT(B93,"(?&lt;=//)[^/]+")</f>
        <v>www.pornhits.com</v>
      </c>
      <c r="M93" s="1" t="s">
        <v>457</v>
      </c>
      <c r="N93" s="1" t="s">
        <v>1740</v>
      </c>
      <c r="O93" s="1" t="str" cm="1">
        <f t="array" ref="O93">IF(N93&lt;&gt;"NtApp",_xlfn.REGEXEXTRACT(N93,"\d+(?=p)"),"NtApp")</f>
        <v>NtApp</v>
      </c>
      <c r="P93" s="1" t="s">
        <v>1740</v>
      </c>
      <c r="Q93" s="1" t="b">
        <f t="shared" si="3"/>
        <v>0</v>
      </c>
      <c r="R93" s="1" t="s">
        <v>1740</v>
      </c>
      <c r="S93" s="1" t="s">
        <v>1740</v>
      </c>
      <c r="T93" s="1">
        <v>0</v>
      </c>
    </row>
    <row r="94" spans="1:20" ht="30" x14ac:dyDescent="0.25">
      <c r="A94" s="1" t="str">
        <f t="shared" si="2"/>
        <v>Done</v>
      </c>
      <c r="B94" s="1" t="s">
        <v>338</v>
      </c>
      <c r="C94" s="1">
        <v>0</v>
      </c>
      <c r="D94" s="1" t="s">
        <v>1737</v>
      </c>
      <c r="E94" s="1" t="s">
        <v>837</v>
      </c>
      <c r="F94" s="1" t="s">
        <v>63</v>
      </c>
      <c r="G94" s="1" t="s">
        <v>392</v>
      </c>
      <c r="H94" s="1" t="s">
        <v>339</v>
      </c>
      <c r="I94" s="1" t="s">
        <v>49</v>
      </c>
      <c r="J94" s="1">
        <v>6</v>
      </c>
      <c r="K94" s="1" t="s">
        <v>340</v>
      </c>
      <c r="L94" s="1" t="str" cm="1">
        <f t="array" ref="L94">_xlfn.REGEXEXTRACT(B94,"(?&lt;=//)[^/]+")</f>
        <v>www.pornhits.com</v>
      </c>
      <c r="M94" s="1" t="s">
        <v>457</v>
      </c>
      <c r="N94" s="1" t="s">
        <v>1740</v>
      </c>
      <c r="O94" s="1" t="str" cm="1">
        <f t="array" ref="O94">IF(N94&lt;&gt;"NtApp",_xlfn.REGEXEXTRACT(N94,"\d+(?=p)"),"NtApp")</f>
        <v>NtApp</v>
      </c>
      <c r="P94" s="1" t="s">
        <v>1740</v>
      </c>
      <c r="Q94" s="1" t="b">
        <f t="shared" si="3"/>
        <v>0</v>
      </c>
      <c r="R94" s="1" t="s">
        <v>1740</v>
      </c>
      <c r="S94" s="1" t="s">
        <v>1740</v>
      </c>
      <c r="T94" s="1">
        <v>0</v>
      </c>
    </row>
    <row r="95" spans="1:20" ht="45" x14ac:dyDescent="0.25">
      <c r="A95" s="1" t="str">
        <f t="shared" si="2"/>
        <v>Done</v>
      </c>
      <c r="B95" s="1" t="s">
        <v>517</v>
      </c>
      <c r="C95" s="1">
        <v>3</v>
      </c>
      <c r="D95" s="1" t="s">
        <v>835</v>
      </c>
      <c r="E95" s="1" t="s">
        <v>518</v>
      </c>
      <c r="F95" s="1" t="s">
        <v>53</v>
      </c>
      <c r="G95" s="1" t="s">
        <v>525</v>
      </c>
      <c r="H95" s="1" t="s">
        <v>469</v>
      </c>
      <c r="I95" s="1" t="s">
        <v>49</v>
      </c>
      <c r="J95" s="1">
        <v>6</v>
      </c>
      <c r="K95" s="1" t="s">
        <v>526</v>
      </c>
      <c r="L95" s="1" t="str" cm="1">
        <f t="array" ref="L95">_xlfn.REGEXEXTRACT(B95,"(?&lt;=//)[^/]+")</f>
        <v>www.pornhub.com</v>
      </c>
      <c r="M95" s="1" t="s">
        <v>457</v>
      </c>
      <c r="N95" s="1" t="s">
        <v>1740</v>
      </c>
      <c r="O95" s="1" t="str" cm="1">
        <f t="array" ref="O95">IF(N95&lt;&gt;"NtApp",_xlfn.REGEXEXTRACT(N95,"\d+(?=p)"),"NtApp")</f>
        <v>NtApp</v>
      </c>
      <c r="P95" s="1" t="s">
        <v>1740</v>
      </c>
      <c r="Q95" s="1" t="b">
        <f t="shared" si="3"/>
        <v>0</v>
      </c>
      <c r="R95" s="1" t="s">
        <v>1740</v>
      </c>
      <c r="S95" s="1" t="s">
        <v>1312</v>
      </c>
      <c r="T95" s="1">
        <v>0</v>
      </c>
    </row>
    <row r="96" spans="1:20" ht="45" x14ac:dyDescent="0.25">
      <c r="A96" s="1" t="str">
        <f t="shared" si="2"/>
        <v>Done</v>
      </c>
      <c r="B96" s="1" t="s">
        <v>1311</v>
      </c>
      <c r="C96" s="1">
        <v>10</v>
      </c>
      <c r="D96" s="1" t="s">
        <v>835</v>
      </c>
      <c r="E96" s="1" t="s">
        <v>1309</v>
      </c>
      <c r="F96" s="1" t="s">
        <v>53</v>
      </c>
      <c r="G96" s="1" t="s">
        <v>2106</v>
      </c>
      <c r="H96" s="1" t="s">
        <v>326</v>
      </c>
      <c r="I96" s="1" t="s">
        <v>49</v>
      </c>
      <c r="J96" s="1">
        <v>6</v>
      </c>
      <c r="K96" s="1" t="s">
        <v>364</v>
      </c>
      <c r="L96" s="1" t="str" cm="1">
        <f t="array" ref="L96">_xlfn.REGEXEXTRACT(B96,"(?&lt;=//)[^/]+")</f>
        <v>www.xvideos2.com</v>
      </c>
      <c r="M96" s="1" t="s">
        <v>457</v>
      </c>
      <c r="N96" s="1" t="s">
        <v>1740</v>
      </c>
      <c r="O96" s="1" t="str" cm="1">
        <f t="array" ref="O96">IF(N96&lt;&gt;"NtApp",_xlfn.REGEXEXTRACT(N96,"\d+(?=p)"),"NtApp")</f>
        <v>NtApp</v>
      </c>
      <c r="P96" s="1" t="s">
        <v>1740</v>
      </c>
      <c r="Q96" s="1" t="b">
        <f t="shared" si="3"/>
        <v>0</v>
      </c>
      <c r="R96" s="1" t="s">
        <v>1310</v>
      </c>
      <c r="S96" s="1" t="s">
        <v>1308</v>
      </c>
      <c r="T96" s="1">
        <v>0</v>
      </c>
    </row>
    <row r="97" spans="1:20" ht="60" x14ac:dyDescent="0.25">
      <c r="A97" s="1" t="str">
        <f t="shared" si="2"/>
        <v>Done</v>
      </c>
      <c r="B97" s="1" t="s">
        <v>652</v>
      </c>
      <c r="C97" s="1">
        <v>11</v>
      </c>
      <c r="D97" s="1" t="s">
        <v>118</v>
      </c>
      <c r="E97" s="1" t="s">
        <v>648</v>
      </c>
      <c r="F97" s="1" t="s">
        <v>53</v>
      </c>
      <c r="G97" s="1" t="s">
        <v>2203</v>
      </c>
      <c r="H97" s="1" t="s">
        <v>1996</v>
      </c>
      <c r="I97" s="1" t="s">
        <v>49</v>
      </c>
      <c r="J97" s="1">
        <v>6</v>
      </c>
      <c r="K97" s="1" t="s">
        <v>662</v>
      </c>
      <c r="L97" s="1" t="str" cm="1">
        <f t="array" ref="L97">_xlfn.REGEXEXTRACT(B97,"(?&lt;=//)[^/]+")</f>
        <v>www.porntrex.com</v>
      </c>
      <c r="M97" s="1" t="s">
        <v>456</v>
      </c>
      <c r="N97" s="1" t="s">
        <v>649</v>
      </c>
      <c r="O97" s="1" t="str" cm="1">
        <f t="array" ref="O97">IF(N97&lt;&gt;"NtApp",_xlfn.REGEXEXTRACT(N97,"\d+(?=p)"),"NtApp")</f>
        <v>1080</v>
      </c>
      <c r="P97" s="1" t="s">
        <v>655</v>
      </c>
      <c r="Q97" s="1" t="b">
        <f t="shared" si="3"/>
        <v>0</v>
      </c>
      <c r="R97" s="1" t="s">
        <v>650</v>
      </c>
      <c r="S97" s="1" t="s">
        <v>657</v>
      </c>
      <c r="T97" s="1">
        <v>0</v>
      </c>
    </row>
    <row r="98" spans="1:20" ht="30" x14ac:dyDescent="0.25">
      <c r="A98" s="1" t="str">
        <f t="shared" si="2"/>
        <v>Done</v>
      </c>
      <c r="B98" s="1" t="s">
        <v>520</v>
      </c>
      <c r="C98" s="1">
        <v>12</v>
      </c>
      <c r="D98" s="1" t="s">
        <v>835</v>
      </c>
      <c r="E98" s="1" t="s">
        <v>518</v>
      </c>
      <c r="F98" s="1" t="s">
        <v>53</v>
      </c>
      <c r="G98" s="1" t="s">
        <v>2266</v>
      </c>
      <c r="H98" s="1" t="s">
        <v>469</v>
      </c>
      <c r="I98" s="1" t="s">
        <v>49</v>
      </c>
      <c r="J98" s="1">
        <v>6</v>
      </c>
      <c r="K98" s="1" t="s">
        <v>527</v>
      </c>
      <c r="L98" s="1" t="str" cm="1">
        <f t="array" ref="L98">_xlfn.REGEXEXTRACT(B98,"(?&lt;=//)[^/]+")</f>
        <v>www.eporner.com</v>
      </c>
      <c r="M98" s="1" t="s">
        <v>457</v>
      </c>
      <c r="N98" s="1" t="s">
        <v>1740</v>
      </c>
      <c r="O98" s="1" t="str" cm="1">
        <f t="array" ref="O98">IF(N98&lt;&gt;"NtApp",_xlfn.REGEXEXTRACT(N98,"\d+(?=p)"),"NtApp")</f>
        <v>NtApp</v>
      </c>
      <c r="P98" s="1" t="s">
        <v>1740</v>
      </c>
      <c r="Q98" s="1" t="b">
        <f t="shared" si="3"/>
        <v>0</v>
      </c>
      <c r="R98" s="1" t="s">
        <v>1740</v>
      </c>
      <c r="S98" s="1" t="s">
        <v>1307</v>
      </c>
      <c r="T98" s="1">
        <v>0</v>
      </c>
    </row>
    <row r="99" spans="1:20" ht="30" x14ac:dyDescent="0.25">
      <c r="A99" s="1" t="str">
        <f t="shared" si="2"/>
        <v>Done</v>
      </c>
      <c r="B99" s="1" t="s">
        <v>674</v>
      </c>
      <c r="C99" s="1">
        <v>19</v>
      </c>
      <c r="D99" s="1" t="s">
        <v>577</v>
      </c>
      <c r="E99" s="1" t="s">
        <v>182</v>
      </c>
      <c r="F99" s="1" t="s">
        <v>53</v>
      </c>
      <c r="G99" s="1" t="s">
        <v>1155</v>
      </c>
      <c r="H99" s="1" t="s">
        <v>776</v>
      </c>
      <c r="I99" s="1" t="s">
        <v>49</v>
      </c>
      <c r="J99" s="1">
        <v>6</v>
      </c>
      <c r="K99" s="1" t="s">
        <v>1156</v>
      </c>
      <c r="L99" s="1" t="str" cm="1">
        <f t="array" ref="L99">_xlfn.REGEXEXTRACT(B99,"(?&lt;=//)[^/]+")</f>
        <v>hcbdsm.com</v>
      </c>
      <c r="M99" s="1" t="s">
        <v>457</v>
      </c>
      <c r="N99" s="1" t="s">
        <v>1740</v>
      </c>
      <c r="O99" s="1" t="str" cm="1">
        <f t="array" ref="O99">IF(N99&lt;&gt;"NtApp",_xlfn.REGEXEXTRACT(N99,"\d+(?=p)"),"NtApp")</f>
        <v>NtApp</v>
      </c>
      <c r="P99" s="1" t="s">
        <v>1740</v>
      </c>
      <c r="Q99" s="1" t="b">
        <f t="shared" si="3"/>
        <v>0</v>
      </c>
      <c r="R99" s="1" t="s">
        <v>1154</v>
      </c>
      <c r="S99" s="1" t="s">
        <v>1154</v>
      </c>
      <c r="T99" s="1">
        <v>0</v>
      </c>
    </row>
    <row r="100" spans="1:20" ht="30" x14ac:dyDescent="0.25">
      <c r="A100" s="1" t="str">
        <f t="shared" si="2"/>
        <v>Done</v>
      </c>
      <c r="B100" s="1" t="s">
        <v>202</v>
      </c>
      <c r="C100" s="1">
        <v>20</v>
      </c>
      <c r="D100" s="1" t="s">
        <v>835</v>
      </c>
      <c r="E100" s="1" t="s">
        <v>1789</v>
      </c>
      <c r="F100" s="1" t="s">
        <v>53</v>
      </c>
      <c r="G100" s="1" t="s">
        <v>410</v>
      </c>
      <c r="H100" s="1" t="s">
        <v>434</v>
      </c>
      <c r="I100" s="1" t="s">
        <v>205</v>
      </c>
      <c r="J100" s="1">
        <v>6</v>
      </c>
      <c r="K100" s="1" t="s">
        <v>412</v>
      </c>
      <c r="L100" s="1" t="str" cm="1">
        <f t="array" ref="L100">_xlfn.REGEXEXTRACT(B100,"(?&lt;=//)[^/]+")</f>
        <v>punishworld.com</v>
      </c>
      <c r="M100" s="1" t="s">
        <v>457</v>
      </c>
      <c r="N100" s="1" t="s">
        <v>1740</v>
      </c>
      <c r="O100" s="1" t="str" cm="1">
        <f t="array" ref="O100">IF(N100&lt;&gt;"NtApp",_xlfn.REGEXEXTRACT(N100,"\d+(?=p)"),"NtApp")</f>
        <v>NtApp</v>
      </c>
      <c r="P100" s="1" t="s">
        <v>1740</v>
      </c>
      <c r="Q100" s="1" t="b">
        <f t="shared" si="3"/>
        <v>0</v>
      </c>
      <c r="R100" s="1" t="s">
        <v>1740</v>
      </c>
      <c r="S100" s="1" t="s">
        <v>1306</v>
      </c>
      <c r="T100" s="1">
        <v>0</v>
      </c>
    </row>
    <row r="101" spans="1:20" ht="40.5" customHeight="1" x14ac:dyDescent="0.25">
      <c r="A101" s="1" t="str">
        <f t="shared" si="2"/>
        <v>Done</v>
      </c>
      <c r="B101" s="1" t="s">
        <v>266</v>
      </c>
      <c r="C101" s="1">
        <v>21</v>
      </c>
      <c r="D101" s="1" t="s">
        <v>835</v>
      </c>
      <c r="E101" s="1" t="s">
        <v>267</v>
      </c>
      <c r="F101" s="1" t="s">
        <v>63</v>
      </c>
      <c r="G101" s="1" t="s">
        <v>328</v>
      </c>
      <c r="H101" s="1" t="s">
        <v>469</v>
      </c>
      <c r="I101" s="1" t="s">
        <v>49</v>
      </c>
      <c r="J101" s="1">
        <v>6</v>
      </c>
      <c r="K101" s="1" t="s">
        <v>327</v>
      </c>
      <c r="L101" s="1" t="str" cm="1">
        <f t="array" ref="L101">_xlfn.REGEXEXTRACT(B101,"(?&lt;=//)[^/]+")</f>
        <v>xhamster44.desi</v>
      </c>
      <c r="M101" s="1" t="s">
        <v>457</v>
      </c>
      <c r="N101" s="1" t="s">
        <v>1740</v>
      </c>
      <c r="O101" s="1" t="str" cm="1">
        <f t="array" ref="O101">IF(N101&lt;&gt;"NtApp",_xlfn.REGEXEXTRACT(N101,"\d+(?=p)"),"NtApp")</f>
        <v>NtApp</v>
      </c>
      <c r="P101" s="1" t="s">
        <v>1740</v>
      </c>
      <c r="Q101" s="1" t="b">
        <f t="shared" si="3"/>
        <v>0</v>
      </c>
      <c r="R101" s="1" t="s">
        <v>1818</v>
      </c>
      <c r="S101" s="1" t="s">
        <v>1818</v>
      </c>
      <c r="T101" s="1">
        <v>0</v>
      </c>
    </row>
    <row r="102" spans="1:20" x14ac:dyDescent="0.25">
      <c r="A102" s="1" t="str">
        <f t="shared" si="2"/>
        <v>Done</v>
      </c>
      <c r="B102" s="1" t="s">
        <v>111</v>
      </c>
      <c r="C102" s="1">
        <v>23</v>
      </c>
      <c r="D102" s="1" t="s">
        <v>73</v>
      </c>
      <c r="E102" s="1" t="s">
        <v>294</v>
      </c>
      <c r="F102" s="1" t="s">
        <v>54</v>
      </c>
      <c r="G102" s="1" t="s">
        <v>2275</v>
      </c>
      <c r="H102" s="1" t="s">
        <v>61</v>
      </c>
      <c r="I102" s="1" t="s">
        <v>49</v>
      </c>
      <c r="J102" s="1">
        <v>6</v>
      </c>
      <c r="K102" s="1" t="s">
        <v>123</v>
      </c>
      <c r="L102" s="1" t="str" cm="1">
        <f t="array" ref="L102">_xlfn.REGEXEXTRACT(B102,"(?&lt;=//)[^/]+")</f>
        <v>heavyfetish.com</v>
      </c>
      <c r="M102" s="1" t="s">
        <v>457</v>
      </c>
      <c r="N102" s="1" t="s">
        <v>1740</v>
      </c>
      <c r="O102" s="1" t="str" cm="1">
        <f t="array" ref="O102">IF(N102&lt;&gt;"NtApp",_xlfn.REGEXEXTRACT(N102,"\d+(?=p)"),"NtApp")</f>
        <v>NtApp</v>
      </c>
      <c r="P102" s="1" t="s">
        <v>1740</v>
      </c>
      <c r="Q102" s="1" t="b">
        <f t="shared" si="3"/>
        <v>1</v>
      </c>
      <c r="R102" s="1" t="s">
        <v>1305</v>
      </c>
      <c r="S102" s="1" t="s">
        <v>1305</v>
      </c>
      <c r="T102" s="1">
        <v>0</v>
      </c>
    </row>
    <row r="103" spans="1:20" ht="60" x14ac:dyDescent="0.25">
      <c r="A103" s="1" t="str">
        <f t="shared" si="2"/>
        <v>Done</v>
      </c>
      <c r="B103" s="1" t="s">
        <v>1105</v>
      </c>
      <c r="C103" s="1">
        <v>27</v>
      </c>
      <c r="D103" s="1" t="s">
        <v>1297</v>
      </c>
      <c r="E103" s="1" t="s">
        <v>1106</v>
      </c>
      <c r="F103" s="1" t="s">
        <v>53</v>
      </c>
      <c r="G103" s="1" t="s">
        <v>2314</v>
      </c>
      <c r="H103" s="1" t="s">
        <v>2313</v>
      </c>
      <c r="I103" s="1" t="s">
        <v>49</v>
      </c>
      <c r="J103" s="1">
        <v>6</v>
      </c>
      <c r="K103" s="1" t="s">
        <v>2315</v>
      </c>
      <c r="L103" s="1" t="str" cm="1">
        <f t="array" ref="L103">_xlfn.REGEXEXTRACT(B103,"(?&lt;=//)[^/]+")</f>
        <v>bdsmmansion.com</v>
      </c>
      <c r="M103" s="1" t="s">
        <v>457</v>
      </c>
      <c r="N103" s="1" t="s">
        <v>1740</v>
      </c>
      <c r="O103" s="1" t="str" cm="1">
        <f t="array" ref="O103">IF(N103&lt;&gt;"NtApp",_xlfn.REGEXEXTRACT(N103,"\d+(?=p)"),"NtApp")</f>
        <v>NtApp</v>
      </c>
      <c r="P103" s="1" t="s">
        <v>1740</v>
      </c>
      <c r="Q103" s="1" t="b">
        <f t="shared" si="3"/>
        <v>0</v>
      </c>
      <c r="R103" s="1" t="s">
        <v>1464</v>
      </c>
      <c r="S103" s="1" t="s">
        <v>1462</v>
      </c>
      <c r="T103" s="1">
        <v>0</v>
      </c>
    </row>
    <row r="104" spans="1:20" ht="45" x14ac:dyDescent="0.25">
      <c r="A104" s="1" t="str">
        <f t="shared" si="2"/>
        <v>Done</v>
      </c>
      <c r="B104" s="1" t="s">
        <v>27</v>
      </c>
      <c r="C104" s="1">
        <v>31</v>
      </c>
      <c r="D104" s="1" t="s">
        <v>1289</v>
      </c>
      <c r="E104" s="1" t="s">
        <v>280</v>
      </c>
      <c r="F104" s="1" t="s">
        <v>53</v>
      </c>
      <c r="G104" s="1" t="s">
        <v>819</v>
      </c>
      <c r="H104" s="1" t="s">
        <v>420</v>
      </c>
      <c r="I104" s="1" t="s">
        <v>49</v>
      </c>
      <c r="J104" s="1">
        <v>6</v>
      </c>
      <c r="K104" s="1" t="s">
        <v>422</v>
      </c>
      <c r="L104" s="1" t="str" cm="1">
        <f t="array" ref="L104">_xlfn.REGEXEXTRACT(B104,"(?&lt;=//)[^/]+")</f>
        <v>bdsmstreak.com</v>
      </c>
      <c r="M104" s="1" t="s">
        <v>457</v>
      </c>
      <c r="N104" s="1" t="s">
        <v>1740</v>
      </c>
      <c r="O104" s="1" t="str" cm="1">
        <f t="array" ref="O104">IF(N104&lt;&gt;"NtApp",_xlfn.REGEXEXTRACT(N104,"\d+(?=p)"),"NtApp")</f>
        <v>NtApp</v>
      </c>
      <c r="P104" s="1" t="s">
        <v>1740</v>
      </c>
      <c r="Q104" s="1" t="b">
        <f t="shared" si="3"/>
        <v>1</v>
      </c>
      <c r="R104" s="1" t="s">
        <v>1286</v>
      </c>
      <c r="S104" s="1" t="s">
        <v>1285</v>
      </c>
      <c r="T104" s="1">
        <v>0</v>
      </c>
    </row>
    <row r="105" spans="1:20" ht="30" x14ac:dyDescent="0.25">
      <c r="A105" s="1" t="str">
        <f t="shared" si="2"/>
        <v>Done</v>
      </c>
      <c r="B105" s="1" t="s">
        <v>1359</v>
      </c>
      <c r="C105" s="1">
        <v>32</v>
      </c>
      <c r="D105" s="1" t="s">
        <v>835</v>
      </c>
      <c r="E105" s="1" t="s">
        <v>837</v>
      </c>
      <c r="F105" s="1" t="s">
        <v>128</v>
      </c>
      <c r="G105" s="1" t="s">
        <v>1409</v>
      </c>
      <c r="H105" s="1" t="s">
        <v>61</v>
      </c>
      <c r="I105" s="1" t="s">
        <v>49</v>
      </c>
      <c r="J105" s="1">
        <v>6</v>
      </c>
      <c r="K105" s="1" t="s">
        <v>1820</v>
      </c>
      <c r="L105" s="1" t="str" cm="1">
        <f t="array" ref="L105">_xlfn.REGEXEXTRACT(B105,"(?&lt;=//)[^/]+")</f>
        <v>abxxx.com</v>
      </c>
      <c r="M105" s="1" t="s">
        <v>457</v>
      </c>
      <c r="N105" s="1" t="s">
        <v>1740</v>
      </c>
      <c r="O105" s="1" t="str" cm="1">
        <f t="array" ref="O105">IF(N105&lt;&gt;"NtApp",_xlfn.REGEXEXTRACT(N105,"\d+(?=p)"),"NtApp")</f>
        <v>NtApp</v>
      </c>
      <c r="P105" s="1" t="s">
        <v>1740</v>
      </c>
      <c r="Q105" s="1" t="b">
        <f t="shared" si="3"/>
        <v>0</v>
      </c>
      <c r="R105" s="1" t="s">
        <v>1740</v>
      </c>
      <c r="S105" s="1" t="s">
        <v>1360</v>
      </c>
      <c r="T105" s="1">
        <v>0</v>
      </c>
    </row>
    <row r="106" spans="1:20" ht="30" x14ac:dyDescent="0.25">
      <c r="A106" s="1" t="str">
        <f t="shared" si="2"/>
        <v>Done</v>
      </c>
      <c r="B106" s="1" t="s">
        <v>1304</v>
      </c>
      <c r="C106" s="1">
        <v>33</v>
      </c>
      <c r="D106" s="1" t="s">
        <v>835</v>
      </c>
      <c r="E106" s="1" t="s">
        <v>1302</v>
      </c>
      <c r="F106" s="1" t="s">
        <v>54</v>
      </c>
      <c r="G106" s="1" t="s">
        <v>2239</v>
      </c>
      <c r="H106" s="1" t="s">
        <v>322</v>
      </c>
      <c r="I106" s="1" t="s">
        <v>49</v>
      </c>
      <c r="J106" s="1">
        <v>6</v>
      </c>
      <c r="K106" s="1" t="s">
        <v>545</v>
      </c>
      <c r="L106" s="1" t="str" cm="1">
        <f t="array" ref="L106">_xlfn.REGEXEXTRACT(B106,"(?&lt;=//)[^/]+")</f>
        <v>ok.porn</v>
      </c>
      <c r="M106" s="1" t="s">
        <v>457</v>
      </c>
      <c r="N106" s="1" t="s">
        <v>1740</v>
      </c>
      <c r="O106" s="1" t="str" cm="1">
        <f t="array" ref="O106">IF(N106&lt;&gt;"NtApp",_xlfn.REGEXEXTRACT(N106,"\d+(?=p)"),"NtApp")</f>
        <v>NtApp</v>
      </c>
      <c r="P106" s="1" t="s">
        <v>1740</v>
      </c>
      <c r="Q106" s="1" t="b">
        <f t="shared" si="3"/>
        <v>1</v>
      </c>
      <c r="R106" s="1" t="s">
        <v>1303</v>
      </c>
      <c r="S106" s="1" t="s">
        <v>1303</v>
      </c>
      <c r="T106" s="1">
        <v>0</v>
      </c>
    </row>
    <row r="107" spans="1:20" ht="30" x14ac:dyDescent="0.25">
      <c r="A107" s="1" t="str">
        <f t="shared" si="2"/>
        <v>Done</v>
      </c>
      <c r="B107" s="1" t="s">
        <v>467</v>
      </c>
      <c r="C107" s="1">
        <v>34</v>
      </c>
      <c r="D107" s="1" t="s">
        <v>835</v>
      </c>
      <c r="E107" s="1" t="s">
        <v>921</v>
      </c>
      <c r="F107" s="1" t="s">
        <v>63</v>
      </c>
      <c r="G107" s="1" t="s">
        <v>2253</v>
      </c>
      <c r="H107" s="1" t="s">
        <v>2026</v>
      </c>
      <c r="I107" s="1" t="s">
        <v>49</v>
      </c>
      <c r="J107" s="1">
        <v>6</v>
      </c>
      <c r="K107" s="1" t="s">
        <v>478</v>
      </c>
      <c r="L107" s="1" t="str" cm="1">
        <f t="array" ref="L107">_xlfn.REGEXEXTRACT(B107,"(?&lt;=//)[^/]+")</f>
        <v>www.xozilla.xxx</v>
      </c>
      <c r="M107" s="1" t="s">
        <v>457</v>
      </c>
      <c r="N107" s="1" t="s">
        <v>1740</v>
      </c>
      <c r="O107" s="1" t="str" cm="1">
        <f t="array" ref="O107">IF(N107&lt;&gt;"NtApp",_xlfn.REGEXEXTRACT(N107,"\d+(?=p)"),"NtApp")</f>
        <v>NtApp</v>
      </c>
      <c r="P107" s="1" t="s">
        <v>1740</v>
      </c>
      <c r="Q107" s="1" t="b">
        <f t="shared" si="3"/>
        <v>0</v>
      </c>
      <c r="R107" s="1" t="s">
        <v>1301</v>
      </c>
      <c r="S107" s="1" t="s">
        <v>1300</v>
      </c>
      <c r="T107" s="1">
        <v>0</v>
      </c>
    </row>
    <row r="108" spans="1:20" ht="60" x14ac:dyDescent="0.25">
      <c r="A108" s="1" t="str">
        <f t="shared" si="2"/>
        <v>Done</v>
      </c>
      <c r="B108" s="1" t="s">
        <v>496</v>
      </c>
      <c r="C108" s="1">
        <v>39</v>
      </c>
      <c r="D108" s="1" t="s">
        <v>577</v>
      </c>
      <c r="E108" s="1" t="s">
        <v>497</v>
      </c>
      <c r="F108" s="1" t="s">
        <v>53</v>
      </c>
      <c r="G108" s="1" t="s">
        <v>2202</v>
      </c>
      <c r="H108" s="1" t="s">
        <v>529</v>
      </c>
      <c r="I108" s="1" t="s">
        <v>49</v>
      </c>
      <c r="J108" s="1">
        <v>6</v>
      </c>
      <c r="K108" s="1" t="s">
        <v>528</v>
      </c>
      <c r="L108" s="1" t="str" cm="1">
        <f t="array" ref="L108">_xlfn.REGEXEXTRACT(B108,"(?&lt;=//)[^/]+")</f>
        <v>www.eporner.com</v>
      </c>
      <c r="M108" s="1" t="s">
        <v>457</v>
      </c>
      <c r="N108" s="1" t="s">
        <v>1740</v>
      </c>
      <c r="O108" s="1" t="str" cm="1">
        <f t="array" ref="O108">IF(N108&lt;&gt;"NtApp",_xlfn.REGEXEXTRACT(N108,"\d+(?=p)"),"NtApp")</f>
        <v>NtApp</v>
      </c>
      <c r="P108" s="1" t="s">
        <v>1740</v>
      </c>
      <c r="Q108" s="1" t="b">
        <f t="shared" si="3"/>
        <v>0</v>
      </c>
      <c r="R108" s="1" t="s">
        <v>1299</v>
      </c>
      <c r="S108" s="1" t="s">
        <v>1298</v>
      </c>
      <c r="T108" s="1">
        <v>0</v>
      </c>
    </row>
    <row r="109" spans="1:20" ht="45" x14ac:dyDescent="0.25">
      <c r="A109" s="1" t="str">
        <f t="shared" si="2"/>
        <v>Done</v>
      </c>
      <c r="B109" s="1" t="s">
        <v>1284</v>
      </c>
      <c r="C109" s="1">
        <v>39</v>
      </c>
      <c r="D109" s="1" t="s">
        <v>1289</v>
      </c>
      <c r="E109" s="1" t="s">
        <v>137</v>
      </c>
      <c r="F109" s="1" t="s">
        <v>53</v>
      </c>
      <c r="G109" s="1" t="s">
        <v>2236</v>
      </c>
      <c r="H109" s="1" t="s">
        <v>2016</v>
      </c>
      <c r="I109" s="1" t="s">
        <v>49</v>
      </c>
      <c r="J109" s="1">
        <v>6</v>
      </c>
      <c r="K109" s="1" t="s">
        <v>138</v>
      </c>
      <c r="L109" s="1" t="str" cm="1">
        <f t="array" ref="L109">_xlfn.REGEXEXTRACT(B109,"(?&lt;=//)[^/]+")</f>
        <v>bdsmstreak.com</v>
      </c>
      <c r="M109" s="1" t="s">
        <v>457</v>
      </c>
      <c r="N109" s="1" t="s">
        <v>1740</v>
      </c>
      <c r="O109" s="1" t="str" cm="1">
        <f t="array" ref="O109">IF(N109&lt;&gt;"NtApp",_xlfn.REGEXEXTRACT(N109,"\d+(?=p)"),"NtApp")</f>
        <v>NtApp</v>
      </c>
      <c r="P109" s="1" t="s">
        <v>1740</v>
      </c>
      <c r="Q109" s="1" t="b">
        <f t="shared" si="3"/>
        <v>0</v>
      </c>
      <c r="R109" s="1" t="s">
        <v>1283</v>
      </c>
      <c r="S109" s="1" t="s">
        <v>1282</v>
      </c>
      <c r="T109" s="1">
        <v>0</v>
      </c>
    </row>
    <row r="110" spans="1:20" ht="30" x14ac:dyDescent="0.25">
      <c r="A110" s="1" t="str">
        <f t="shared" si="2"/>
        <v>Done</v>
      </c>
      <c r="B110" s="1" t="s">
        <v>108</v>
      </c>
      <c r="C110" s="1">
        <v>40</v>
      </c>
      <c r="D110" s="1" t="s">
        <v>139</v>
      </c>
      <c r="E110" s="1" t="s">
        <v>828</v>
      </c>
      <c r="F110" s="1" t="s">
        <v>127</v>
      </c>
      <c r="G110" s="1" t="s">
        <v>827</v>
      </c>
      <c r="H110" s="1" t="s">
        <v>310</v>
      </c>
      <c r="I110" s="1" t="s">
        <v>49</v>
      </c>
      <c r="J110" s="1">
        <v>6</v>
      </c>
      <c r="K110" s="1" t="s">
        <v>140</v>
      </c>
      <c r="L110" s="1" t="str" cm="1">
        <f t="array" ref="L110">_xlfn.REGEXEXTRACT(B110,"(?&lt;=//)[^/]+")</f>
        <v>www.tnaflix.com</v>
      </c>
      <c r="M110" s="1" t="s">
        <v>457</v>
      </c>
      <c r="N110" s="1" t="s">
        <v>1740</v>
      </c>
      <c r="O110" s="1" t="str" cm="1">
        <f t="array" ref="O110">IF(N110&lt;&gt;"NtApp",_xlfn.REGEXEXTRACT(N110,"\d+(?=p)"),"NtApp")</f>
        <v>NtApp</v>
      </c>
      <c r="P110" s="1" t="s">
        <v>1740</v>
      </c>
      <c r="Q110" s="1" t="b">
        <f t="shared" si="3"/>
        <v>1</v>
      </c>
      <c r="R110" s="1" t="s">
        <v>1281</v>
      </c>
      <c r="S110" s="1" t="s">
        <v>1280</v>
      </c>
      <c r="T110" s="1">
        <v>0</v>
      </c>
    </row>
    <row r="111" spans="1:20" ht="45" x14ac:dyDescent="0.25">
      <c r="A111" s="1" t="str">
        <f t="shared" si="2"/>
        <v>Done</v>
      </c>
      <c r="B111" s="1" t="s">
        <v>958</v>
      </c>
      <c r="C111" s="1">
        <v>43</v>
      </c>
      <c r="D111" s="1" t="s">
        <v>577</v>
      </c>
      <c r="E111" s="1" t="s">
        <v>230</v>
      </c>
      <c r="F111" s="1" t="s">
        <v>53</v>
      </c>
      <c r="G111" s="1" t="s">
        <v>2331</v>
      </c>
      <c r="H111" s="1" t="s">
        <v>1986</v>
      </c>
      <c r="I111" s="1" t="s">
        <v>49</v>
      </c>
      <c r="J111" s="1">
        <v>6</v>
      </c>
      <c r="K111" s="1" t="s">
        <v>2332</v>
      </c>
      <c r="L111" s="1" t="str" cm="1">
        <f t="array" ref="L111">_xlfn.REGEXEXTRACT(B111,"(?&lt;=//)[^/]+")</f>
        <v>bdsmstreak.com</v>
      </c>
      <c r="M111" s="1" t="s">
        <v>457</v>
      </c>
      <c r="N111" s="1" t="s">
        <v>1740</v>
      </c>
      <c r="O111" s="1" t="str" cm="1">
        <f t="array" ref="O111">IF(N111&lt;&gt;"NtApp",_xlfn.REGEXEXTRACT(N111,"\d+(?=p)"),"NtApp")</f>
        <v>NtApp</v>
      </c>
      <c r="P111" s="1" t="s">
        <v>1740</v>
      </c>
      <c r="Q111" s="1" t="b">
        <f t="shared" si="3"/>
        <v>0</v>
      </c>
      <c r="R111" s="1" t="s">
        <v>1593</v>
      </c>
      <c r="S111" s="1" t="s">
        <v>1593</v>
      </c>
      <c r="T111" s="1">
        <v>5</v>
      </c>
    </row>
    <row r="112" spans="1:20" ht="30" x14ac:dyDescent="0.25">
      <c r="A112" s="1" t="str">
        <f t="shared" si="2"/>
        <v>Done</v>
      </c>
      <c r="B112" s="1" t="s">
        <v>29</v>
      </c>
      <c r="C112" s="1">
        <v>44</v>
      </c>
      <c r="D112" s="1" t="s">
        <v>1290</v>
      </c>
      <c r="E112" s="1" t="s">
        <v>145</v>
      </c>
      <c r="F112" s="1" t="s">
        <v>53</v>
      </c>
      <c r="G112" s="1" t="s">
        <v>2256</v>
      </c>
      <c r="H112" s="1" t="s">
        <v>1990</v>
      </c>
      <c r="I112" s="1" t="s">
        <v>49</v>
      </c>
      <c r="J112" s="1">
        <v>6</v>
      </c>
      <c r="K112" s="1" t="s">
        <v>146</v>
      </c>
      <c r="L112" s="1" t="str" cm="1">
        <f t="array" ref="L112">_xlfn.REGEXEXTRACT(B112,"(?&lt;=//)[^/]+")</f>
        <v>heavyfetish.com</v>
      </c>
      <c r="M112" s="1" t="s">
        <v>457</v>
      </c>
      <c r="N112" s="1" t="s">
        <v>1740</v>
      </c>
      <c r="O112" s="1" t="str" cm="1">
        <f t="array" ref="O112">IF(N112&lt;&gt;"NtApp",_xlfn.REGEXEXTRACT(N112,"\d+(?=p)"),"NtApp")</f>
        <v>NtApp</v>
      </c>
      <c r="P112" s="1" t="s">
        <v>1740</v>
      </c>
      <c r="Q112" s="1" t="b">
        <f t="shared" si="3"/>
        <v>0</v>
      </c>
      <c r="R112" s="1" t="s">
        <v>1279</v>
      </c>
      <c r="S112" s="1" t="s">
        <v>1278</v>
      </c>
      <c r="T112" s="1">
        <v>0</v>
      </c>
    </row>
    <row r="113" spans="1:20" ht="45" x14ac:dyDescent="0.25">
      <c r="A113" s="1" t="str">
        <f t="shared" si="2"/>
        <v>Done</v>
      </c>
      <c r="B113" s="1" t="s">
        <v>90</v>
      </c>
      <c r="C113" s="1">
        <v>45</v>
      </c>
      <c r="D113" s="1" t="s">
        <v>566</v>
      </c>
      <c r="E113" s="1" t="s">
        <v>117</v>
      </c>
      <c r="F113" s="1" t="s">
        <v>53</v>
      </c>
      <c r="G113" s="1" t="s">
        <v>2301</v>
      </c>
      <c r="H113" s="1" t="s">
        <v>1954</v>
      </c>
      <c r="I113" s="1" t="s">
        <v>49</v>
      </c>
      <c r="J113" s="1">
        <v>6</v>
      </c>
      <c r="K113" s="1" t="s">
        <v>2300</v>
      </c>
      <c r="L113" s="1" t="str" cm="1">
        <f t="array" ref="L113">_xlfn.REGEXEXTRACT(B113,"(?&lt;=//)[^/]+")</f>
        <v>m.hqporner.com</v>
      </c>
      <c r="M113" s="1" t="s">
        <v>457</v>
      </c>
      <c r="N113" s="1" t="s">
        <v>1740</v>
      </c>
      <c r="O113" s="1" t="str" cm="1">
        <f t="array" ref="O113">IF(N113&lt;&gt;"NtApp",_xlfn.REGEXEXTRACT(N113,"\d+(?=p)"),"NtApp")</f>
        <v>NtApp</v>
      </c>
      <c r="P113" s="1" t="s">
        <v>1740</v>
      </c>
      <c r="Q113" s="1" t="b">
        <f t="shared" si="3"/>
        <v>0</v>
      </c>
      <c r="R113" s="1" t="s">
        <v>1277</v>
      </c>
      <c r="S113" s="1" t="s">
        <v>1276</v>
      </c>
      <c r="T113" s="1">
        <v>0</v>
      </c>
    </row>
    <row r="114" spans="1:20" ht="30" x14ac:dyDescent="0.25">
      <c r="A114" s="1" t="str">
        <f t="shared" si="2"/>
        <v>Done</v>
      </c>
      <c r="B114" s="1" t="s">
        <v>1273</v>
      </c>
      <c r="C114" s="1">
        <v>46</v>
      </c>
      <c r="D114" s="1" t="s">
        <v>1289</v>
      </c>
      <c r="E114" s="1" t="s">
        <v>117</v>
      </c>
      <c r="F114" s="1" t="s">
        <v>53</v>
      </c>
      <c r="G114" s="1" t="s">
        <v>2247</v>
      </c>
      <c r="H114" s="1" t="s">
        <v>1991</v>
      </c>
      <c r="I114" s="1" t="s">
        <v>49</v>
      </c>
      <c r="J114" s="1">
        <v>6</v>
      </c>
      <c r="K114" s="1" t="s">
        <v>181</v>
      </c>
      <c r="L114" s="1" t="str" cm="1">
        <f t="array" ref="L114">_xlfn.REGEXEXTRACT(B114,"(?&lt;=//)[^/]+")</f>
        <v>bdsmstreak.com</v>
      </c>
      <c r="M114" s="1" t="s">
        <v>457</v>
      </c>
      <c r="N114" s="1" t="s">
        <v>1740</v>
      </c>
      <c r="O114" s="1" t="str" cm="1">
        <f t="array" ref="O114">IF(N114&lt;&gt;"NtApp",_xlfn.REGEXEXTRACT(N114,"\d+(?=p)"),"NtApp")</f>
        <v>NtApp</v>
      </c>
      <c r="P114" s="1" t="s">
        <v>1740</v>
      </c>
      <c r="Q114" s="1" t="b">
        <f t="shared" si="3"/>
        <v>0</v>
      </c>
      <c r="R114" s="1" t="s">
        <v>1275</v>
      </c>
      <c r="S114" s="1" t="s">
        <v>1274</v>
      </c>
      <c r="T114" s="1">
        <v>0</v>
      </c>
    </row>
    <row r="115" spans="1:20" ht="45" x14ac:dyDescent="0.25">
      <c r="A115" s="1" t="str">
        <f t="shared" si="2"/>
        <v>Done</v>
      </c>
      <c r="B115" s="1" t="s">
        <v>777</v>
      </c>
      <c r="C115" s="1">
        <v>46</v>
      </c>
      <c r="D115" s="1" t="s">
        <v>567</v>
      </c>
      <c r="E115" s="1" t="s">
        <v>778</v>
      </c>
      <c r="F115" s="1" t="s">
        <v>63</v>
      </c>
      <c r="G115" s="1" t="s">
        <v>2279</v>
      </c>
      <c r="H115" s="1" t="s">
        <v>638</v>
      </c>
      <c r="I115" s="1" t="s">
        <v>49</v>
      </c>
      <c r="J115" s="1">
        <v>6</v>
      </c>
      <c r="K115" s="1" t="s">
        <v>2170</v>
      </c>
      <c r="L115" s="1" t="str" cm="1">
        <f t="array" ref="L115">_xlfn.REGEXEXTRACT(B115,"(?&lt;=//)[^/]+")</f>
        <v>bdsmstreak.com</v>
      </c>
      <c r="M115" s="1" t="s">
        <v>457</v>
      </c>
      <c r="N115" s="1" t="s">
        <v>1740</v>
      </c>
      <c r="O115" s="1" t="str" cm="1">
        <f t="array" ref="O115">IF(N115&lt;&gt;"NtApp",_xlfn.REGEXEXTRACT(N115,"\d+(?=p)"),"NtApp")</f>
        <v>NtApp</v>
      </c>
      <c r="P115" s="1" t="s">
        <v>1740</v>
      </c>
      <c r="Q115" s="1" t="b">
        <f t="shared" si="3"/>
        <v>0</v>
      </c>
      <c r="R115" s="1" t="s">
        <v>1492</v>
      </c>
      <c r="S115" s="1" t="s">
        <v>1492</v>
      </c>
      <c r="T115" s="1">
        <v>0</v>
      </c>
    </row>
    <row r="116" spans="1:20" ht="45" x14ac:dyDescent="0.25">
      <c r="A116" s="1" t="str">
        <f t="shared" si="2"/>
        <v>Done</v>
      </c>
      <c r="B116" s="1" t="s">
        <v>4</v>
      </c>
      <c r="C116" s="1">
        <v>48</v>
      </c>
      <c r="D116" s="1" t="s">
        <v>118</v>
      </c>
      <c r="E116" s="1" t="s">
        <v>167</v>
      </c>
      <c r="F116" s="1" t="s">
        <v>53</v>
      </c>
      <c r="G116" s="1" t="s">
        <v>2248</v>
      </c>
      <c r="H116" s="1" t="s">
        <v>1977</v>
      </c>
      <c r="I116" s="1" t="s">
        <v>49</v>
      </c>
      <c r="J116" s="1">
        <v>6</v>
      </c>
      <c r="K116" s="1" t="s">
        <v>1811</v>
      </c>
      <c r="L116" s="1" t="str" cm="1">
        <f t="array" ref="L116">_xlfn.REGEXEXTRACT(B116,"(?&lt;=//)[^/]+")</f>
        <v>heavyfetish.com</v>
      </c>
      <c r="M116" s="1" t="s">
        <v>457</v>
      </c>
      <c r="N116" s="1" t="s">
        <v>1740</v>
      </c>
      <c r="O116" s="1" t="str" cm="1">
        <f t="array" ref="O116">IF(N116&lt;&gt;"NtApp",_xlfn.REGEXEXTRACT(N116,"\d+(?=p)"),"NtApp")</f>
        <v>NtApp</v>
      </c>
      <c r="P116" s="1" t="s">
        <v>1740</v>
      </c>
      <c r="Q116" s="1" t="b">
        <f t="shared" si="3"/>
        <v>0</v>
      </c>
      <c r="R116" s="1" t="s">
        <v>1272</v>
      </c>
      <c r="S116" s="1" t="s">
        <v>1271</v>
      </c>
      <c r="T116" s="1">
        <v>0</v>
      </c>
    </row>
    <row r="117" spans="1:20" ht="30" x14ac:dyDescent="0.25">
      <c r="A117" s="1" t="str">
        <f t="shared" si="2"/>
        <v>Done</v>
      </c>
      <c r="B117" s="1" t="s">
        <v>1268</v>
      </c>
      <c r="C117" s="1">
        <v>50</v>
      </c>
      <c r="D117" s="1" t="s">
        <v>567</v>
      </c>
      <c r="E117" s="1" t="s">
        <v>296</v>
      </c>
      <c r="F117" s="1" t="s">
        <v>63</v>
      </c>
      <c r="G117" s="1" t="s">
        <v>796</v>
      </c>
      <c r="H117" s="1" t="s">
        <v>431</v>
      </c>
      <c r="I117" s="1" t="s">
        <v>49</v>
      </c>
      <c r="J117" s="1">
        <v>6</v>
      </c>
      <c r="K117" s="1" t="s">
        <v>1269</v>
      </c>
      <c r="L117" s="1" t="str" cm="1">
        <f t="array" ref="L117">_xlfn.REGEXEXTRACT(B117,"(?&lt;=//)[^/]+")</f>
        <v>bdsmstreak.com</v>
      </c>
      <c r="M117" s="1" t="s">
        <v>457</v>
      </c>
      <c r="N117" s="1" t="s">
        <v>1740</v>
      </c>
      <c r="O117" s="1" t="str" cm="1">
        <f t="array" ref="O117">IF(N117&lt;&gt;"NtApp",_xlfn.REGEXEXTRACT(N117,"\d+(?=p)"),"NtApp")</f>
        <v>NtApp</v>
      </c>
      <c r="P117" s="1" t="s">
        <v>1740</v>
      </c>
      <c r="Q117" s="1" t="b">
        <f t="shared" si="3"/>
        <v>1</v>
      </c>
      <c r="R117" s="1" t="s">
        <v>1267</v>
      </c>
      <c r="S117" s="1" t="s">
        <v>1267</v>
      </c>
      <c r="T117" s="1">
        <v>0</v>
      </c>
    </row>
    <row r="118" spans="1:20" ht="30" x14ac:dyDescent="0.25">
      <c r="A118" s="1" t="str">
        <f t="shared" si="2"/>
        <v>Done</v>
      </c>
      <c r="B118" s="1" t="s">
        <v>1265</v>
      </c>
      <c r="C118" s="1">
        <v>51</v>
      </c>
      <c r="D118" s="1" t="s">
        <v>567</v>
      </c>
      <c r="E118" s="1" t="s">
        <v>151</v>
      </c>
      <c r="F118" s="1" t="s">
        <v>63</v>
      </c>
      <c r="G118" s="1" t="s">
        <v>367</v>
      </c>
      <c r="H118" s="1" t="s">
        <v>2050</v>
      </c>
      <c r="I118" s="1" t="s">
        <v>49</v>
      </c>
      <c r="J118" s="1">
        <v>6</v>
      </c>
      <c r="K118" s="1" t="s">
        <v>1817</v>
      </c>
      <c r="L118" s="1" t="str" cm="1">
        <f t="array" ref="L118">_xlfn.REGEXEXTRACT(B118,"(?&lt;=//)[^/]+")</f>
        <v>bdsmstreak.com</v>
      </c>
      <c r="M118" s="1" t="s">
        <v>457</v>
      </c>
      <c r="N118" s="1" t="s">
        <v>1740</v>
      </c>
      <c r="O118" s="1" t="str" cm="1">
        <f t="array" ref="O118">IF(N118&lt;&gt;"NtApp",_xlfn.REGEXEXTRACT(N118,"\d+(?=p)"),"NtApp")</f>
        <v>NtApp</v>
      </c>
      <c r="P118" s="1" t="s">
        <v>1740</v>
      </c>
      <c r="Q118" s="1" t="b">
        <f t="shared" si="3"/>
        <v>0</v>
      </c>
      <c r="R118" s="1" t="s">
        <v>1264</v>
      </c>
      <c r="S118" s="1" t="s">
        <v>1266</v>
      </c>
      <c r="T118" s="1">
        <v>0</v>
      </c>
    </row>
    <row r="119" spans="1:20" ht="45" x14ac:dyDescent="0.25">
      <c r="A119" s="1" t="str">
        <f t="shared" si="2"/>
        <v>Done</v>
      </c>
      <c r="B119" s="1" t="s">
        <v>1261</v>
      </c>
      <c r="C119" s="1">
        <v>53</v>
      </c>
      <c r="D119" s="1" t="s">
        <v>577</v>
      </c>
      <c r="E119" s="1" t="s">
        <v>1812</v>
      </c>
      <c r="F119" s="1" t="s">
        <v>53</v>
      </c>
      <c r="G119" s="1" t="s">
        <v>2234</v>
      </c>
      <c r="H119" s="1" t="s">
        <v>2062</v>
      </c>
      <c r="I119" s="1" t="s">
        <v>49</v>
      </c>
      <c r="J119" s="1">
        <v>6</v>
      </c>
      <c r="K119" s="1" t="s">
        <v>1262</v>
      </c>
      <c r="L119" s="1" t="str" cm="1">
        <f t="array" ref="L119">_xlfn.REGEXEXTRACT(B119,"(?&lt;=//)[^/]+")</f>
        <v>bdsmmansion.com</v>
      </c>
      <c r="M119" s="1" t="s">
        <v>457</v>
      </c>
      <c r="N119" s="1" t="s">
        <v>1740</v>
      </c>
      <c r="O119" s="1" t="str" cm="1">
        <f t="array" ref="O119">IF(N119&lt;&gt;"NtApp",_xlfn.REGEXEXTRACT(N119,"\d+(?=p)"),"NtApp")</f>
        <v>NtApp</v>
      </c>
      <c r="P119" s="1" t="s">
        <v>1740</v>
      </c>
      <c r="Q119" s="1" t="b">
        <f t="shared" si="3"/>
        <v>1</v>
      </c>
      <c r="R119" s="1" t="s">
        <v>1260</v>
      </c>
      <c r="S119" s="1" t="s">
        <v>1263</v>
      </c>
      <c r="T119" s="1">
        <v>0</v>
      </c>
    </row>
    <row r="120" spans="1:20" ht="60" x14ac:dyDescent="0.25">
      <c r="A120" s="1" t="str">
        <f t="shared" si="2"/>
        <v>Done</v>
      </c>
      <c r="B120" s="1" t="s">
        <v>14</v>
      </c>
      <c r="C120" s="1">
        <v>53</v>
      </c>
      <c r="D120" s="1" t="s">
        <v>835</v>
      </c>
      <c r="E120" s="1" t="s">
        <v>1259</v>
      </c>
      <c r="F120" s="1" t="s">
        <v>54</v>
      </c>
      <c r="G120" s="1" t="s">
        <v>2095</v>
      </c>
      <c r="H120" s="1" t="s">
        <v>2093</v>
      </c>
      <c r="I120" s="1" t="s">
        <v>49</v>
      </c>
      <c r="J120" s="1">
        <v>6</v>
      </c>
      <c r="K120" s="1" t="s">
        <v>2094</v>
      </c>
      <c r="L120" s="1" t="str" cm="1">
        <f t="array" ref="L120">_xlfn.REGEXEXTRACT(B120,"(?&lt;=//)[^/]+")</f>
        <v>bdsmstreak.com</v>
      </c>
      <c r="M120" s="1" t="s">
        <v>457</v>
      </c>
      <c r="N120" s="1" t="s">
        <v>1740</v>
      </c>
      <c r="O120" s="1" t="str" cm="1">
        <f t="array" ref="O120">IF(N120&lt;&gt;"NtApp",_xlfn.REGEXEXTRACT(N120,"\d+(?=p)"),"NtApp")</f>
        <v>NtApp</v>
      </c>
      <c r="P120" s="1" t="s">
        <v>1740</v>
      </c>
      <c r="Q120" s="1" t="b">
        <f t="shared" si="3"/>
        <v>1</v>
      </c>
      <c r="R120" s="1" t="s">
        <v>1815</v>
      </c>
      <c r="S120" s="1" t="s">
        <v>1258</v>
      </c>
      <c r="T120" s="1">
        <v>0</v>
      </c>
    </row>
    <row r="121" spans="1:20" ht="60" x14ac:dyDescent="0.25">
      <c r="A121" s="1" t="str">
        <f t="shared" si="2"/>
        <v>Done</v>
      </c>
      <c r="B121" s="1" t="s">
        <v>872</v>
      </c>
      <c r="C121" s="1">
        <v>55</v>
      </c>
      <c r="D121" s="1" t="s">
        <v>873</v>
      </c>
      <c r="E121" s="1" t="s">
        <v>874</v>
      </c>
      <c r="F121" s="1" t="s">
        <v>53</v>
      </c>
      <c r="G121" s="1" t="s">
        <v>2307</v>
      </c>
      <c r="H121" s="1" t="s">
        <v>2152</v>
      </c>
      <c r="I121" s="1" t="s">
        <v>49</v>
      </c>
      <c r="J121" s="1">
        <v>6</v>
      </c>
      <c r="K121" s="1" t="s">
        <v>2308</v>
      </c>
      <c r="L121" s="1" t="str" cm="1">
        <f t="array" ref="L121">_xlfn.REGEXEXTRACT(B121,"(?&lt;=//)[^/]+")</f>
        <v>bdsmstreak.com</v>
      </c>
      <c r="M121" s="1" t="s">
        <v>457</v>
      </c>
      <c r="N121" s="1" t="s">
        <v>1740</v>
      </c>
      <c r="O121" s="1" t="str" cm="1">
        <f t="array" ref="O121">IF(N121&lt;&gt;"NtApp",_xlfn.REGEXEXTRACT(N121,"\d+(?=p)"),"NtApp")</f>
        <v>NtApp</v>
      </c>
      <c r="P121" s="1" t="s">
        <v>1740</v>
      </c>
      <c r="Q121" s="1" t="b">
        <f t="shared" si="3"/>
        <v>0</v>
      </c>
      <c r="R121" s="1" t="s">
        <v>1643</v>
      </c>
      <c r="S121" s="1" t="s">
        <v>1885</v>
      </c>
      <c r="T121" s="1">
        <v>8</v>
      </c>
    </row>
    <row r="122" spans="1:20" ht="75" x14ac:dyDescent="0.25">
      <c r="A122" s="1" t="str">
        <f t="shared" si="2"/>
        <v>Done</v>
      </c>
      <c r="B122" s="1" t="s">
        <v>10</v>
      </c>
      <c r="C122" s="1">
        <v>56</v>
      </c>
      <c r="D122" s="1" t="s">
        <v>577</v>
      </c>
      <c r="E122" s="1" t="s">
        <v>178</v>
      </c>
      <c r="F122" s="1" t="s">
        <v>54</v>
      </c>
      <c r="G122" s="1" t="s">
        <v>2252</v>
      </c>
      <c r="H122" s="1" t="s">
        <v>2021</v>
      </c>
      <c r="I122" s="1" t="s">
        <v>49</v>
      </c>
      <c r="J122" s="1">
        <v>6</v>
      </c>
      <c r="K122" s="1" t="s">
        <v>394</v>
      </c>
      <c r="L122" s="1" t="str" cm="1">
        <f t="array" ref="L122">_xlfn.REGEXEXTRACT(B122,"(?&lt;=//)[^/]+")</f>
        <v>heavyfetish.com</v>
      </c>
      <c r="M122" s="1" t="s">
        <v>457</v>
      </c>
      <c r="N122" s="1" t="s">
        <v>1740</v>
      </c>
      <c r="O122" s="1" t="str" cm="1">
        <f t="array" ref="O122">IF(N122&lt;&gt;"NtApp",_xlfn.REGEXEXTRACT(N122,"\d+(?=p)"),"NtApp")</f>
        <v>NtApp</v>
      </c>
      <c r="P122" s="1" t="s">
        <v>1740</v>
      </c>
      <c r="Q122" s="1" t="b">
        <f t="shared" si="3"/>
        <v>0</v>
      </c>
      <c r="R122" s="1" t="s">
        <v>1136</v>
      </c>
      <c r="S122" s="1" t="s">
        <v>1257</v>
      </c>
      <c r="T122" s="1">
        <v>0</v>
      </c>
    </row>
    <row r="123" spans="1:20" ht="30" x14ac:dyDescent="0.25">
      <c r="A123" s="1" t="str">
        <f t="shared" si="2"/>
        <v>Done</v>
      </c>
      <c r="B123" s="1" t="s">
        <v>8</v>
      </c>
      <c r="C123" s="1">
        <v>57</v>
      </c>
      <c r="D123" s="1" t="s">
        <v>572</v>
      </c>
      <c r="E123" s="1" t="s">
        <v>1256</v>
      </c>
      <c r="F123" s="1" t="s">
        <v>54</v>
      </c>
      <c r="G123" s="1" t="s">
        <v>1733</v>
      </c>
      <c r="H123" s="1" t="s">
        <v>1972</v>
      </c>
      <c r="I123" s="1" t="s">
        <v>49</v>
      </c>
      <c r="J123" s="1">
        <v>6</v>
      </c>
      <c r="K123" s="1" t="s">
        <v>1814</v>
      </c>
      <c r="L123" s="1" t="str" cm="1">
        <f t="array" ref="L123">_xlfn.REGEXEXTRACT(B123,"(?&lt;=//)[^/]+")</f>
        <v>heavyfetish.com</v>
      </c>
      <c r="M123" s="1" t="s">
        <v>457</v>
      </c>
      <c r="N123" s="1" t="s">
        <v>1740</v>
      </c>
      <c r="O123" s="1" t="str" cm="1">
        <f t="array" ref="O123">IF(N123&lt;&gt;"NtApp",_xlfn.REGEXEXTRACT(N123,"\d+(?=p)"),"NtApp")</f>
        <v>NtApp</v>
      </c>
      <c r="P123" s="1" t="s">
        <v>1740</v>
      </c>
      <c r="Q123" s="1" t="b">
        <f t="shared" si="3"/>
        <v>1</v>
      </c>
      <c r="R123" s="1" t="s">
        <v>1255</v>
      </c>
      <c r="S123" s="1" t="s">
        <v>1254</v>
      </c>
      <c r="T123" s="1">
        <v>0</v>
      </c>
    </row>
    <row r="124" spans="1:20" ht="30" x14ac:dyDescent="0.25">
      <c r="A124" s="1" t="str">
        <f t="shared" si="2"/>
        <v>Done</v>
      </c>
      <c r="B124" s="1" t="s">
        <v>1253</v>
      </c>
      <c r="C124" s="1">
        <v>58</v>
      </c>
      <c r="D124" s="1" t="s">
        <v>576</v>
      </c>
      <c r="E124" s="1" t="s">
        <v>331</v>
      </c>
      <c r="F124" s="1" t="s">
        <v>63</v>
      </c>
      <c r="G124" s="1" t="s">
        <v>395</v>
      </c>
      <c r="H124" s="1" t="s">
        <v>343</v>
      </c>
      <c r="I124" s="1" t="s">
        <v>49</v>
      </c>
      <c r="J124" s="1">
        <v>6</v>
      </c>
      <c r="K124" s="1" t="s">
        <v>396</v>
      </c>
      <c r="L124" s="1" t="str" cm="1">
        <f t="array" ref="L124">_xlfn.REGEXEXTRACT(B124,"(?&lt;=//)[^/]+")</f>
        <v>bdsmstreak.com</v>
      </c>
      <c r="M124" s="1" t="s">
        <v>457</v>
      </c>
      <c r="N124" s="1" t="s">
        <v>1740</v>
      </c>
      <c r="O124" s="1" t="str" cm="1">
        <f t="array" ref="O124">IF(N124&lt;&gt;"NtApp",_xlfn.REGEXEXTRACT(N124,"\d+(?=p)"),"NtApp")</f>
        <v>NtApp</v>
      </c>
      <c r="P124" s="1" t="s">
        <v>1740</v>
      </c>
      <c r="Q124" s="1" t="b">
        <f t="shared" si="3"/>
        <v>0</v>
      </c>
      <c r="R124" s="1" t="s">
        <v>1252</v>
      </c>
      <c r="S124" s="1" t="s">
        <v>1252</v>
      </c>
      <c r="T124" s="1">
        <v>0</v>
      </c>
    </row>
    <row r="125" spans="1:20" ht="45" x14ac:dyDescent="0.25">
      <c r="A125" s="1" t="str">
        <f t="shared" si="2"/>
        <v>Done</v>
      </c>
      <c r="B125" s="1" t="s">
        <v>995</v>
      </c>
      <c r="C125" s="1">
        <v>62</v>
      </c>
      <c r="D125" s="1" t="s">
        <v>599</v>
      </c>
      <c r="E125" s="1" t="s">
        <v>996</v>
      </c>
      <c r="F125" s="1" t="s">
        <v>54</v>
      </c>
      <c r="G125" s="1" t="s">
        <v>2204</v>
      </c>
      <c r="H125" s="1" t="s">
        <v>2160</v>
      </c>
      <c r="I125" s="1" t="s">
        <v>49</v>
      </c>
      <c r="J125" s="1">
        <v>6</v>
      </c>
      <c r="K125" s="1" t="s">
        <v>2161</v>
      </c>
      <c r="L125" s="1" t="str" cm="1">
        <f t="array" ref="L125">_xlfn.REGEXEXTRACT(B125,"(?&lt;=//)[^/]+")</f>
        <v>bdsmstreak.com</v>
      </c>
      <c r="M125" s="1" t="s">
        <v>457</v>
      </c>
      <c r="N125" s="1" t="s">
        <v>1740</v>
      </c>
      <c r="O125" s="1" t="str" cm="1">
        <f t="array" ref="O125">IF(N125&lt;&gt;"NtApp",_xlfn.REGEXEXTRACT(N125,"\d+(?=p)"),"NtApp")</f>
        <v>NtApp</v>
      </c>
      <c r="P125" s="1" t="s">
        <v>1740</v>
      </c>
      <c r="Q125" s="1" t="b">
        <f t="shared" si="3"/>
        <v>1</v>
      </c>
      <c r="R125" s="1" t="s">
        <v>1536</v>
      </c>
      <c r="S125" s="1" t="s">
        <v>1536</v>
      </c>
      <c r="T125" s="1">
        <v>8</v>
      </c>
    </row>
    <row r="126" spans="1:20" ht="30" x14ac:dyDescent="0.25">
      <c r="A126" s="1" t="str">
        <f t="shared" si="2"/>
        <v>Done</v>
      </c>
      <c r="B126" s="1" t="s">
        <v>1250</v>
      </c>
      <c r="C126" s="1">
        <v>64</v>
      </c>
      <c r="D126" s="1" t="s">
        <v>576</v>
      </c>
      <c r="E126" s="1" t="s">
        <v>335</v>
      </c>
      <c r="F126" s="1" t="s">
        <v>63</v>
      </c>
      <c r="G126" s="1" t="s">
        <v>2076</v>
      </c>
      <c r="H126" s="1" t="s">
        <v>2037</v>
      </c>
      <c r="I126" s="1" t="s">
        <v>49</v>
      </c>
      <c r="J126" s="1">
        <v>6</v>
      </c>
      <c r="K126" s="1" t="s">
        <v>2077</v>
      </c>
      <c r="L126" s="1" t="str" cm="1">
        <f t="array" ref="L126">_xlfn.REGEXEXTRACT(B126,"(?&lt;=//)[^/]+")</f>
        <v>bdsmstreak.com</v>
      </c>
      <c r="M126" s="1" t="s">
        <v>457</v>
      </c>
      <c r="N126" s="1" t="s">
        <v>1740</v>
      </c>
      <c r="O126" s="1" t="str" cm="1">
        <f t="array" ref="O126">IF(N126&lt;&gt;"NtApp",_xlfn.REGEXEXTRACT(N126,"\d+(?=p)"),"NtApp")</f>
        <v>NtApp</v>
      </c>
      <c r="P126" s="1" t="s">
        <v>1740</v>
      </c>
      <c r="Q126" s="1" t="b">
        <f t="shared" si="3"/>
        <v>0</v>
      </c>
      <c r="R126" s="1" t="s">
        <v>1249</v>
      </c>
      <c r="S126" s="1" t="s">
        <v>1251</v>
      </c>
      <c r="T126" s="1">
        <v>0</v>
      </c>
    </row>
    <row r="127" spans="1:20" ht="30" x14ac:dyDescent="0.25">
      <c r="A127" s="1" t="str">
        <f t="shared" si="2"/>
        <v>Done</v>
      </c>
      <c r="B127" s="1" t="s">
        <v>21</v>
      </c>
      <c r="C127" s="1">
        <v>66</v>
      </c>
      <c r="D127" s="1" t="s">
        <v>573</v>
      </c>
      <c r="E127" s="1" t="s">
        <v>195</v>
      </c>
      <c r="F127" s="1" t="s">
        <v>53</v>
      </c>
      <c r="G127" s="1" t="s">
        <v>2235</v>
      </c>
      <c r="H127" s="1" t="s">
        <v>309</v>
      </c>
      <c r="I127" s="1" t="s">
        <v>49</v>
      </c>
      <c r="J127" s="1">
        <v>6</v>
      </c>
      <c r="K127" s="1" t="s">
        <v>1813</v>
      </c>
      <c r="L127" s="1" t="str" cm="1">
        <f t="array" ref="L127">_xlfn.REGEXEXTRACT(B127,"(?&lt;=//)[^/]+")</f>
        <v>heavyfetish.com</v>
      </c>
      <c r="M127" s="1" t="s">
        <v>457</v>
      </c>
      <c r="N127" s="1" t="s">
        <v>1740</v>
      </c>
      <c r="O127" s="1" t="str" cm="1">
        <f t="array" ref="O127">IF(N127&lt;&gt;"NtApp",_xlfn.REGEXEXTRACT(N127,"\d+(?=p)"),"NtApp")</f>
        <v>NtApp</v>
      </c>
      <c r="P127" s="1" t="s">
        <v>1740</v>
      </c>
      <c r="Q127" s="1" t="b">
        <f t="shared" si="3"/>
        <v>0</v>
      </c>
      <c r="R127" s="1" t="s">
        <v>1248</v>
      </c>
      <c r="S127" s="1" t="s">
        <v>1247</v>
      </c>
      <c r="T127" s="1">
        <v>0</v>
      </c>
    </row>
    <row r="128" spans="1:20" ht="30" x14ac:dyDescent="0.25">
      <c r="A128" s="1" t="str">
        <f t="shared" si="2"/>
        <v>Done</v>
      </c>
      <c r="B128" s="1" t="s">
        <v>985</v>
      </c>
      <c r="C128" s="1">
        <v>70</v>
      </c>
      <c r="D128" s="1" t="s">
        <v>599</v>
      </c>
      <c r="E128" s="1" t="s">
        <v>986</v>
      </c>
      <c r="F128" s="1" t="s">
        <v>54</v>
      </c>
      <c r="G128" s="1" t="s">
        <v>1732</v>
      </c>
      <c r="H128" s="1" t="s">
        <v>1971</v>
      </c>
      <c r="I128" s="1" t="s">
        <v>49</v>
      </c>
      <c r="J128" s="1">
        <v>6</v>
      </c>
      <c r="K128" s="1" t="s">
        <v>1139</v>
      </c>
      <c r="L128" s="1" t="str" cm="1">
        <f t="array" ref="L128">_xlfn.REGEXEXTRACT(B128,"(?&lt;=//)[^/]+")</f>
        <v>bdsmstreak.com</v>
      </c>
      <c r="M128" s="1" t="s">
        <v>457</v>
      </c>
      <c r="N128" s="1" t="s">
        <v>1740</v>
      </c>
      <c r="O128" s="1" t="str" cm="1">
        <f t="array" ref="O128">IF(N128&lt;&gt;"NtApp",_xlfn.REGEXEXTRACT(N128,"\d+(?=p)"),"NtApp")</f>
        <v>NtApp</v>
      </c>
      <c r="P128" s="1" t="s">
        <v>1740</v>
      </c>
      <c r="Q128" s="1" t="b">
        <f t="shared" si="3"/>
        <v>1</v>
      </c>
      <c r="R128" s="1" t="s">
        <v>1138</v>
      </c>
      <c r="S128" s="1" t="s">
        <v>1138</v>
      </c>
      <c r="T128" s="1">
        <v>9</v>
      </c>
    </row>
    <row r="129" spans="1:20" ht="45" x14ac:dyDescent="0.25">
      <c r="A129" s="1" t="str">
        <f t="shared" si="2"/>
        <v>Done</v>
      </c>
      <c r="B129" s="1" t="s">
        <v>36</v>
      </c>
      <c r="C129" s="1">
        <v>70</v>
      </c>
      <c r="D129" s="1" t="s">
        <v>570</v>
      </c>
      <c r="E129" s="1" t="s">
        <v>287</v>
      </c>
      <c r="F129" s="1" t="s">
        <v>53</v>
      </c>
      <c r="G129" s="1" t="s">
        <v>2098</v>
      </c>
      <c r="H129" s="1" t="s">
        <v>1946</v>
      </c>
      <c r="I129" s="1" t="s">
        <v>49</v>
      </c>
      <c r="J129" s="1">
        <v>6</v>
      </c>
      <c r="K129" s="1" t="s">
        <v>2099</v>
      </c>
      <c r="L129" s="1" t="str" cm="1">
        <f t="array" ref="L129">_xlfn.REGEXEXTRACT(B129,"(?&lt;=//)[^/]+")</f>
        <v>bdsmstreak.com</v>
      </c>
      <c r="M129" s="1" t="s">
        <v>457</v>
      </c>
      <c r="N129" s="1" t="s">
        <v>1740</v>
      </c>
      <c r="O129" s="1" t="str" cm="1">
        <f t="array" ref="O129">IF(N129&lt;&gt;"NtApp",_xlfn.REGEXEXTRACT(N129,"\d+(?=p)"),"NtApp")</f>
        <v>NtApp</v>
      </c>
      <c r="P129" s="1" t="s">
        <v>1740</v>
      </c>
      <c r="Q129" s="1" t="b">
        <f t="shared" si="3"/>
        <v>1</v>
      </c>
      <c r="R129" s="1" t="s">
        <v>1437</v>
      </c>
      <c r="S129" s="1" t="s">
        <v>1437</v>
      </c>
      <c r="T129" s="1">
        <v>0</v>
      </c>
    </row>
    <row r="130" spans="1:20" ht="30" x14ac:dyDescent="0.25">
      <c r="A130" s="1" t="str">
        <f t="shared" ref="A130:A193" si="4">IF(ISBLANK(I130)=TRUE,"Pending","Done")</f>
        <v>Done</v>
      </c>
      <c r="B130" s="1" t="s">
        <v>1074</v>
      </c>
      <c r="C130" s="1">
        <v>83</v>
      </c>
      <c r="D130" s="1" t="s">
        <v>568</v>
      </c>
      <c r="E130" s="1" t="s">
        <v>149</v>
      </c>
      <c r="F130" s="1" t="s">
        <v>53</v>
      </c>
      <c r="G130" s="1" t="s">
        <v>2200</v>
      </c>
      <c r="H130" s="1" t="s">
        <v>1997</v>
      </c>
      <c r="I130" s="1" t="s">
        <v>49</v>
      </c>
      <c r="J130" s="1">
        <v>6</v>
      </c>
      <c r="K130" s="1" t="s">
        <v>80</v>
      </c>
      <c r="L130" s="1" t="str" cm="1">
        <f t="array" ref="L130">_xlfn.REGEXEXTRACT(B130,"(?&lt;=//)[^/]+")</f>
        <v>bdsmstreak.com</v>
      </c>
      <c r="M130" s="1" t="s">
        <v>457</v>
      </c>
      <c r="N130" s="1" t="s">
        <v>1740</v>
      </c>
      <c r="O130" s="1" t="str" cm="1">
        <f t="array" ref="O130">IF(N130&lt;&gt;"NtApp",_xlfn.REGEXEXTRACT(N130,"\d+(?=p)"),"NtApp")</f>
        <v>NtApp</v>
      </c>
      <c r="P130" s="1" t="s">
        <v>1740</v>
      </c>
      <c r="Q130" s="1" t="b">
        <f t="shared" ref="Q130:Q193" si="5">ISNUMBER(SEARCH(",",E130))</f>
        <v>0</v>
      </c>
      <c r="R130" s="1" t="s">
        <v>1246</v>
      </c>
      <c r="S130" s="1" t="s">
        <v>1246</v>
      </c>
      <c r="T130" s="1">
        <v>0</v>
      </c>
    </row>
    <row r="131" spans="1:20" ht="30" x14ac:dyDescent="0.25">
      <c r="A131" s="1" t="str">
        <f t="shared" si="4"/>
        <v>Done</v>
      </c>
      <c r="B131" s="1" t="s">
        <v>219</v>
      </c>
      <c r="C131" s="1">
        <v>113</v>
      </c>
      <c r="D131" s="1" t="s">
        <v>835</v>
      </c>
      <c r="E131" s="1" t="s">
        <v>837</v>
      </c>
      <c r="F131" s="1" t="s">
        <v>63</v>
      </c>
      <c r="G131" s="1" t="s">
        <v>2101</v>
      </c>
      <c r="H131" s="1" t="s">
        <v>315</v>
      </c>
      <c r="I131" s="1" t="s">
        <v>206</v>
      </c>
      <c r="J131" s="1">
        <v>6</v>
      </c>
      <c r="K131" s="1" t="s">
        <v>440</v>
      </c>
      <c r="L131" s="1" t="str" cm="1">
        <f t="array" ref="L131">_xlfn.REGEXEXTRACT(B131,"(?&lt;=//)[^/]+")</f>
        <v>abjav.com</v>
      </c>
      <c r="M131" s="1" t="s">
        <v>457</v>
      </c>
      <c r="N131" s="1" t="s">
        <v>1740</v>
      </c>
      <c r="O131" s="1" t="str" cm="1">
        <f t="array" ref="O131">IF(N131&lt;&gt;"NtApp",_xlfn.REGEXEXTRACT(N131,"\d+(?=p)"),"NtApp")</f>
        <v>NtApp</v>
      </c>
      <c r="P131" s="1" t="s">
        <v>1740</v>
      </c>
      <c r="Q131" s="1" t="b">
        <f t="shared" si="5"/>
        <v>0</v>
      </c>
      <c r="R131" s="1" t="s">
        <v>1740</v>
      </c>
      <c r="S131" s="1" t="s">
        <v>1245</v>
      </c>
      <c r="T131" s="1">
        <v>0</v>
      </c>
    </row>
    <row r="132" spans="1:20" ht="30" x14ac:dyDescent="0.25">
      <c r="A132" s="1" t="str">
        <f t="shared" si="4"/>
        <v>Done</v>
      </c>
      <c r="B132" s="1" t="s">
        <v>225</v>
      </c>
      <c r="C132" s="1">
        <v>0</v>
      </c>
      <c r="D132" s="1" t="s">
        <v>836</v>
      </c>
      <c r="E132" s="1" t="s">
        <v>837</v>
      </c>
      <c r="F132" s="1" t="s">
        <v>63</v>
      </c>
      <c r="G132" s="1" t="s">
        <v>351</v>
      </c>
      <c r="H132" s="1" t="s">
        <v>1984</v>
      </c>
      <c r="I132" s="1" t="s">
        <v>49</v>
      </c>
      <c r="J132" s="1">
        <v>5</v>
      </c>
      <c r="K132" s="1" t="s">
        <v>1832</v>
      </c>
      <c r="L132" s="1" t="str" cm="1">
        <f t="array" ref="L132">_xlfn.REGEXEXTRACT(B132,"(?&lt;=//)[^/]+")</f>
        <v>www.fuq.com</v>
      </c>
      <c r="M132" s="1" t="s">
        <v>457</v>
      </c>
      <c r="N132" s="1" t="s">
        <v>1740</v>
      </c>
      <c r="O132" s="1" t="str" cm="1">
        <f t="array" ref="O132">IF(N132&lt;&gt;"NtApp",_xlfn.REGEXEXTRACT(N132,"\d+(?=p)"),"NtApp")</f>
        <v>NtApp</v>
      </c>
      <c r="P132" s="1" t="s">
        <v>1740</v>
      </c>
      <c r="Q132" s="1" t="b">
        <f t="shared" si="5"/>
        <v>0</v>
      </c>
      <c r="R132" s="1" t="s">
        <v>1740</v>
      </c>
      <c r="S132" s="1" t="s">
        <v>1740</v>
      </c>
      <c r="T132" s="1">
        <v>0</v>
      </c>
    </row>
    <row r="133" spans="1:20" ht="30" x14ac:dyDescent="0.25">
      <c r="A133" s="1" t="str">
        <f t="shared" si="4"/>
        <v>Done</v>
      </c>
      <c r="B133" s="1" t="s">
        <v>212</v>
      </c>
      <c r="C133" s="1">
        <v>0</v>
      </c>
      <c r="D133" s="1" t="s">
        <v>1739</v>
      </c>
      <c r="E133" s="1" t="s">
        <v>348</v>
      </c>
      <c r="F133" s="1" t="s">
        <v>53</v>
      </c>
      <c r="G133" s="1" t="s">
        <v>2214</v>
      </c>
      <c r="H133" s="1" t="s">
        <v>314</v>
      </c>
      <c r="I133" s="1" t="s">
        <v>49</v>
      </c>
      <c r="J133" s="1">
        <v>5</v>
      </c>
      <c r="K133" s="1" t="s">
        <v>214</v>
      </c>
      <c r="L133" s="1" t="str" cm="1">
        <f t="array" ref="L133">_xlfn.REGEXEXTRACT(B133,"(?&lt;=//)[^/]+")</f>
        <v>www.txxx.porn</v>
      </c>
      <c r="M133" s="1" t="s">
        <v>457</v>
      </c>
      <c r="N133" s="1" t="s">
        <v>1740</v>
      </c>
      <c r="O133" s="1" t="str" cm="1">
        <f t="array" ref="O133">IF(N133&lt;&gt;"NtApp",_xlfn.REGEXEXTRACT(N133,"\d+(?=p)"),"NtApp")</f>
        <v>NtApp</v>
      </c>
      <c r="P133" s="1" t="s">
        <v>1740</v>
      </c>
      <c r="Q133" s="1" t="b">
        <f t="shared" si="5"/>
        <v>0</v>
      </c>
      <c r="R133" s="1" t="s">
        <v>1740</v>
      </c>
      <c r="S133" s="1" t="s">
        <v>1740</v>
      </c>
      <c r="T133" s="1">
        <v>0</v>
      </c>
    </row>
    <row r="134" spans="1:20" ht="30" x14ac:dyDescent="0.25">
      <c r="A134" s="1" t="str">
        <f t="shared" si="4"/>
        <v>Done</v>
      </c>
      <c r="B134" s="1" t="s">
        <v>218</v>
      </c>
      <c r="C134" s="1">
        <v>1</v>
      </c>
      <c r="D134" s="1" t="s">
        <v>835</v>
      </c>
      <c r="E134" s="1" t="s">
        <v>921</v>
      </c>
      <c r="F134" s="1" t="s">
        <v>63</v>
      </c>
      <c r="G134" s="1" t="s">
        <v>371</v>
      </c>
      <c r="H134" s="1" t="s">
        <v>55</v>
      </c>
      <c r="I134" s="1" t="s">
        <v>206</v>
      </c>
      <c r="J134" s="1">
        <v>5</v>
      </c>
      <c r="K134" s="1" t="s">
        <v>245</v>
      </c>
      <c r="L134" s="1" t="str" cm="1">
        <f t="array" ref="L134">_xlfn.REGEXEXTRACT(B134,"(?&lt;=//)[^/]+")</f>
        <v>xhamster44.desi</v>
      </c>
      <c r="M134" s="1" t="s">
        <v>457</v>
      </c>
      <c r="N134" s="1" t="s">
        <v>1740</v>
      </c>
      <c r="O134" s="1" t="str" cm="1">
        <f t="array" ref="O134">IF(N134&lt;&gt;"NtApp",_xlfn.REGEXEXTRACT(N134,"\d+(?=p)"),"NtApp")</f>
        <v>NtApp</v>
      </c>
      <c r="P134" s="1" t="s">
        <v>1740</v>
      </c>
      <c r="Q134" s="1" t="b">
        <f t="shared" si="5"/>
        <v>0</v>
      </c>
      <c r="R134" s="1" t="s">
        <v>1740</v>
      </c>
      <c r="S134" s="1" t="s">
        <v>1373</v>
      </c>
      <c r="T134" s="1">
        <v>0</v>
      </c>
    </row>
    <row r="135" spans="1:20" ht="30" x14ac:dyDescent="0.25">
      <c r="A135" s="1" t="str">
        <f t="shared" si="4"/>
        <v>Done</v>
      </c>
      <c r="B135" s="1" t="s">
        <v>110</v>
      </c>
      <c r="C135" s="1">
        <v>6</v>
      </c>
      <c r="D135" s="1" t="s">
        <v>835</v>
      </c>
      <c r="E135" s="1" t="s">
        <v>579</v>
      </c>
      <c r="F135" s="1" t="s">
        <v>53</v>
      </c>
      <c r="G135" s="1" t="s">
        <v>2212</v>
      </c>
      <c r="H135" s="1" t="s">
        <v>735</v>
      </c>
      <c r="I135" s="1" t="s">
        <v>49</v>
      </c>
      <c r="J135" s="1">
        <v>5</v>
      </c>
      <c r="K135" s="1" t="s">
        <v>179</v>
      </c>
      <c r="L135" s="1" t="str" cm="1">
        <f t="array" ref="L135">_xlfn.REGEXEXTRACT(B135,"(?&lt;=//)[^/]+")</f>
        <v>spankbang.com</v>
      </c>
      <c r="M135" s="1" t="s">
        <v>457</v>
      </c>
      <c r="N135" s="1" t="s">
        <v>1740</v>
      </c>
      <c r="O135" s="1" t="str" cm="1">
        <f t="array" ref="O135">IF(N135&lt;&gt;"NtApp",_xlfn.REGEXEXTRACT(N135,"\d+(?=p)"),"NtApp")</f>
        <v>NtApp</v>
      </c>
      <c r="P135" s="1" t="s">
        <v>1740</v>
      </c>
      <c r="Q135" s="1" t="b">
        <f t="shared" si="5"/>
        <v>0</v>
      </c>
      <c r="R135" s="1" t="s">
        <v>1740</v>
      </c>
      <c r="S135" s="1" t="s">
        <v>1291</v>
      </c>
      <c r="T135" s="1">
        <v>0</v>
      </c>
    </row>
    <row r="136" spans="1:20" ht="60" x14ac:dyDescent="0.25">
      <c r="A136" s="1" t="str">
        <f t="shared" si="4"/>
        <v>Done</v>
      </c>
      <c r="B136" s="1" t="s">
        <v>653</v>
      </c>
      <c r="C136" s="1">
        <v>8</v>
      </c>
      <c r="D136" s="1" t="s">
        <v>118</v>
      </c>
      <c r="E136" s="1" t="s">
        <v>648</v>
      </c>
      <c r="F136" s="1" t="s">
        <v>53</v>
      </c>
      <c r="G136" s="1" t="s">
        <v>2207</v>
      </c>
      <c r="H136" s="1" t="s">
        <v>663</v>
      </c>
      <c r="I136" s="1" t="s">
        <v>49</v>
      </c>
      <c r="J136" s="1">
        <v>5</v>
      </c>
      <c r="K136" s="1" t="s">
        <v>664</v>
      </c>
      <c r="L136" s="1" t="str" cm="1">
        <f t="array" ref="L136">_xlfn.REGEXEXTRACT(B136,"(?&lt;=//)[^/]+")</f>
        <v>www.porntrex.com</v>
      </c>
      <c r="M136" s="1" t="s">
        <v>456</v>
      </c>
      <c r="N136" s="1" t="s">
        <v>649</v>
      </c>
      <c r="O136" s="1" t="str" cm="1">
        <f t="array" ref="O136">IF(N136&lt;&gt;"NtApp",_xlfn.REGEXEXTRACT(N136,"\d+(?=p)"),"NtApp")</f>
        <v>1080</v>
      </c>
      <c r="P136" s="1" t="s">
        <v>655</v>
      </c>
      <c r="Q136" s="1" t="b">
        <f t="shared" si="5"/>
        <v>0</v>
      </c>
      <c r="R136" s="1" t="s">
        <v>650</v>
      </c>
      <c r="S136" s="1" t="s">
        <v>658</v>
      </c>
      <c r="T136" s="1">
        <v>0</v>
      </c>
    </row>
    <row r="137" spans="1:20" ht="30" x14ac:dyDescent="0.25">
      <c r="A137" s="1" t="str">
        <f t="shared" si="4"/>
        <v>Done</v>
      </c>
      <c r="B137" s="1" t="s">
        <v>1792</v>
      </c>
      <c r="C137" s="1">
        <v>11</v>
      </c>
      <c r="D137" s="1" t="s">
        <v>835</v>
      </c>
      <c r="E137" s="1" t="s">
        <v>837</v>
      </c>
      <c r="F137" s="1" t="s">
        <v>248</v>
      </c>
      <c r="G137" s="1" t="s">
        <v>1368</v>
      </c>
      <c r="H137" s="1" t="s">
        <v>55</v>
      </c>
      <c r="I137" s="1" t="s">
        <v>49</v>
      </c>
      <c r="J137" s="1">
        <v>5</v>
      </c>
      <c r="K137" s="1" t="s">
        <v>1834</v>
      </c>
      <c r="L137" s="1" t="str" cm="1">
        <f t="array" ref="L137">_xlfn.REGEXEXTRACT(B137,"(?&lt;=//)[^/]+")</f>
        <v>heavyfetish.com</v>
      </c>
      <c r="M137" s="1" t="s">
        <v>457</v>
      </c>
      <c r="N137" s="1" t="s">
        <v>1740</v>
      </c>
      <c r="O137" s="1" t="str" cm="1">
        <f t="array" ref="O137">IF(N137&lt;&gt;"NtApp",_xlfn.REGEXEXTRACT(N137,"\d+(?=p)"),"NtApp")</f>
        <v>NtApp</v>
      </c>
      <c r="P137" s="1" t="s">
        <v>1740</v>
      </c>
      <c r="Q137" s="1" t="b">
        <f t="shared" si="5"/>
        <v>0</v>
      </c>
      <c r="R137" s="1" t="s">
        <v>1740</v>
      </c>
      <c r="S137" s="1" t="s">
        <v>1369</v>
      </c>
      <c r="T137" s="1">
        <v>0</v>
      </c>
    </row>
    <row r="138" spans="1:20" ht="30" x14ac:dyDescent="0.25">
      <c r="A138" s="1" t="str">
        <f t="shared" si="4"/>
        <v>Done</v>
      </c>
      <c r="B138" s="1" t="s">
        <v>1957</v>
      </c>
      <c r="C138" s="1">
        <v>12</v>
      </c>
      <c r="D138" s="1" t="s">
        <v>577</v>
      </c>
      <c r="E138" s="1" t="s">
        <v>705</v>
      </c>
      <c r="F138" s="1" t="s">
        <v>53</v>
      </c>
      <c r="G138" s="1" t="s">
        <v>2261</v>
      </c>
      <c r="H138" s="1" t="s">
        <v>776</v>
      </c>
      <c r="I138" s="1" t="s">
        <v>49</v>
      </c>
      <c r="J138" s="1">
        <v>5</v>
      </c>
      <c r="K138" s="1" t="s">
        <v>1141</v>
      </c>
      <c r="L138" s="1" t="str" cm="1">
        <f t="array" ref="L138">_xlfn.REGEXEXTRACT(B138,"(?&lt;=//)[^/]+")</f>
        <v>bdsmstreak.com</v>
      </c>
      <c r="M138" s="1" t="s">
        <v>457</v>
      </c>
      <c r="N138" s="1" t="s">
        <v>1740</v>
      </c>
      <c r="O138" s="1" t="str" cm="1">
        <f t="array" ref="O138">IF(N138&lt;&gt;"NtApp",_xlfn.REGEXEXTRACT(N138,"\d+(?=p)"),"NtApp")</f>
        <v>NtApp</v>
      </c>
      <c r="P138" s="1" t="s">
        <v>1740</v>
      </c>
      <c r="Q138" s="1" t="b">
        <f t="shared" si="5"/>
        <v>0</v>
      </c>
      <c r="R138" s="1" t="s">
        <v>1142</v>
      </c>
      <c r="S138" s="1" t="s">
        <v>1142</v>
      </c>
      <c r="T138" s="1">
        <v>0</v>
      </c>
    </row>
    <row r="139" spans="1:20" ht="30" x14ac:dyDescent="0.25">
      <c r="A139" s="1" t="str">
        <f t="shared" si="4"/>
        <v>Done</v>
      </c>
      <c r="B139" s="1" t="s">
        <v>1365</v>
      </c>
      <c r="C139" s="1">
        <v>14</v>
      </c>
      <c r="D139" s="1" t="s">
        <v>835</v>
      </c>
      <c r="E139" s="1" t="s">
        <v>1366</v>
      </c>
      <c r="F139" s="1" t="s">
        <v>63</v>
      </c>
      <c r="G139" s="1" t="s">
        <v>353</v>
      </c>
      <c r="H139" s="1" t="s">
        <v>432</v>
      </c>
      <c r="I139" s="1" t="s">
        <v>49</v>
      </c>
      <c r="J139" s="1">
        <v>5</v>
      </c>
      <c r="K139" s="1" t="s">
        <v>227</v>
      </c>
      <c r="L139" s="1" t="str" cm="1">
        <f t="array" ref="L139">_xlfn.REGEXEXTRACT(B139,"(?&lt;=//)[^/]+")</f>
        <v>www.whoreshub.com</v>
      </c>
      <c r="M139" s="1" t="s">
        <v>457</v>
      </c>
      <c r="N139" s="1" t="s">
        <v>1740</v>
      </c>
      <c r="O139" s="1" t="str" cm="1">
        <f t="array" ref="O139">IF(N139&lt;&gt;"NtApp",_xlfn.REGEXEXTRACT(N139,"\d+(?=p)"),"NtApp")</f>
        <v>NtApp</v>
      </c>
      <c r="P139" s="1" t="s">
        <v>1740</v>
      </c>
      <c r="Q139" s="1" t="b">
        <f t="shared" si="5"/>
        <v>0</v>
      </c>
      <c r="R139" s="1" t="s">
        <v>1367</v>
      </c>
      <c r="S139" s="1" t="s">
        <v>1367</v>
      </c>
      <c r="T139" s="1">
        <v>0</v>
      </c>
    </row>
    <row r="140" spans="1:20" ht="45" x14ac:dyDescent="0.25">
      <c r="A140" s="1" t="str">
        <f t="shared" si="4"/>
        <v>Done</v>
      </c>
      <c r="B140" s="1" t="s">
        <v>673</v>
      </c>
      <c r="C140" s="1">
        <v>15</v>
      </c>
      <c r="D140" s="1" t="s">
        <v>573</v>
      </c>
      <c r="E140" s="1" t="s">
        <v>335</v>
      </c>
      <c r="F140" s="1" t="s">
        <v>53</v>
      </c>
      <c r="G140" s="1" t="s">
        <v>1149</v>
      </c>
      <c r="H140" s="1" t="s">
        <v>2022</v>
      </c>
      <c r="I140" s="1" t="s">
        <v>49</v>
      </c>
      <c r="J140" s="1">
        <v>5</v>
      </c>
      <c r="K140" s="1" t="s">
        <v>1148</v>
      </c>
      <c r="L140" s="1" t="str" cm="1">
        <f t="array" ref="L140">_xlfn.REGEXEXTRACT(B140,"(?&lt;=//)[^/]+")</f>
        <v>hcbdsm.com</v>
      </c>
      <c r="M140" s="1" t="s">
        <v>457</v>
      </c>
      <c r="N140" s="1" t="s">
        <v>1740</v>
      </c>
      <c r="O140" s="1" t="str" cm="1">
        <f t="array" ref="O140">IF(N140&lt;&gt;"NtApp",_xlfn.REGEXEXTRACT(N140,"\d+(?=p)"),"NtApp")</f>
        <v>NtApp</v>
      </c>
      <c r="P140" s="1" t="s">
        <v>1740</v>
      </c>
      <c r="Q140" s="1" t="b">
        <f t="shared" si="5"/>
        <v>0</v>
      </c>
      <c r="R140" s="1" t="s">
        <v>1826</v>
      </c>
      <c r="S140" s="1" t="s">
        <v>1826</v>
      </c>
      <c r="T140" s="1">
        <v>0</v>
      </c>
    </row>
    <row r="141" spans="1:20" ht="45" x14ac:dyDescent="0.25">
      <c r="A141" s="1" t="str">
        <f t="shared" si="4"/>
        <v>Done</v>
      </c>
      <c r="B141" s="1" t="s">
        <v>1056</v>
      </c>
      <c r="C141" s="1">
        <v>20</v>
      </c>
      <c r="D141" s="1" t="s">
        <v>573</v>
      </c>
      <c r="E141" s="1" t="s">
        <v>188</v>
      </c>
      <c r="F141" s="1" t="s">
        <v>53</v>
      </c>
      <c r="G141" s="1" t="s">
        <v>2108</v>
      </c>
      <c r="H141" s="1" t="s">
        <v>734</v>
      </c>
      <c r="I141" s="1" t="s">
        <v>49</v>
      </c>
      <c r="J141" s="1">
        <v>5</v>
      </c>
      <c r="K141" s="1" t="s">
        <v>2109</v>
      </c>
      <c r="L141" s="1" t="str" cm="1">
        <f t="array" ref="L141">_xlfn.REGEXEXTRACT(B141,"(?&lt;=//)[^/]+")</f>
        <v>bdsmstreak.com</v>
      </c>
      <c r="M141" s="1" t="s">
        <v>457</v>
      </c>
      <c r="N141" s="1" t="s">
        <v>1740</v>
      </c>
      <c r="O141" s="1" t="str" cm="1">
        <f t="array" ref="O141">IF(N141&lt;&gt;"NtApp",_xlfn.REGEXEXTRACT(N141,"\d+(?=p)"),"NtApp")</f>
        <v>NtApp</v>
      </c>
      <c r="P141" s="1" t="s">
        <v>1740</v>
      </c>
      <c r="Q141" s="1" t="b">
        <f t="shared" si="5"/>
        <v>0</v>
      </c>
      <c r="R141" s="1" t="s">
        <v>1892</v>
      </c>
      <c r="S141" s="1" t="s">
        <v>1893</v>
      </c>
      <c r="T141" s="1">
        <v>8</v>
      </c>
    </row>
    <row r="142" spans="1:20" ht="60" x14ac:dyDescent="0.25">
      <c r="A142" s="1" t="str">
        <f t="shared" si="4"/>
        <v>Done</v>
      </c>
      <c r="B142" s="1" t="s">
        <v>1109</v>
      </c>
      <c r="C142" s="1">
        <v>23</v>
      </c>
      <c r="D142" s="1" t="s">
        <v>1297</v>
      </c>
      <c r="E142" s="1" t="s">
        <v>1110</v>
      </c>
      <c r="F142" s="1" t="s">
        <v>53</v>
      </c>
      <c r="G142" s="1" t="s">
        <v>2175</v>
      </c>
      <c r="H142" s="1" t="s">
        <v>2146</v>
      </c>
      <c r="I142" s="1" t="s">
        <v>49</v>
      </c>
      <c r="J142" s="1">
        <v>5</v>
      </c>
      <c r="K142" s="1" t="s">
        <v>2145</v>
      </c>
      <c r="L142" s="1" t="str" cm="1">
        <f t="array" ref="L142">_xlfn.REGEXEXTRACT(B142,"(?&lt;=//)[^/]+")</f>
        <v>www.eporner.com</v>
      </c>
      <c r="M142" s="1" t="s">
        <v>457</v>
      </c>
      <c r="N142" s="1" t="s">
        <v>1740</v>
      </c>
      <c r="O142" s="1" t="str" cm="1">
        <f t="array" ref="O142">IF(N142&lt;&gt;"NtApp",_xlfn.REGEXEXTRACT(N142,"\d+(?=p)"),"NtApp")</f>
        <v>NtApp</v>
      </c>
      <c r="P142" s="1" t="s">
        <v>1740</v>
      </c>
      <c r="Q142" s="1" t="b">
        <f t="shared" si="5"/>
        <v>1</v>
      </c>
      <c r="R142" s="1" t="s">
        <v>1855</v>
      </c>
      <c r="S142" s="1" t="s">
        <v>1856</v>
      </c>
      <c r="T142" s="1">
        <v>1</v>
      </c>
    </row>
    <row r="143" spans="1:20" ht="60" x14ac:dyDescent="0.25">
      <c r="A143" s="1" t="str">
        <f t="shared" si="4"/>
        <v>Done</v>
      </c>
      <c r="B143" s="1" t="s">
        <v>2273</v>
      </c>
      <c r="C143" s="1">
        <v>24</v>
      </c>
      <c r="D143" s="1" t="s">
        <v>73</v>
      </c>
      <c r="E143" s="1" t="s">
        <v>1585</v>
      </c>
      <c r="F143" s="1" t="s">
        <v>54</v>
      </c>
      <c r="G143" s="1" t="s">
        <v>2287</v>
      </c>
      <c r="H143" s="1" t="s">
        <v>2286</v>
      </c>
      <c r="I143" s="1" t="s">
        <v>49</v>
      </c>
      <c r="J143" s="1">
        <v>5</v>
      </c>
      <c r="K143" s="1" t="s">
        <v>2285</v>
      </c>
      <c r="L143" s="1" t="str" cm="1">
        <f t="array" ref="L143">_xlfn.REGEXEXTRACT(B143,"(?&lt;=//)[^/]+")</f>
        <v>heavyfetish.com</v>
      </c>
      <c r="M143" s="1" t="s">
        <v>457</v>
      </c>
      <c r="N143" s="1" t="s">
        <v>1740</v>
      </c>
      <c r="O143" s="1" t="str" cm="1">
        <f t="array" ref="O143">IF(N143&lt;&gt;"NtApp",_xlfn.REGEXEXTRACT(N143,"\d+(?=p)"),"NtApp")</f>
        <v>NtApp</v>
      </c>
      <c r="P143" s="1" t="s">
        <v>1740</v>
      </c>
      <c r="Q143" s="1" t="b">
        <f t="shared" si="5"/>
        <v>1</v>
      </c>
      <c r="R143" s="1" t="s">
        <v>1584</v>
      </c>
      <c r="S143" s="1" t="s">
        <v>1584</v>
      </c>
      <c r="T143" s="1">
        <v>0</v>
      </c>
    </row>
    <row r="144" spans="1:20" ht="60" x14ac:dyDescent="0.25">
      <c r="A144" s="1" t="str">
        <f t="shared" si="4"/>
        <v>Done</v>
      </c>
      <c r="B144" s="1" t="s">
        <v>1431</v>
      </c>
      <c r="C144" s="1">
        <v>27</v>
      </c>
      <c r="D144" s="1" t="s">
        <v>1432</v>
      </c>
      <c r="E144" s="1" t="s">
        <v>114</v>
      </c>
      <c r="F144" s="1" t="s">
        <v>1779</v>
      </c>
      <c r="G144" s="1" t="s">
        <v>345</v>
      </c>
      <c r="H144" s="1" t="s">
        <v>2171</v>
      </c>
      <c r="I144" s="1" t="s">
        <v>49</v>
      </c>
      <c r="J144" s="1">
        <v>5</v>
      </c>
      <c r="K144" s="1" t="s">
        <v>2172</v>
      </c>
      <c r="L144" s="1" t="str" cm="1">
        <f t="array" ref="L144">_xlfn.REGEXEXTRACT(B144,"(?&lt;=//)[^/]+")</f>
        <v>www.eporner.com</v>
      </c>
      <c r="M144" s="1" t="s">
        <v>457</v>
      </c>
      <c r="N144" s="1" t="s">
        <v>1740</v>
      </c>
      <c r="O144" s="1" t="str" cm="1">
        <f t="array" ref="O144">IF(N144&lt;&gt;"NtApp",_xlfn.REGEXEXTRACT(N144,"\d+(?=p)"),"NtApp")</f>
        <v>NtApp</v>
      </c>
      <c r="P144" s="1" t="s">
        <v>1740</v>
      </c>
      <c r="Q144" s="1" t="b">
        <f t="shared" si="5"/>
        <v>0</v>
      </c>
      <c r="R144" s="1" t="s">
        <v>1433</v>
      </c>
      <c r="S144" s="1" t="s">
        <v>1434</v>
      </c>
      <c r="T144" s="1">
        <v>0</v>
      </c>
    </row>
    <row r="145" spans="1:20" ht="30" x14ac:dyDescent="0.25">
      <c r="A145" s="1" t="str">
        <f t="shared" si="4"/>
        <v>Done</v>
      </c>
      <c r="B145" s="1" t="s">
        <v>483</v>
      </c>
      <c r="C145" s="1">
        <v>28</v>
      </c>
      <c r="D145" s="1" t="s">
        <v>835</v>
      </c>
      <c r="E145" s="1" t="s">
        <v>129</v>
      </c>
      <c r="F145" s="1" t="s">
        <v>484</v>
      </c>
      <c r="G145" s="1" t="s">
        <v>485</v>
      </c>
      <c r="H145" s="1" t="s">
        <v>61</v>
      </c>
      <c r="I145" s="1" t="s">
        <v>49</v>
      </c>
      <c r="J145" s="1">
        <v>5</v>
      </c>
      <c r="K145" s="1" t="s">
        <v>486</v>
      </c>
      <c r="L145" s="1" t="str" cm="1">
        <f t="array" ref="L145">_xlfn.REGEXEXTRACT(B145,"(?&lt;=//)[^/]+")</f>
        <v>bdsmmansion.com</v>
      </c>
      <c r="M145" s="1" t="s">
        <v>457</v>
      </c>
      <c r="N145" s="1" t="s">
        <v>1740</v>
      </c>
      <c r="O145" s="1" t="str" cm="1">
        <f t="array" ref="O145">IF(N145&lt;&gt;"NtApp",_xlfn.REGEXEXTRACT(N145,"\d+(?=p)"),"NtApp")</f>
        <v>NtApp</v>
      </c>
      <c r="P145" s="1" t="s">
        <v>1740</v>
      </c>
      <c r="Q145" s="1" t="b">
        <f t="shared" si="5"/>
        <v>0</v>
      </c>
      <c r="R145" s="1" t="s">
        <v>1740</v>
      </c>
      <c r="S145" s="1" t="s">
        <v>1364</v>
      </c>
      <c r="T145" s="1">
        <v>0</v>
      </c>
    </row>
    <row r="146" spans="1:20" ht="30" x14ac:dyDescent="0.25">
      <c r="A146" s="1" t="str">
        <f t="shared" si="4"/>
        <v>Done</v>
      </c>
      <c r="B146" s="1" t="s">
        <v>451</v>
      </c>
      <c r="C146" s="1">
        <v>29</v>
      </c>
      <c r="D146" s="1" t="s">
        <v>73</v>
      </c>
      <c r="E146" s="1" t="s">
        <v>1363</v>
      </c>
      <c r="F146" s="1" t="s">
        <v>54</v>
      </c>
      <c r="G146" s="1" t="s">
        <v>2276</v>
      </c>
      <c r="H146" s="1" t="s">
        <v>315</v>
      </c>
      <c r="I146" s="1" t="s">
        <v>49</v>
      </c>
      <c r="J146" s="1">
        <v>5</v>
      </c>
      <c r="K146" s="1" t="s">
        <v>455</v>
      </c>
      <c r="L146" s="1" t="str" cm="1">
        <f t="array" ref="L146">_xlfn.REGEXEXTRACT(B146,"(?&lt;=//)[^/]+")</f>
        <v>www.xozilla.xxx</v>
      </c>
      <c r="M146" s="1" t="s">
        <v>457</v>
      </c>
      <c r="N146" s="1" t="s">
        <v>1740</v>
      </c>
      <c r="O146" s="1" t="str" cm="1">
        <f t="array" ref="O146">IF(N146&lt;&gt;"NtApp",_xlfn.REGEXEXTRACT(N146,"\d+(?=p)"),"NtApp")</f>
        <v>NtApp</v>
      </c>
      <c r="P146" s="1" t="s">
        <v>1740</v>
      </c>
      <c r="Q146" s="1" t="b">
        <f t="shared" si="5"/>
        <v>1</v>
      </c>
      <c r="R146" s="1" t="s">
        <v>1361</v>
      </c>
      <c r="S146" s="1" t="s">
        <v>1362</v>
      </c>
      <c r="T146" s="1">
        <v>0</v>
      </c>
    </row>
    <row r="147" spans="1:20" ht="30" x14ac:dyDescent="0.25">
      <c r="A147" s="1" t="str">
        <f t="shared" si="4"/>
        <v>Done</v>
      </c>
      <c r="B147" s="1" t="s">
        <v>1357</v>
      </c>
      <c r="C147" s="1">
        <v>35</v>
      </c>
      <c r="D147" s="1" t="s">
        <v>133</v>
      </c>
      <c r="E147" s="1" t="s">
        <v>279</v>
      </c>
      <c r="F147" s="1" t="s">
        <v>54</v>
      </c>
      <c r="G147" s="1" t="s">
        <v>813</v>
      </c>
      <c r="H147" s="1" t="s">
        <v>2329</v>
      </c>
      <c r="I147" s="1" t="s">
        <v>49</v>
      </c>
      <c r="J147" s="1">
        <v>5</v>
      </c>
      <c r="K147" s="1" t="s">
        <v>476</v>
      </c>
      <c r="L147" s="1" t="str" cm="1">
        <f t="array" ref="L147">_xlfn.REGEXEXTRACT(B147,"(?&lt;=//)[^/]+")</f>
        <v>www.femdomvc.com</v>
      </c>
      <c r="M147" s="1" t="s">
        <v>457</v>
      </c>
      <c r="N147" s="1" t="s">
        <v>1740</v>
      </c>
      <c r="O147" s="1" t="str" cm="1">
        <f t="array" ref="O147">IF(N147&lt;&gt;"NtApp",_xlfn.REGEXEXTRACT(N147,"\d+(?=p)"),"NtApp")</f>
        <v>NtApp</v>
      </c>
      <c r="P147" s="1" t="s">
        <v>1740</v>
      </c>
      <c r="Q147" s="1" t="b">
        <f t="shared" si="5"/>
        <v>1</v>
      </c>
      <c r="R147" s="1" t="s">
        <v>1356</v>
      </c>
      <c r="S147" s="1" t="s">
        <v>1358</v>
      </c>
      <c r="T147" s="1">
        <v>0</v>
      </c>
    </row>
    <row r="148" spans="1:20" ht="45" x14ac:dyDescent="0.25">
      <c r="A148" s="1" t="str">
        <f t="shared" si="4"/>
        <v>Done</v>
      </c>
      <c r="B148" s="1" t="s">
        <v>7</v>
      </c>
      <c r="C148" s="1">
        <v>41</v>
      </c>
      <c r="D148" s="1" t="s">
        <v>835</v>
      </c>
      <c r="E148" s="1" t="s">
        <v>278</v>
      </c>
      <c r="F148" s="1" t="s">
        <v>128</v>
      </c>
      <c r="G148" s="1" t="s">
        <v>826</v>
      </c>
      <c r="H148" s="1" t="s">
        <v>1959</v>
      </c>
      <c r="I148" s="1" t="s">
        <v>49</v>
      </c>
      <c r="J148" s="1">
        <v>5</v>
      </c>
      <c r="K148" s="1" t="s">
        <v>401</v>
      </c>
      <c r="L148" s="1" t="str" cm="1">
        <f t="array" ref="L148">_xlfn.REGEXEXTRACT(B148,"(?&lt;=//)[^/]+")</f>
        <v>spankbang.com</v>
      </c>
      <c r="M148" s="1" t="s">
        <v>457</v>
      </c>
      <c r="N148" s="1" t="s">
        <v>1740</v>
      </c>
      <c r="O148" s="1" t="str" cm="1">
        <f t="array" ref="O148">IF(N148&lt;&gt;"NtApp",_xlfn.REGEXEXTRACT(N148,"\d+(?=p)"),"NtApp")</f>
        <v>NtApp</v>
      </c>
      <c r="P148" s="1" t="s">
        <v>1740</v>
      </c>
      <c r="Q148" s="1" t="b">
        <f t="shared" si="5"/>
        <v>1</v>
      </c>
      <c r="R148" s="1" t="s">
        <v>1355</v>
      </c>
      <c r="S148" s="1" t="s">
        <v>1354</v>
      </c>
      <c r="T148" s="1">
        <v>0</v>
      </c>
    </row>
    <row r="149" spans="1:20" ht="30" x14ac:dyDescent="0.25">
      <c r="A149" s="1" t="str">
        <f t="shared" si="4"/>
        <v>Done</v>
      </c>
      <c r="B149" s="1" t="s">
        <v>101</v>
      </c>
      <c r="C149" s="1">
        <v>43</v>
      </c>
      <c r="D149" s="1" t="s">
        <v>573</v>
      </c>
      <c r="E149" s="1" t="s">
        <v>277</v>
      </c>
      <c r="F149" s="1" t="s">
        <v>53</v>
      </c>
      <c r="G149" s="1" t="s">
        <v>2209</v>
      </c>
      <c r="H149" s="1" t="s">
        <v>435</v>
      </c>
      <c r="I149" s="1" t="s">
        <v>49</v>
      </c>
      <c r="J149" s="1">
        <v>5</v>
      </c>
      <c r="K149" s="1" t="s">
        <v>144</v>
      </c>
      <c r="L149" s="1" t="str" cm="1">
        <f t="array" ref="L149">_xlfn.REGEXEXTRACT(B149,"(?&lt;=//)[^/]+")</f>
        <v>bdsmstreak.com</v>
      </c>
      <c r="M149" s="1" t="s">
        <v>457</v>
      </c>
      <c r="N149" s="1" t="s">
        <v>1740</v>
      </c>
      <c r="O149" s="1" t="str" cm="1">
        <f t="array" ref="O149">IF(N149&lt;&gt;"NtApp",_xlfn.REGEXEXTRACT(N149,"\d+(?=p)"),"NtApp")</f>
        <v>NtApp</v>
      </c>
      <c r="P149" s="1" t="s">
        <v>1740</v>
      </c>
      <c r="Q149" s="1" t="b">
        <f t="shared" si="5"/>
        <v>1</v>
      </c>
      <c r="R149" s="1" t="s">
        <v>1353</v>
      </c>
      <c r="S149" s="1" t="s">
        <v>1353</v>
      </c>
      <c r="T149" s="1">
        <v>0</v>
      </c>
    </row>
    <row r="150" spans="1:20" ht="30" x14ac:dyDescent="0.25">
      <c r="A150" s="1" t="str">
        <f t="shared" si="4"/>
        <v>Done</v>
      </c>
      <c r="B150" s="1" t="s">
        <v>792</v>
      </c>
      <c r="C150" s="1">
        <v>44</v>
      </c>
      <c r="D150" s="1" t="s">
        <v>567</v>
      </c>
      <c r="E150" s="1" t="s">
        <v>578</v>
      </c>
      <c r="F150" s="1" t="s">
        <v>63</v>
      </c>
      <c r="G150" s="1" t="s">
        <v>2205</v>
      </c>
      <c r="H150" s="1" t="s">
        <v>471</v>
      </c>
      <c r="I150" s="1" t="s">
        <v>49</v>
      </c>
      <c r="J150" s="1">
        <v>5</v>
      </c>
      <c r="K150" s="1" t="s">
        <v>399</v>
      </c>
      <c r="L150" s="1" t="str" cm="1">
        <f t="array" ref="L150">_xlfn.REGEXEXTRACT(B150,"(?&lt;=//)[^/]+")</f>
        <v>bdsmstreak.com</v>
      </c>
      <c r="M150" s="1" t="s">
        <v>457</v>
      </c>
      <c r="N150" s="1" t="s">
        <v>1740</v>
      </c>
      <c r="O150" s="1" t="str" cm="1">
        <f t="array" ref="O150">IF(N150&lt;&gt;"NtApp",_xlfn.REGEXEXTRACT(N150,"\d+(?=p)"),"NtApp")</f>
        <v>NtApp</v>
      </c>
      <c r="P150" s="1" t="s">
        <v>1740</v>
      </c>
      <c r="Q150" s="1" t="b">
        <f t="shared" si="5"/>
        <v>1</v>
      </c>
      <c r="R150" s="1" t="s">
        <v>1352</v>
      </c>
      <c r="S150" s="1" t="s">
        <v>1351</v>
      </c>
      <c r="T150" s="1">
        <v>0</v>
      </c>
    </row>
    <row r="151" spans="1:20" ht="45" x14ac:dyDescent="0.25">
      <c r="A151" s="1" t="str">
        <f t="shared" si="4"/>
        <v>Done</v>
      </c>
      <c r="B151" s="1" t="s">
        <v>580</v>
      </c>
      <c r="C151" s="1">
        <v>44</v>
      </c>
      <c r="D151" s="1" t="s">
        <v>577</v>
      </c>
      <c r="E151" s="1" t="s">
        <v>1823</v>
      </c>
      <c r="F151" s="1" t="s">
        <v>53</v>
      </c>
      <c r="G151" s="1" t="s">
        <v>2316</v>
      </c>
      <c r="H151" s="1" t="s">
        <v>628</v>
      </c>
      <c r="I151" s="1" t="s">
        <v>49</v>
      </c>
      <c r="J151" s="1">
        <v>5</v>
      </c>
      <c r="K151" s="1" t="s">
        <v>627</v>
      </c>
      <c r="L151" s="1" t="str" cm="1">
        <f t="array" ref="L151">_xlfn.REGEXEXTRACT(B151,"(?&lt;=//)[^/]+")</f>
        <v>bdsmstreak.com</v>
      </c>
      <c r="M151" s="1" t="s">
        <v>457</v>
      </c>
      <c r="N151" s="1" t="s">
        <v>1740</v>
      </c>
      <c r="O151" s="1" t="str" cm="1">
        <f t="array" ref="O151">IF(N151&lt;&gt;"NtApp",_xlfn.REGEXEXTRACT(N151,"\d+(?=p)"),"NtApp")</f>
        <v>NtApp</v>
      </c>
      <c r="P151" s="1" t="s">
        <v>1740</v>
      </c>
      <c r="Q151" s="1" t="b">
        <f t="shared" si="5"/>
        <v>1</v>
      </c>
      <c r="R151" s="1" t="s">
        <v>1824</v>
      </c>
      <c r="S151" s="1" t="s">
        <v>1825</v>
      </c>
      <c r="T151" s="1">
        <v>0</v>
      </c>
    </row>
    <row r="152" spans="1:20" ht="60" x14ac:dyDescent="0.25">
      <c r="A152" s="1" t="str">
        <f t="shared" si="4"/>
        <v>Done</v>
      </c>
      <c r="B152" s="1" t="s">
        <v>100</v>
      </c>
      <c r="C152" s="1">
        <v>44</v>
      </c>
      <c r="D152" s="1" t="s">
        <v>835</v>
      </c>
      <c r="E152" s="1" t="s">
        <v>350</v>
      </c>
      <c r="F152" s="1" t="s">
        <v>156</v>
      </c>
      <c r="G152" s="1" t="s">
        <v>2064</v>
      </c>
      <c r="H152" s="1" t="s">
        <v>2061</v>
      </c>
      <c r="I152" s="1" t="s">
        <v>246</v>
      </c>
      <c r="J152" s="1">
        <v>5</v>
      </c>
      <c r="K152" s="1" t="s">
        <v>1404</v>
      </c>
      <c r="L152" s="1" t="str" cm="1">
        <f t="array" ref="L152">_xlfn.REGEXEXTRACT(B152,"(?&lt;=//)[^/]+")</f>
        <v>txxx.com</v>
      </c>
      <c r="M152" s="1" t="s">
        <v>457</v>
      </c>
      <c r="N152" s="1" t="s">
        <v>1740</v>
      </c>
      <c r="O152" s="1" t="str" cm="1">
        <f t="array" ref="O152">IF(N152&lt;&gt;"NtApp",_xlfn.REGEXEXTRACT(N152,"\d+(?=p)"),"NtApp")</f>
        <v>NtApp</v>
      </c>
      <c r="P152" s="1" t="s">
        <v>1740</v>
      </c>
      <c r="Q152" s="1" t="b">
        <f t="shared" si="5"/>
        <v>1</v>
      </c>
      <c r="R152" s="1" t="s">
        <v>1740</v>
      </c>
      <c r="S152" s="1" t="s">
        <v>1405</v>
      </c>
      <c r="T152" s="1">
        <v>0</v>
      </c>
    </row>
    <row r="153" spans="1:20" ht="30" x14ac:dyDescent="0.25">
      <c r="A153" s="1" t="str">
        <f t="shared" si="4"/>
        <v>Done</v>
      </c>
      <c r="B153" s="1" t="s">
        <v>1348</v>
      </c>
      <c r="C153" s="1">
        <v>46</v>
      </c>
      <c r="D153" s="1" t="s">
        <v>566</v>
      </c>
      <c r="E153" s="1" t="s">
        <v>242</v>
      </c>
      <c r="F153" s="1" t="s">
        <v>53</v>
      </c>
      <c r="G153" s="1" t="s">
        <v>1935</v>
      </c>
      <c r="H153" s="1" t="s">
        <v>2045</v>
      </c>
      <c r="I153" s="1" t="s">
        <v>49</v>
      </c>
      <c r="J153" s="1">
        <v>5</v>
      </c>
      <c r="K153" s="1" t="s">
        <v>1350</v>
      </c>
      <c r="L153" s="1" t="str" cm="1">
        <f t="array" ref="L153">_xlfn.REGEXEXTRACT(B153,"(?&lt;=//)[^/]+")</f>
        <v>pornone.com</v>
      </c>
      <c r="M153" s="1" t="s">
        <v>457</v>
      </c>
      <c r="N153" s="1" t="s">
        <v>1740</v>
      </c>
      <c r="O153" s="1" t="str" cm="1">
        <f t="array" ref="O153">IF(N153&lt;&gt;"NtApp",_xlfn.REGEXEXTRACT(N153,"\d+(?=p)"),"NtApp")</f>
        <v>NtApp</v>
      </c>
      <c r="P153" s="1" t="s">
        <v>1740</v>
      </c>
      <c r="Q153" s="1" t="b">
        <f t="shared" si="5"/>
        <v>0</v>
      </c>
      <c r="R153" s="1" t="s">
        <v>1347</v>
      </c>
      <c r="S153" s="1" t="s">
        <v>1349</v>
      </c>
      <c r="T153" s="1">
        <v>0</v>
      </c>
    </row>
    <row r="154" spans="1:20" ht="30" x14ac:dyDescent="0.25">
      <c r="A154" s="1" t="str">
        <f t="shared" si="4"/>
        <v>Done</v>
      </c>
      <c r="B154" s="1" t="s">
        <v>18</v>
      </c>
      <c r="C154" s="1">
        <v>46</v>
      </c>
      <c r="D154" s="1" t="s">
        <v>577</v>
      </c>
      <c r="E154" s="1" t="s">
        <v>163</v>
      </c>
      <c r="F154" s="1" t="s">
        <v>53</v>
      </c>
      <c r="G154" s="1" t="s">
        <v>379</v>
      </c>
      <c r="H154" s="1" t="s">
        <v>1998</v>
      </c>
      <c r="I154" s="1" t="s">
        <v>49</v>
      </c>
      <c r="J154" s="1">
        <v>5</v>
      </c>
      <c r="K154" s="1" t="s">
        <v>546</v>
      </c>
      <c r="L154" s="1" t="str" cm="1">
        <f t="array" ref="L154">_xlfn.REGEXEXTRACT(B154,"(?&lt;=//)[^/]+")</f>
        <v>heavyfetish.com</v>
      </c>
      <c r="M154" s="1" t="s">
        <v>457</v>
      </c>
      <c r="N154" s="1" t="s">
        <v>1740</v>
      </c>
      <c r="O154" s="1" t="str" cm="1">
        <f t="array" ref="O154">IF(N154&lt;&gt;"NtApp",_xlfn.REGEXEXTRACT(N154,"\d+(?=p)"),"NtApp")</f>
        <v>NtApp</v>
      </c>
      <c r="P154" s="1" t="s">
        <v>1740</v>
      </c>
      <c r="Q154" s="1" t="b">
        <f t="shared" si="5"/>
        <v>0</v>
      </c>
      <c r="R154" s="1" t="s">
        <v>1346</v>
      </c>
      <c r="S154" s="1" t="s">
        <v>1345</v>
      </c>
      <c r="T154" s="1">
        <v>0</v>
      </c>
    </row>
    <row r="155" spans="1:20" ht="30" x14ac:dyDescent="0.25">
      <c r="A155" s="1" t="str">
        <f t="shared" si="4"/>
        <v>Done</v>
      </c>
      <c r="B155" s="1" t="s">
        <v>255</v>
      </c>
      <c r="C155" s="1">
        <v>47</v>
      </c>
      <c r="D155" s="1" t="s">
        <v>567</v>
      </c>
      <c r="E155" s="1" t="s">
        <v>257</v>
      </c>
      <c r="F155" s="1" t="s">
        <v>63</v>
      </c>
      <c r="G155" s="1" t="s">
        <v>2240</v>
      </c>
      <c r="H155" s="1" t="s">
        <v>472</v>
      </c>
      <c r="I155" s="1" t="s">
        <v>49</v>
      </c>
      <c r="J155" s="1">
        <v>5</v>
      </c>
      <c r="K155" s="1" t="s">
        <v>402</v>
      </c>
      <c r="L155" s="1" t="str" cm="1">
        <f t="array" ref="L155">_xlfn.REGEXEXTRACT(B155,"(?&lt;=//)[^/]+")</f>
        <v>www.porntry.com</v>
      </c>
      <c r="M155" s="1" t="s">
        <v>457</v>
      </c>
      <c r="N155" s="1" t="s">
        <v>1740</v>
      </c>
      <c r="O155" s="1" t="str" cm="1">
        <f t="array" ref="O155">IF(N155&lt;&gt;"NtApp",_xlfn.REGEXEXTRACT(N155,"\d+(?=p)"),"NtApp")</f>
        <v>NtApp</v>
      </c>
      <c r="P155" s="1" t="s">
        <v>1740</v>
      </c>
      <c r="Q155" s="1" t="b">
        <f t="shared" si="5"/>
        <v>0</v>
      </c>
      <c r="R155" s="1" t="s">
        <v>1343</v>
      </c>
      <c r="S155" s="1" t="s">
        <v>1344</v>
      </c>
      <c r="T155" s="1">
        <v>0</v>
      </c>
    </row>
    <row r="156" spans="1:20" ht="45" x14ac:dyDescent="0.25">
      <c r="A156" s="1" t="str">
        <f t="shared" si="4"/>
        <v>Done</v>
      </c>
      <c r="B156" s="1" t="s">
        <v>536</v>
      </c>
      <c r="C156" s="1">
        <v>47</v>
      </c>
      <c r="D156" s="1" t="s">
        <v>566</v>
      </c>
      <c r="E156" s="1" t="s">
        <v>500</v>
      </c>
      <c r="F156" s="1" t="s">
        <v>53</v>
      </c>
      <c r="G156" s="1" t="s">
        <v>538</v>
      </c>
      <c r="H156" s="1" t="s">
        <v>2023</v>
      </c>
      <c r="I156" s="1" t="s">
        <v>49</v>
      </c>
      <c r="J156" s="1">
        <v>5</v>
      </c>
      <c r="K156" s="1" t="s">
        <v>539</v>
      </c>
      <c r="L156" s="1" t="str" cm="1">
        <f t="array" ref="L156">_xlfn.REGEXEXTRACT(B156,"(?&lt;=//)[^/]+")</f>
        <v>heavyfetish.com</v>
      </c>
      <c r="M156" s="1" t="s">
        <v>457</v>
      </c>
      <c r="N156" s="1" t="s">
        <v>1740</v>
      </c>
      <c r="O156" s="1" t="str" cm="1">
        <f t="array" ref="O156">IF(N156&lt;&gt;"NtApp",_xlfn.REGEXEXTRACT(N156,"\d+(?=p)"),"NtApp")</f>
        <v>NtApp</v>
      </c>
      <c r="P156" s="1" t="s">
        <v>1740</v>
      </c>
      <c r="Q156" s="1" t="b">
        <f t="shared" si="5"/>
        <v>0</v>
      </c>
      <c r="R156" s="1" t="s">
        <v>1338</v>
      </c>
      <c r="S156" s="1" t="s">
        <v>1339</v>
      </c>
      <c r="T156" s="1">
        <v>0</v>
      </c>
    </row>
    <row r="157" spans="1:20" ht="30" x14ac:dyDescent="0.25">
      <c r="A157" s="1" t="str">
        <f t="shared" si="4"/>
        <v>Done</v>
      </c>
      <c r="B157" s="1" t="s">
        <v>24</v>
      </c>
      <c r="C157" s="1">
        <v>50</v>
      </c>
      <c r="D157" s="1" t="s">
        <v>572</v>
      </c>
      <c r="E157" s="1" t="s">
        <v>285</v>
      </c>
      <c r="F157" s="1" t="s">
        <v>54</v>
      </c>
      <c r="G157" s="1" t="s">
        <v>1830</v>
      </c>
      <c r="H157" s="1" t="s">
        <v>427</v>
      </c>
      <c r="I157" s="1" t="s">
        <v>49</v>
      </c>
      <c r="J157" s="1">
        <v>5</v>
      </c>
      <c r="K157" s="1" t="s">
        <v>168</v>
      </c>
      <c r="L157" s="1" t="str" cm="1">
        <f t="array" ref="L157">_xlfn.REGEXEXTRACT(B157,"(?&lt;=//)[^/]+")</f>
        <v>hcbdsm.com</v>
      </c>
      <c r="M157" s="1" t="s">
        <v>457</v>
      </c>
      <c r="N157" s="1" t="s">
        <v>1740</v>
      </c>
      <c r="O157" s="1" t="str" cm="1">
        <f t="array" ref="O157">IF(N157&lt;&gt;"NtApp",_xlfn.REGEXEXTRACT(N157,"\d+(?=p)"),"NtApp")</f>
        <v>NtApp</v>
      </c>
      <c r="P157" s="1" t="s">
        <v>1740</v>
      </c>
      <c r="Q157" s="1" t="b">
        <f t="shared" si="5"/>
        <v>1</v>
      </c>
      <c r="R157" s="1" t="s">
        <v>1337</v>
      </c>
      <c r="S157" s="1" t="s">
        <v>1336</v>
      </c>
      <c r="T157" s="1">
        <v>0</v>
      </c>
    </row>
    <row r="158" spans="1:20" ht="30" x14ac:dyDescent="0.25">
      <c r="A158" s="1" t="str">
        <f t="shared" si="4"/>
        <v>Done</v>
      </c>
      <c r="B158" s="1" t="s">
        <v>1334</v>
      </c>
      <c r="C158" s="1">
        <v>54</v>
      </c>
      <c r="D158" s="1" t="s">
        <v>576</v>
      </c>
      <c r="E158" s="1" t="s">
        <v>258</v>
      </c>
      <c r="F158" s="1" t="s">
        <v>63</v>
      </c>
      <c r="G158" s="1" t="s">
        <v>2206</v>
      </c>
      <c r="H158" s="1" t="s">
        <v>315</v>
      </c>
      <c r="I158" s="1" t="s">
        <v>49</v>
      </c>
      <c r="J158" s="1">
        <v>5</v>
      </c>
      <c r="K158" s="1" t="s">
        <v>380</v>
      </c>
      <c r="L158" s="1" t="str" cm="1">
        <f t="array" ref="L158">_xlfn.REGEXEXTRACT(B158,"(?&lt;=//)[^/]+")</f>
        <v>bdsmstreak.com</v>
      </c>
      <c r="M158" s="1" t="s">
        <v>457</v>
      </c>
      <c r="N158" s="1" t="s">
        <v>1740</v>
      </c>
      <c r="O158" s="1" t="str" cm="1">
        <f t="array" ref="O158">IF(N158&lt;&gt;"NtApp",_xlfn.REGEXEXTRACT(N158,"\d+(?=p)"),"NtApp")</f>
        <v>NtApp</v>
      </c>
      <c r="P158" s="1" t="s">
        <v>1740</v>
      </c>
      <c r="Q158" s="1" t="b">
        <f t="shared" si="5"/>
        <v>0</v>
      </c>
      <c r="R158" s="1" t="s">
        <v>1333</v>
      </c>
      <c r="S158" s="1" t="s">
        <v>1333</v>
      </c>
      <c r="T158" s="1">
        <v>0</v>
      </c>
    </row>
    <row r="159" spans="1:20" ht="30" x14ac:dyDescent="0.25">
      <c r="A159" s="1" t="str">
        <f t="shared" si="4"/>
        <v>Done</v>
      </c>
      <c r="B159" s="1" t="s">
        <v>1331</v>
      </c>
      <c r="C159" s="1">
        <v>54</v>
      </c>
      <c r="D159" s="1" t="s">
        <v>566</v>
      </c>
      <c r="E159" s="1" t="s">
        <v>329</v>
      </c>
      <c r="F159" s="1" t="s">
        <v>53</v>
      </c>
      <c r="G159" s="1" t="s">
        <v>2210</v>
      </c>
      <c r="H159" s="1" t="s">
        <v>438</v>
      </c>
      <c r="I159" s="1" t="s">
        <v>49</v>
      </c>
      <c r="J159" s="1">
        <v>5</v>
      </c>
      <c r="K159" s="1" t="s">
        <v>365</v>
      </c>
      <c r="L159" s="1" t="str" cm="1">
        <f t="array" ref="L159">_xlfn.REGEXEXTRACT(B159,"(?&lt;=//)[^/]+")</f>
        <v>www.tnaflix.com</v>
      </c>
      <c r="M159" s="1" t="s">
        <v>457</v>
      </c>
      <c r="N159" s="1" t="s">
        <v>1740</v>
      </c>
      <c r="O159" s="1" t="str" cm="1">
        <f t="array" ref="O159">IF(N159&lt;&gt;"NtApp",_xlfn.REGEXEXTRACT(N159,"\d+(?=p)"),"NtApp")</f>
        <v>NtApp</v>
      </c>
      <c r="P159" s="1" t="s">
        <v>1740</v>
      </c>
      <c r="Q159" s="1" t="b">
        <f t="shared" si="5"/>
        <v>0</v>
      </c>
      <c r="R159" s="1" t="s">
        <v>1330</v>
      </c>
      <c r="S159" s="1" t="s">
        <v>1332</v>
      </c>
      <c r="T159" s="1">
        <v>0</v>
      </c>
    </row>
    <row r="160" spans="1:20" ht="30" x14ac:dyDescent="0.25">
      <c r="A160" s="1" t="str">
        <f t="shared" si="4"/>
        <v>Done</v>
      </c>
      <c r="B160" s="1" t="s">
        <v>26</v>
      </c>
      <c r="C160" s="1">
        <v>55</v>
      </c>
      <c r="D160" s="1" t="s">
        <v>835</v>
      </c>
      <c r="E160" s="1" t="s">
        <v>837</v>
      </c>
      <c r="F160" s="1" t="s">
        <v>54</v>
      </c>
      <c r="G160" s="1" t="s">
        <v>1790</v>
      </c>
      <c r="H160" s="1" t="s">
        <v>2003</v>
      </c>
      <c r="I160" s="1" t="s">
        <v>49</v>
      </c>
      <c r="J160" s="1">
        <v>5</v>
      </c>
      <c r="K160" s="1" t="s">
        <v>177</v>
      </c>
      <c r="L160" s="1" t="str" cm="1">
        <f t="array" ref="L160">_xlfn.REGEXEXTRACT(B160,"(?&lt;=//)[^/]+")</f>
        <v>spankbang.com</v>
      </c>
      <c r="M160" s="1" t="s">
        <v>457</v>
      </c>
      <c r="N160" s="1" t="s">
        <v>1740</v>
      </c>
      <c r="O160" s="1" t="str" cm="1">
        <f t="array" ref="O160">IF(N160&lt;&gt;"NtApp",_xlfn.REGEXEXTRACT(N160,"\d+(?=p)"),"NtApp")</f>
        <v>NtApp</v>
      </c>
      <c r="P160" s="1" t="s">
        <v>1740</v>
      </c>
      <c r="Q160" s="1" t="b">
        <f t="shared" si="5"/>
        <v>0</v>
      </c>
      <c r="R160" s="1" t="s">
        <v>1740</v>
      </c>
      <c r="S160" s="1" t="s">
        <v>1329</v>
      </c>
      <c r="T160" s="1">
        <v>0</v>
      </c>
    </row>
    <row r="161" spans="1:20" ht="45" x14ac:dyDescent="0.25">
      <c r="A161" s="1" t="str">
        <f t="shared" si="4"/>
        <v>Done</v>
      </c>
      <c r="B161" s="1" t="s">
        <v>1327</v>
      </c>
      <c r="C161" s="1">
        <v>55</v>
      </c>
      <c r="D161" s="1" t="s">
        <v>577</v>
      </c>
      <c r="E161" s="1" t="s">
        <v>131</v>
      </c>
      <c r="F161" s="1" t="s">
        <v>53</v>
      </c>
      <c r="G161" s="1" t="s">
        <v>2213</v>
      </c>
      <c r="H161" s="1" t="s">
        <v>1963</v>
      </c>
      <c r="I161" s="1" t="s">
        <v>49</v>
      </c>
      <c r="J161" s="1">
        <v>5</v>
      </c>
      <c r="K161" s="1" t="s">
        <v>416</v>
      </c>
      <c r="L161" s="1" t="str" cm="1">
        <f t="array" ref="L161">_xlfn.REGEXEXTRACT(B161,"(?&lt;=//)[^/]+")</f>
        <v>bdsmstreak.com</v>
      </c>
      <c r="M161" s="1" t="s">
        <v>457</v>
      </c>
      <c r="N161" s="1" t="s">
        <v>1740</v>
      </c>
      <c r="O161" s="1" t="str" cm="1">
        <f t="array" ref="O161">IF(N161&lt;&gt;"NtApp",_xlfn.REGEXEXTRACT(N161,"\d+(?=p)"),"NtApp")</f>
        <v>NtApp</v>
      </c>
      <c r="P161" s="1" t="s">
        <v>1740</v>
      </c>
      <c r="Q161" s="1" t="b">
        <f t="shared" si="5"/>
        <v>0</v>
      </c>
      <c r="R161" s="1" t="s">
        <v>1326</v>
      </c>
      <c r="S161" s="1" t="s">
        <v>1328</v>
      </c>
      <c r="T161" s="1">
        <v>0</v>
      </c>
    </row>
    <row r="162" spans="1:20" ht="45" x14ac:dyDescent="0.25">
      <c r="A162" s="1" t="str">
        <f t="shared" si="4"/>
        <v>Done</v>
      </c>
      <c r="B162" s="1" t="s">
        <v>42</v>
      </c>
      <c r="C162" s="1">
        <v>57</v>
      </c>
      <c r="D162" s="1" t="s">
        <v>576</v>
      </c>
      <c r="E162" s="1" t="s">
        <v>151</v>
      </c>
      <c r="F162" s="1" t="s">
        <v>63</v>
      </c>
      <c r="G162" s="1" t="s">
        <v>2283</v>
      </c>
      <c r="H162" s="1" t="s">
        <v>2036</v>
      </c>
      <c r="I162" s="1" t="s">
        <v>49</v>
      </c>
      <c r="J162" s="1">
        <v>5</v>
      </c>
      <c r="K162" s="1" t="s">
        <v>2282</v>
      </c>
      <c r="L162" s="1" t="str" cm="1">
        <f t="array" ref="L162">_xlfn.REGEXEXTRACT(B162,"(?&lt;=//)[^/]+")</f>
        <v>bdsmstreak.com</v>
      </c>
      <c r="M162" s="1" t="s">
        <v>457</v>
      </c>
      <c r="N162" s="1" t="s">
        <v>1740</v>
      </c>
      <c r="O162" s="1" t="str" cm="1">
        <f t="array" ref="O162">IF(N162&lt;&gt;"NtApp",_xlfn.REGEXEXTRACT(N162,"\d+(?=p)"),"NtApp")</f>
        <v>NtApp</v>
      </c>
      <c r="P162" s="1" t="s">
        <v>1740</v>
      </c>
      <c r="Q162" s="1" t="b">
        <f t="shared" si="5"/>
        <v>0</v>
      </c>
      <c r="R162" s="1" t="s">
        <v>1821</v>
      </c>
      <c r="S162" s="1" t="s">
        <v>1821</v>
      </c>
      <c r="T162" s="1">
        <v>0</v>
      </c>
    </row>
    <row r="163" spans="1:20" ht="30" x14ac:dyDescent="0.25">
      <c r="A163" s="1" t="str">
        <f t="shared" si="4"/>
        <v>Done</v>
      </c>
      <c r="B163" s="1" t="s">
        <v>1324</v>
      </c>
      <c r="C163" s="1">
        <v>60</v>
      </c>
      <c r="D163" s="1" t="s">
        <v>572</v>
      </c>
      <c r="E163" s="1" t="s">
        <v>186</v>
      </c>
      <c r="F163" s="1" t="s">
        <v>54</v>
      </c>
      <c r="G163" s="1" t="s">
        <v>2211</v>
      </c>
      <c r="H163" s="1" t="s">
        <v>2010</v>
      </c>
      <c r="I163" s="1" t="s">
        <v>49</v>
      </c>
      <c r="J163" s="1">
        <v>5</v>
      </c>
      <c r="K163" s="1" t="s">
        <v>388</v>
      </c>
      <c r="L163" s="1" t="str" cm="1">
        <f t="array" ref="L163">_xlfn.REGEXEXTRACT(B163,"(?&lt;=//)[^/]+")</f>
        <v>bdsmstreak.com</v>
      </c>
      <c r="M163" s="1" t="s">
        <v>457</v>
      </c>
      <c r="N163" s="1" t="s">
        <v>1740</v>
      </c>
      <c r="O163" s="1" t="str" cm="1">
        <f t="array" ref="O163">IF(N163&lt;&gt;"NtApp",_xlfn.REGEXEXTRACT(N163,"\d+(?=p)"),"NtApp")</f>
        <v>NtApp</v>
      </c>
      <c r="P163" s="1" t="s">
        <v>1740</v>
      </c>
      <c r="Q163" s="1" t="b">
        <f t="shared" si="5"/>
        <v>0</v>
      </c>
      <c r="R163" s="1" t="s">
        <v>1323</v>
      </c>
      <c r="S163" s="1" t="s">
        <v>1325</v>
      </c>
      <c r="T163" s="1">
        <v>0</v>
      </c>
    </row>
    <row r="164" spans="1:20" ht="75" x14ac:dyDescent="0.25">
      <c r="A164" s="1" t="str">
        <f t="shared" si="4"/>
        <v>Done</v>
      </c>
      <c r="B164" s="1" t="s">
        <v>789</v>
      </c>
      <c r="C164" s="1">
        <v>62</v>
      </c>
      <c r="D164" s="1" t="s">
        <v>573</v>
      </c>
      <c r="E164" s="1" t="s">
        <v>187</v>
      </c>
      <c r="F164" s="1" t="s">
        <v>53</v>
      </c>
      <c r="G164" s="1" t="s">
        <v>2254</v>
      </c>
      <c r="H164" s="1" t="s">
        <v>2017</v>
      </c>
      <c r="I164" s="1" t="s">
        <v>49</v>
      </c>
      <c r="J164" s="1">
        <v>5</v>
      </c>
      <c r="K164" s="1" t="s">
        <v>393</v>
      </c>
      <c r="L164" s="1" t="str" cm="1">
        <f t="array" ref="L164">_xlfn.REGEXEXTRACT(B164,"(?&lt;=//)[^/]+")</f>
        <v>hcbdsm.com</v>
      </c>
      <c r="M164" s="1" t="s">
        <v>457</v>
      </c>
      <c r="N164" s="1" t="s">
        <v>1740</v>
      </c>
      <c r="O164" s="1" t="str" cm="1">
        <f t="array" ref="O164">IF(N164&lt;&gt;"NtApp",_xlfn.REGEXEXTRACT(N164,"\d+(?=p)"),"NtApp")</f>
        <v>NtApp</v>
      </c>
      <c r="P164" s="1" t="s">
        <v>1740</v>
      </c>
      <c r="Q164" s="1" t="b">
        <f t="shared" si="5"/>
        <v>0</v>
      </c>
      <c r="R164" s="1" t="s">
        <v>1827</v>
      </c>
      <c r="S164" s="1" t="s">
        <v>1828</v>
      </c>
      <c r="T164" s="1">
        <v>0</v>
      </c>
    </row>
    <row r="165" spans="1:20" ht="30" x14ac:dyDescent="0.25">
      <c r="A165" s="1" t="str">
        <f t="shared" si="4"/>
        <v>Done</v>
      </c>
      <c r="B165" s="1" t="s">
        <v>815</v>
      </c>
      <c r="C165" s="1">
        <v>64</v>
      </c>
      <c r="D165" s="1" t="s">
        <v>576</v>
      </c>
      <c r="E165" s="1" t="s">
        <v>332</v>
      </c>
      <c r="F165" s="1" t="s">
        <v>63</v>
      </c>
      <c r="G165" s="1" t="s">
        <v>2078</v>
      </c>
      <c r="H165" s="1" t="s">
        <v>431</v>
      </c>
      <c r="I165" s="1" t="s">
        <v>49</v>
      </c>
      <c r="J165" s="1">
        <v>5</v>
      </c>
      <c r="K165" s="1" t="s">
        <v>2079</v>
      </c>
      <c r="L165" s="1" t="str" cm="1">
        <f t="array" ref="L165">_xlfn.REGEXEXTRACT(B165,"(?&lt;=//)[^/]+")</f>
        <v>hcbdsm.com</v>
      </c>
      <c r="M165" s="1" t="s">
        <v>457</v>
      </c>
      <c r="N165" s="1" t="s">
        <v>1740</v>
      </c>
      <c r="O165" s="1" t="str" cm="1">
        <f t="array" ref="O165">IF(N165&lt;&gt;"NtApp",_xlfn.REGEXEXTRACT(N165,"\d+(?=p)"),"NtApp")</f>
        <v>NtApp</v>
      </c>
      <c r="P165" s="1" t="s">
        <v>1740</v>
      </c>
      <c r="Q165" s="1" t="b">
        <f t="shared" si="5"/>
        <v>1</v>
      </c>
      <c r="R165" s="1" t="s">
        <v>1322</v>
      </c>
      <c r="S165" s="1" t="s">
        <v>1322</v>
      </c>
      <c r="T165" s="1">
        <v>0</v>
      </c>
    </row>
    <row r="166" spans="1:20" ht="30" x14ac:dyDescent="0.25">
      <c r="A166" s="1" t="str">
        <f t="shared" si="4"/>
        <v>Done</v>
      </c>
      <c r="B166" s="1" t="s">
        <v>671</v>
      </c>
      <c r="C166" s="1">
        <v>65</v>
      </c>
      <c r="D166" s="1" t="s">
        <v>573</v>
      </c>
      <c r="E166" s="1" t="s">
        <v>188</v>
      </c>
      <c r="F166" s="1" t="s">
        <v>54</v>
      </c>
      <c r="G166" s="1" t="s">
        <v>2208</v>
      </c>
      <c r="H166" s="1" t="s">
        <v>2009</v>
      </c>
      <c r="I166" s="1" t="s">
        <v>49</v>
      </c>
      <c r="J166" s="1">
        <v>5</v>
      </c>
      <c r="K166" s="1" t="s">
        <v>362</v>
      </c>
      <c r="L166" s="1" t="str" cm="1">
        <f t="array" ref="L166">_xlfn.REGEXEXTRACT(B166,"(?&lt;=//)[^/]+")</f>
        <v>hcbdsm.com</v>
      </c>
      <c r="M166" s="1" t="s">
        <v>457</v>
      </c>
      <c r="N166" s="1" t="s">
        <v>1740</v>
      </c>
      <c r="O166" s="1" t="str" cm="1">
        <f t="array" ref="O166">IF(N166&lt;&gt;"NtApp",_xlfn.REGEXEXTRACT(N166,"\d+(?=p)"),"NtApp")</f>
        <v>NtApp</v>
      </c>
      <c r="P166" s="1" t="s">
        <v>1740</v>
      </c>
      <c r="Q166" s="1" t="b">
        <f t="shared" si="5"/>
        <v>0</v>
      </c>
      <c r="R166" s="1" t="s">
        <v>1321</v>
      </c>
      <c r="S166" s="1" t="s">
        <v>1320</v>
      </c>
      <c r="T166" s="1">
        <v>0</v>
      </c>
    </row>
    <row r="167" spans="1:20" ht="30" x14ac:dyDescent="0.25">
      <c r="A167" s="1" t="str">
        <f t="shared" si="4"/>
        <v>Done</v>
      </c>
      <c r="B167" s="1" t="s">
        <v>524</v>
      </c>
      <c r="C167" s="1">
        <v>70</v>
      </c>
      <c r="D167" s="1" t="s">
        <v>576</v>
      </c>
      <c r="E167" s="1" t="s">
        <v>523</v>
      </c>
      <c r="F167" s="1" t="s">
        <v>63</v>
      </c>
      <c r="G167" s="1" t="s">
        <v>2215</v>
      </c>
      <c r="H167" s="1" t="s">
        <v>343</v>
      </c>
      <c r="I167" s="1" t="s">
        <v>49</v>
      </c>
      <c r="J167" s="1">
        <v>5</v>
      </c>
      <c r="K167" s="1" t="s">
        <v>639</v>
      </c>
      <c r="L167" s="1" t="str" cm="1">
        <f t="array" ref="L167">_xlfn.REGEXEXTRACT(B167,"(?&lt;=//)[^/]+")</f>
        <v>www.pornissimo.org</v>
      </c>
      <c r="M167" s="1" t="s">
        <v>457</v>
      </c>
      <c r="N167" s="1" t="s">
        <v>1740</v>
      </c>
      <c r="O167" s="1" t="str" cm="1">
        <f t="array" ref="O167">IF(N167&lt;&gt;"NtApp",_xlfn.REGEXEXTRACT(N167,"\d+(?=p)"),"NtApp")</f>
        <v>NtApp</v>
      </c>
      <c r="P167" s="1" t="s">
        <v>1740</v>
      </c>
      <c r="Q167" s="1" t="b">
        <f t="shared" si="5"/>
        <v>0</v>
      </c>
      <c r="R167" s="1" t="s">
        <v>1319</v>
      </c>
      <c r="S167" s="1" t="s">
        <v>1319</v>
      </c>
      <c r="T167" s="1">
        <v>0</v>
      </c>
    </row>
    <row r="168" spans="1:20" ht="45" x14ac:dyDescent="0.25">
      <c r="A168" s="1" t="str">
        <f t="shared" si="4"/>
        <v>Done</v>
      </c>
      <c r="B168" s="1" t="s">
        <v>1318</v>
      </c>
      <c r="C168" s="1">
        <v>89</v>
      </c>
      <c r="D168" s="1" t="s">
        <v>577</v>
      </c>
      <c r="E168" s="1" t="s">
        <v>794</v>
      </c>
      <c r="F168" s="1" t="s">
        <v>53</v>
      </c>
      <c r="G168" s="1" t="s">
        <v>1135</v>
      </c>
      <c r="H168" s="1" t="s">
        <v>2008</v>
      </c>
      <c r="I168" s="1" t="s">
        <v>49</v>
      </c>
      <c r="J168" s="1">
        <v>5</v>
      </c>
      <c r="K168" s="1" t="s">
        <v>1822</v>
      </c>
      <c r="L168" s="1" t="str" cm="1">
        <f t="array" ref="L168">_xlfn.REGEXEXTRACT(B168,"(?&lt;=//)[^/]+")</f>
        <v>bdsmstreak.com</v>
      </c>
      <c r="M168" s="1" t="s">
        <v>457</v>
      </c>
      <c r="N168" s="1" t="s">
        <v>1740</v>
      </c>
      <c r="O168" s="1" t="str" cm="1">
        <f t="array" ref="O168">IF(N168&lt;&gt;"NtApp",_xlfn.REGEXEXTRACT(N168,"\d+(?=p)"),"NtApp")</f>
        <v>NtApp</v>
      </c>
      <c r="P168" s="1" t="s">
        <v>1740</v>
      </c>
      <c r="Q168" s="1" t="b">
        <f t="shared" si="5"/>
        <v>1</v>
      </c>
      <c r="R168" s="1" t="s">
        <v>1317</v>
      </c>
      <c r="S168" s="1" t="s">
        <v>1317</v>
      </c>
      <c r="T168" s="1">
        <v>0</v>
      </c>
    </row>
    <row r="169" spans="1:20" ht="45" x14ac:dyDescent="0.25">
      <c r="A169" s="1" t="str">
        <f t="shared" si="4"/>
        <v>Done</v>
      </c>
      <c r="B169" s="1" t="s">
        <v>1315</v>
      </c>
      <c r="C169" s="1">
        <v>116</v>
      </c>
      <c r="D169" s="1" t="s">
        <v>835</v>
      </c>
      <c r="E169" s="1" t="s">
        <v>203</v>
      </c>
      <c r="F169" s="1" t="s">
        <v>53</v>
      </c>
      <c r="G169" s="1" t="s">
        <v>2241</v>
      </c>
      <c r="H169" s="1" t="s">
        <v>2011</v>
      </c>
      <c r="I169" s="1" t="s">
        <v>49</v>
      </c>
      <c r="J169" s="1">
        <v>5</v>
      </c>
      <c r="K169" s="1" t="s">
        <v>204</v>
      </c>
      <c r="L169" s="1" t="str" cm="1">
        <f t="array" ref="L169">_xlfn.REGEXEXTRACT(B169,"(?&lt;=//)[^/]+")</f>
        <v>bdsmstreak.com</v>
      </c>
      <c r="M169" s="1" t="s">
        <v>457</v>
      </c>
      <c r="N169" s="1" t="s">
        <v>1740</v>
      </c>
      <c r="O169" s="1" t="str" cm="1">
        <f t="array" ref="O169">IF(N169&lt;&gt;"NtApp",_xlfn.REGEXEXTRACT(N169,"\d+(?=p)"),"NtApp")</f>
        <v>NtApp</v>
      </c>
      <c r="P169" s="1" t="s">
        <v>1740</v>
      </c>
      <c r="Q169" s="1" t="b">
        <f t="shared" si="5"/>
        <v>0</v>
      </c>
      <c r="R169" s="1" t="s">
        <v>1740</v>
      </c>
      <c r="S169" s="1" t="s">
        <v>1316</v>
      </c>
      <c r="T169" s="1">
        <v>0</v>
      </c>
    </row>
    <row r="170" spans="1:20" ht="30" x14ac:dyDescent="0.25">
      <c r="A170" s="1" t="str">
        <f t="shared" si="4"/>
        <v>Done</v>
      </c>
      <c r="B170" s="1" t="s">
        <v>234</v>
      </c>
      <c r="C170" s="1">
        <v>128</v>
      </c>
      <c r="D170" s="1" t="s">
        <v>835</v>
      </c>
      <c r="E170" s="1" t="s">
        <v>837</v>
      </c>
      <c r="F170" s="1" t="s">
        <v>128</v>
      </c>
      <c r="G170" s="1" t="s">
        <v>2080</v>
      </c>
      <c r="H170" s="1" t="s">
        <v>313</v>
      </c>
      <c r="I170" s="1" t="s">
        <v>49</v>
      </c>
      <c r="J170" s="1">
        <v>5</v>
      </c>
      <c r="K170" s="1" t="s">
        <v>1833</v>
      </c>
      <c r="L170" s="1" t="str" cm="1">
        <f t="array" ref="L170">_xlfn.REGEXEXTRACT(B170,"(?&lt;=//)[^/]+")</f>
        <v>heavyfetish.com</v>
      </c>
      <c r="M170" s="1" t="s">
        <v>457</v>
      </c>
      <c r="N170" s="1" t="s">
        <v>1740</v>
      </c>
      <c r="O170" s="1" t="str" cm="1">
        <f t="array" ref="O170">IF(N170&lt;&gt;"NtApp",_xlfn.REGEXEXTRACT(N170,"\d+(?=p)"),"NtApp")</f>
        <v>NtApp</v>
      </c>
      <c r="P170" s="1" t="s">
        <v>1740</v>
      </c>
      <c r="Q170" s="1" t="b">
        <f t="shared" si="5"/>
        <v>0</v>
      </c>
      <c r="R170" s="1" t="s">
        <v>1740</v>
      </c>
      <c r="S170" s="1" t="s">
        <v>1314</v>
      </c>
      <c r="T170" s="1">
        <v>0</v>
      </c>
    </row>
    <row r="171" spans="1:20" ht="30" x14ac:dyDescent="0.25">
      <c r="A171" s="1" t="str">
        <f t="shared" si="4"/>
        <v>Done</v>
      </c>
      <c r="B171" s="1" t="s">
        <v>2051</v>
      </c>
      <c r="C171" s="1">
        <v>129</v>
      </c>
      <c r="D171" s="1" t="s">
        <v>835</v>
      </c>
      <c r="E171" s="1" t="s">
        <v>1831</v>
      </c>
      <c r="F171" s="1" t="s">
        <v>53</v>
      </c>
      <c r="G171" s="1" t="s">
        <v>833</v>
      </c>
      <c r="H171" s="1" t="s">
        <v>312</v>
      </c>
      <c r="I171" s="1" t="s">
        <v>206</v>
      </c>
      <c r="J171" s="1">
        <v>5</v>
      </c>
      <c r="K171" s="1" t="s">
        <v>407</v>
      </c>
      <c r="L171" s="1" t="str" cm="1">
        <f t="array" ref="L171">_xlfn.REGEXEXTRACT(B171,"(?&lt;=//)[^/]+")</f>
        <v>highporn.net</v>
      </c>
      <c r="M171" s="1" t="s">
        <v>457</v>
      </c>
      <c r="N171" s="1" t="s">
        <v>1740</v>
      </c>
      <c r="O171" s="1" t="str" cm="1">
        <f t="array" ref="O171">IF(N171&lt;&gt;"NtApp",_xlfn.REGEXEXTRACT(N171,"\d+(?=p)"),"NtApp")</f>
        <v>NtApp</v>
      </c>
      <c r="P171" s="1" t="s">
        <v>1740</v>
      </c>
      <c r="Q171" s="1" t="b">
        <f t="shared" si="5"/>
        <v>1</v>
      </c>
      <c r="R171" s="1" t="s">
        <v>1313</v>
      </c>
      <c r="S171" s="1" t="s">
        <v>1313</v>
      </c>
      <c r="T171" s="1">
        <v>0</v>
      </c>
    </row>
    <row r="172" spans="1:20" ht="30" x14ac:dyDescent="0.25">
      <c r="A172" s="1" t="str">
        <f t="shared" si="4"/>
        <v>Done</v>
      </c>
      <c r="B172" s="1" t="s">
        <v>215</v>
      </c>
      <c r="C172" s="1">
        <v>0</v>
      </c>
      <c r="D172" s="1" t="s">
        <v>836</v>
      </c>
      <c r="E172" s="1" t="s">
        <v>837</v>
      </c>
      <c r="F172" s="1" t="s">
        <v>63</v>
      </c>
      <c r="G172" s="1" t="s">
        <v>2324</v>
      </c>
      <c r="H172" s="1" t="s">
        <v>2040</v>
      </c>
      <c r="I172" s="1" t="s">
        <v>206</v>
      </c>
      <c r="J172" s="1">
        <v>4</v>
      </c>
      <c r="K172" s="1" t="s">
        <v>216</v>
      </c>
      <c r="L172" s="1" t="str" cm="1">
        <f t="array" ref="L172">_xlfn.REGEXEXTRACT(B172,"(?&lt;=//)[^/]+")</f>
        <v>www.tubegalore.com</v>
      </c>
      <c r="M172" s="1" t="s">
        <v>457</v>
      </c>
      <c r="N172" s="1" t="s">
        <v>1740</v>
      </c>
      <c r="O172" s="1" t="str" cm="1">
        <f t="array" ref="O172">IF(N172&lt;&gt;"NtApp",_xlfn.REGEXEXTRACT(N172,"\d+(?=p)"),"NtApp")</f>
        <v>NtApp</v>
      </c>
      <c r="P172" s="1" t="s">
        <v>1740</v>
      </c>
      <c r="Q172" s="1" t="b">
        <f t="shared" si="5"/>
        <v>0</v>
      </c>
      <c r="R172" s="1" t="s">
        <v>1740</v>
      </c>
      <c r="S172" s="1" t="s">
        <v>1740</v>
      </c>
      <c r="T172" s="1">
        <v>0</v>
      </c>
    </row>
    <row r="173" spans="1:20" ht="30" x14ac:dyDescent="0.25">
      <c r="A173" s="1" t="str">
        <f t="shared" si="4"/>
        <v>Done</v>
      </c>
      <c r="B173" s="1" t="s">
        <v>336</v>
      </c>
      <c r="C173" s="1">
        <v>0</v>
      </c>
      <c r="D173" s="1" t="s">
        <v>836</v>
      </c>
      <c r="E173" s="1" t="s">
        <v>837</v>
      </c>
      <c r="F173" s="1" t="s">
        <v>235</v>
      </c>
      <c r="G173" s="1" t="s">
        <v>44</v>
      </c>
      <c r="H173" s="1" t="s">
        <v>311</v>
      </c>
      <c r="I173" s="1" t="s">
        <v>49</v>
      </c>
      <c r="J173" s="1">
        <v>4</v>
      </c>
      <c r="K173" s="1" t="s">
        <v>194</v>
      </c>
      <c r="L173" s="1" t="str" cm="1">
        <f t="array" ref="L173">_xlfn.REGEXEXTRACT(B173,"(?&lt;=//)[^/]+")</f>
        <v>netfapx.net</v>
      </c>
      <c r="M173" s="1" t="s">
        <v>457</v>
      </c>
      <c r="N173" s="1" t="s">
        <v>1740</v>
      </c>
      <c r="O173" s="1" t="str" cm="1">
        <f t="array" ref="O173">IF(N173&lt;&gt;"NtApp",_xlfn.REGEXEXTRACT(N173,"\d+(?=p)"),"NtApp")</f>
        <v>NtApp</v>
      </c>
      <c r="P173" s="1" t="s">
        <v>1740</v>
      </c>
      <c r="Q173" s="1" t="b">
        <f t="shared" si="5"/>
        <v>0</v>
      </c>
      <c r="R173" s="1" t="s">
        <v>1740</v>
      </c>
      <c r="S173" s="1" t="s">
        <v>1740</v>
      </c>
      <c r="T173" s="1">
        <v>0</v>
      </c>
    </row>
    <row r="174" spans="1:20" ht="30" x14ac:dyDescent="0.25">
      <c r="A174" s="1" t="str">
        <f t="shared" si="4"/>
        <v>Done</v>
      </c>
      <c r="B174" s="1" t="s">
        <v>337</v>
      </c>
      <c r="C174" s="1">
        <v>0</v>
      </c>
      <c r="D174" s="1" t="s">
        <v>836</v>
      </c>
      <c r="E174" s="1" t="s">
        <v>837</v>
      </c>
      <c r="F174" s="1" t="s">
        <v>235</v>
      </c>
      <c r="G174" s="1" t="s">
        <v>44</v>
      </c>
      <c r="H174" s="1" t="s">
        <v>311</v>
      </c>
      <c r="I174" s="1" t="s">
        <v>49</v>
      </c>
      <c r="J174" s="1">
        <v>4</v>
      </c>
      <c r="K174" s="1" t="s">
        <v>1837</v>
      </c>
      <c r="L174" s="1" t="str" cm="1">
        <f t="array" ref="L174">_xlfn.REGEXEXTRACT(B174,"(?&lt;=//)[^/]+")</f>
        <v>pornzog.com</v>
      </c>
      <c r="M174" s="1" t="s">
        <v>457</v>
      </c>
      <c r="N174" s="1" t="s">
        <v>1740</v>
      </c>
      <c r="O174" s="1" t="str" cm="1">
        <f t="array" ref="O174">IF(N174&lt;&gt;"NtApp",_xlfn.REGEXEXTRACT(N174,"\d+(?=p)"),"NtApp")</f>
        <v>NtApp</v>
      </c>
      <c r="P174" s="1" t="s">
        <v>1740</v>
      </c>
      <c r="Q174" s="1" t="b">
        <f t="shared" si="5"/>
        <v>0</v>
      </c>
      <c r="R174" s="1" t="s">
        <v>1740</v>
      </c>
      <c r="S174" s="1" t="s">
        <v>1740</v>
      </c>
      <c r="T174" s="1">
        <v>0</v>
      </c>
    </row>
    <row r="175" spans="1:20" ht="30" x14ac:dyDescent="0.25">
      <c r="A175" s="1" t="str">
        <f t="shared" si="4"/>
        <v>Done</v>
      </c>
      <c r="B175" s="1" t="s">
        <v>1415</v>
      </c>
      <c r="C175" s="1">
        <v>9</v>
      </c>
      <c r="D175" s="1" t="s">
        <v>147</v>
      </c>
      <c r="E175" s="1" t="s">
        <v>579</v>
      </c>
      <c r="F175" s="1" t="s">
        <v>127</v>
      </c>
      <c r="G175" s="1" t="s">
        <v>1418</v>
      </c>
      <c r="H175" s="1" t="s">
        <v>1936</v>
      </c>
      <c r="I175" s="1" t="s">
        <v>49</v>
      </c>
      <c r="J175" s="1">
        <v>4</v>
      </c>
      <c r="K175" s="1" t="s">
        <v>1417</v>
      </c>
      <c r="L175" s="1" t="str" cm="1">
        <f t="array" ref="L175">_xlfn.REGEXEXTRACT(B175,"(?&lt;=//)[^/]+")</f>
        <v>www.porntrex.com</v>
      </c>
      <c r="M175" s="1" t="s">
        <v>457</v>
      </c>
      <c r="N175" s="1" t="s">
        <v>1740</v>
      </c>
      <c r="O175" s="1" t="str" cm="1">
        <f t="array" ref="O175">IF(N175&lt;&gt;"NtApp",_xlfn.REGEXEXTRACT(N175,"\d+(?=p)"),"NtApp")</f>
        <v>NtApp</v>
      </c>
      <c r="P175" s="1" t="s">
        <v>1740</v>
      </c>
      <c r="Q175" s="1" t="b">
        <f t="shared" si="5"/>
        <v>0</v>
      </c>
      <c r="R175" s="1" t="s">
        <v>1414</v>
      </c>
      <c r="S175" s="1" t="s">
        <v>1416</v>
      </c>
      <c r="T175" s="1">
        <v>0</v>
      </c>
    </row>
    <row r="176" spans="1:20" ht="60" x14ac:dyDescent="0.25">
      <c r="A176" s="1" t="str">
        <f t="shared" si="4"/>
        <v>Done</v>
      </c>
      <c r="B176" s="1" t="s">
        <v>654</v>
      </c>
      <c r="C176" s="1">
        <v>9</v>
      </c>
      <c r="D176" s="1" t="s">
        <v>118</v>
      </c>
      <c r="E176" s="1" t="s">
        <v>648</v>
      </c>
      <c r="F176" s="1" t="s">
        <v>53</v>
      </c>
      <c r="G176" s="1" t="s">
        <v>2220</v>
      </c>
      <c r="H176" s="1" t="s">
        <v>430</v>
      </c>
      <c r="I176" s="1" t="s">
        <v>49</v>
      </c>
      <c r="J176" s="1">
        <v>4</v>
      </c>
      <c r="K176" s="1" t="s">
        <v>665</v>
      </c>
      <c r="L176" s="1" t="str" cm="1">
        <f t="array" ref="L176">_xlfn.REGEXEXTRACT(B176,"(?&lt;=//)[^/]+")</f>
        <v>www.porntrex.com</v>
      </c>
      <c r="M176" s="1" t="s">
        <v>456</v>
      </c>
      <c r="N176" s="1" t="s">
        <v>649</v>
      </c>
      <c r="O176" s="1" t="str" cm="1">
        <f t="array" ref="O176">IF(N176&lt;&gt;"NtApp",_xlfn.REGEXEXTRACT(N176,"\d+(?=p)"),"NtApp")</f>
        <v>1080</v>
      </c>
      <c r="P176" s="1" t="s">
        <v>655</v>
      </c>
      <c r="Q176" s="1" t="b">
        <f t="shared" si="5"/>
        <v>0</v>
      </c>
      <c r="R176" s="1" t="s">
        <v>650</v>
      </c>
      <c r="S176" s="1" t="s">
        <v>659</v>
      </c>
      <c r="T176" s="1">
        <v>0</v>
      </c>
    </row>
    <row r="177" spans="1:20" ht="45" x14ac:dyDescent="0.25">
      <c r="A177" s="1" t="str">
        <f t="shared" si="4"/>
        <v>Done</v>
      </c>
      <c r="B177" s="1" t="s">
        <v>1425</v>
      </c>
      <c r="C177" s="1">
        <v>11</v>
      </c>
      <c r="D177" s="1" t="s">
        <v>115</v>
      </c>
      <c r="E177" s="1" t="s">
        <v>59</v>
      </c>
      <c r="F177" s="1" t="s">
        <v>126</v>
      </c>
      <c r="G177" s="1" t="s">
        <v>2137</v>
      </c>
      <c r="H177" s="1" t="s">
        <v>2042</v>
      </c>
      <c r="I177" s="1" t="s">
        <v>49</v>
      </c>
      <c r="J177" s="1">
        <v>4</v>
      </c>
      <c r="K177" s="1" t="s">
        <v>1835</v>
      </c>
      <c r="L177" s="1" t="str" cm="1">
        <f t="array" ref="L177">_xlfn.REGEXEXTRACT(B177,"(?&lt;=//)[^/]+")</f>
        <v>www.pornhub.org</v>
      </c>
      <c r="M177" s="1" t="s">
        <v>457</v>
      </c>
      <c r="N177" s="1" t="s">
        <v>1740</v>
      </c>
      <c r="O177" s="1" t="str" cm="1">
        <f t="array" ref="O177">IF(N177&lt;&gt;"NtApp",_xlfn.REGEXEXTRACT(N177,"\d+(?=p)"),"NtApp")</f>
        <v>NtApp</v>
      </c>
      <c r="P177" s="1" t="s">
        <v>1740</v>
      </c>
      <c r="Q177" s="1" t="b">
        <f t="shared" si="5"/>
        <v>0</v>
      </c>
      <c r="R177" s="1" t="s">
        <v>1426</v>
      </c>
      <c r="S177" s="1" t="s">
        <v>1426</v>
      </c>
      <c r="T177" s="1">
        <v>0</v>
      </c>
    </row>
    <row r="178" spans="1:20" ht="45" x14ac:dyDescent="0.25">
      <c r="A178" s="1" t="str">
        <f t="shared" si="4"/>
        <v>Done</v>
      </c>
      <c r="B178" s="1" t="s">
        <v>759</v>
      </c>
      <c r="C178" s="1">
        <v>12</v>
      </c>
      <c r="D178" s="1" t="s">
        <v>573</v>
      </c>
      <c r="E178" s="1" t="s">
        <v>770</v>
      </c>
      <c r="F178" s="1" t="s">
        <v>54</v>
      </c>
      <c r="G178" s="1" t="s">
        <v>2244</v>
      </c>
      <c r="H178" s="1" t="s">
        <v>1995</v>
      </c>
      <c r="I178" s="1" t="s">
        <v>49</v>
      </c>
      <c r="J178" s="1">
        <v>4</v>
      </c>
      <c r="K178" s="1" t="s">
        <v>1140</v>
      </c>
      <c r="L178" s="1" t="str" cm="1">
        <f t="array" ref="L178">_xlfn.REGEXEXTRACT(B178,"(?&lt;=//)[^/]+")</f>
        <v>hcbdsm.com</v>
      </c>
      <c r="M178" s="1" t="s">
        <v>457</v>
      </c>
      <c r="N178" s="1" t="s">
        <v>1740</v>
      </c>
      <c r="O178" s="1" t="str" cm="1">
        <f t="array" ref="O178">IF(N178&lt;&gt;"NtApp",_xlfn.REGEXEXTRACT(N178,"\d+(?=p)"),"NtApp")</f>
        <v>NtApp</v>
      </c>
      <c r="P178" s="1" t="s">
        <v>1740</v>
      </c>
      <c r="Q178" s="1" t="b">
        <f t="shared" si="5"/>
        <v>1</v>
      </c>
      <c r="R178" s="1" t="s">
        <v>1841</v>
      </c>
      <c r="S178" s="1" t="s">
        <v>1841</v>
      </c>
      <c r="T178" s="1">
        <v>0</v>
      </c>
    </row>
    <row r="179" spans="1:20" ht="30" x14ac:dyDescent="0.25">
      <c r="A179" s="1" t="str">
        <f t="shared" si="4"/>
        <v>Done</v>
      </c>
      <c r="B179" s="1" t="s">
        <v>3</v>
      </c>
      <c r="C179" s="1">
        <v>13</v>
      </c>
      <c r="D179" s="1" t="s">
        <v>118</v>
      </c>
      <c r="E179" s="1" t="s">
        <v>116</v>
      </c>
      <c r="F179" s="1" t="s">
        <v>53</v>
      </c>
      <c r="G179" s="1" t="s">
        <v>414</v>
      </c>
      <c r="H179" s="1" t="s">
        <v>1949</v>
      </c>
      <c r="I179" s="1" t="s">
        <v>49</v>
      </c>
      <c r="J179" s="1">
        <v>4</v>
      </c>
      <c r="K179" s="1" t="s">
        <v>119</v>
      </c>
      <c r="L179" s="1" t="str" cm="1">
        <f t="array" ref="L179">_xlfn.REGEXEXTRACT(B179,"(?&lt;=//)[^/]+")</f>
        <v>heavyfetish.com</v>
      </c>
      <c r="M179" s="1" t="s">
        <v>457</v>
      </c>
      <c r="N179" s="1" t="s">
        <v>1740</v>
      </c>
      <c r="O179" s="1" t="str" cm="1">
        <f t="array" ref="O179">IF(N179&lt;&gt;"NtApp",_xlfn.REGEXEXTRACT(N179,"\d+(?=p)"),"NtApp")</f>
        <v>NtApp</v>
      </c>
      <c r="P179" s="1" t="s">
        <v>1740</v>
      </c>
      <c r="Q179" s="1" t="b">
        <f t="shared" si="5"/>
        <v>0</v>
      </c>
      <c r="R179" s="1" t="s">
        <v>1740</v>
      </c>
      <c r="S179" s="1" t="s">
        <v>1448</v>
      </c>
      <c r="T179" s="1">
        <v>0</v>
      </c>
    </row>
    <row r="180" spans="1:20" ht="30" x14ac:dyDescent="0.25">
      <c r="A180" s="1" t="str">
        <f t="shared" si="4"/>
        <v>Done</v>
      </c>
      <c r="B180" s="1" t="s">
        <v>107</v>
      </c>
      <c r="C180" s="1">
        <v>14</v>
      </c>
      <c r="D180" s="1" t="s">
        <v>118</v>
      </c>
      <c r="E180" s="1" t="s">
        <v>117</v>
      </c>
      <c r="F180" s="1" t="s">
        <v>53</v>
      </c>
      <c r="G180" s="1" t="s">
        <v>2221</v>
      </c>
      <c r="H180" s="1" t="s">
        <v>2053</v>
      </c>
      <c r="I180" s="1" t="s">
        <v>49</v>
      </c>
      <c r="J180" s="1">
        <v>4</v>
      </c>
      <c r="K180" s="1" t="s">
        <v>120</v>
      </c>
      <c r="L180" s="1" t="str" cm="1">
        <f t="array" ref="L180">_xlfn.REGEXEXTRACT(B180,"(?&lt;=//)[^/]+")</f>
        <v>heavyfetish.com</v>
      </c>
      <c r="M180" s="1" t="s">
        <v>457</v>
      </c>
      <c r="N180" s="1" t="s">
        <v>1740</v>
      </c>
      <c r="O180" s="1" t="str" cm="1">
        <f t="array" ref="O180">IF(N180&lt;&gt;"NtApp",_xlfn.REGEXEXTRACT(N180,"\d+(?=p)"),"NtApp")</f>
        <v>NtApp</v>
      </c>
      <c r="P180" s="1" t="s">
        <v>1740</v>
      </c>
      <c r="Q180" s="1" t="b">
        <f t="shared" si="5"/>
        <v>0</v>
      </c>
      <c r="R180" s="1" t="s">
        <v>1740</v>
      </c>
      <c r="S180" s="1" t="s">
        <v>1447</v>
      </c>
      <c r="T180" s="1">
        <v>0</v>
      </c>
    </row>
    <row r="181" spans="1:20" ht="30" x14ac:dyDescent="0.25">
      <c r="A181" s="1" t="str">
        <f t="shared" si="4"/>
        <v>Done</v>
      </c>
      <c r="B181" s="1" t="s">
        <v>862</v>
      </c>
      <c r="C181" s="1">
        <v>14</v>
      </c>
      <c r="D181" s="1" t="s">
        <v>577</v>
      </c>
      <c r="E181" s="1" t="s">
        <v>861</v>
      </c>
      <c r="F181" s="1" t="s">
        <v>53</v>
      </c>
      <c r="G181" s="1" t="s">
        <v>2068</v>
      </c>
      <c r="H181" s="1" t="s">
        <v>1147</v>
      </c>
      <c r="I181" s="1" t="s">
        <v>49</v>
      </c>
      <c r="J181" s="1">
        <v>4</v>
      </c>
      <c r="K181" s="1" t="s">
        <v>184</v>
      </c>
      <c r="L181" s="1" t="str" cm="1">
        <f t="array" ref="L181">_xlfn.REGEXEXTRACT(B181,"(?&lt;=//)[^/]+")</f>
        <v>hcbdsm.com</v>
      </c>
      <c r="M181" s="1" t="s">
        <v>457</v>
      </c>
      <c r="N181" s="1" t="s">
        <v>1740</v>
      </c>
      <c r="O181" s="1" t="str" cm="1">
        <f t="array" ref="O181">IF(N181&lt;&gt;"NtApp",_xlfn.REGEXEXTRACT(N181,"\d+(?=p)"),"NtApp")</f>
        <v>NtApp</v>
      </c>
      <c r="P181" s="1" t="s">
        <v>1740</v>
      </c>
      <c r="Q181" s="1" t="b">
        <f t="shared" si="5"/>
        <v>1</v>
      </c>
      <c r="R181" s="1" t="s">
        <v>1146</v>
      </c>
      <c r="S181" s="1" t="s">
        <v>1146</v>
      </c>
      <c r="T181" s="1">
        <v>8</v>
      </c>
    </row>
    <row r="182" spans="1:20" ht="45" x14ac:dyDescent="0.25">
      <c r="A182" s="1" t="str">
        <f t="shared" si="4"/>
        <v>Done</v>
      </c>
      <c r="B182" s="1" t="s">
        <v>955</v>
      </c>
      <c r="C182" s="1">
        <v>17</v>
      </c>
      <c r="D182" s="1" t="s">
        <v>573</v>
      </c>
      <c r="E182" s="1" t="s">
        <v>742</v>
      </c>
      <c r="F182" s="1" t="s">
        <v>53</v>
      </c>
      <c r="G182" s="1" t="s">
        <v>2102</v>
      </c>
      <c r="H182" s="1" t="s">
        <v>1147</v>
      </c>
      <c r="I182" s="1" t="s">
        <v>49</v>
      </c>
      <c r="J182" s="1">
        <v>4</v>
      </c>
      <c r="K182" s="1" t="s">
        <v>1152</v>
      </c>
      <c r="L182" s="1" t="str" cm="1">
        <f t="array" ref="L182">_xlfn.REGEXEXTRACT(B182,"(?&lt;=//)[^/]+")</f>
        <v>bdsmstreak.com</v>
      </c>
      <c r="M182" s="1" t="s">
        <v>457</v>
      </c>
      <c r="N182" s="1" t="s">
        <v>1740</v>
      </c>
      <c r="O182" s="1" t="str" cm="1">
        <f t="array" ref="O182">IF(N182&lt;&gt;"NtApp",_xlfn.REGEXEXTRACT(N182,"\d+(?=p)"),"NtApp")</f>
        <v>NtApp</v>
      </c>
      <c r="P182" s="1" t="s">
        <v>1740</v>
      </c>
      <c r="Q182" s="1" t="b">
        <f t="shared" si="5"/>
        <v>0</v>
      </c>
      <c r="R182" s="1" t="s">
        <v>1843</v>
      </c>
      <c r="S182" s="1" t="s">
        <v>1844</v>
      </c>
      <c r="T182" s="1">
        <v>8</v>
      </c>
    </row>
    <row r="183" spans="1:20" ht="45" x14ac:dyDescent="0.25">
      <c r="A183" s="1" t="str">
        <f t="shared" si="4"/>
        <v>Done</v>
      </c>
      <c r="B183" s="1" t="s">
        <v>1080</v>
      </c>
      <c r="C183" s="1">
        <v>21</v>
      </c>
      <c r="D183" s="1" t="s">
        <v>573</v>
      </c>
      <c r="E183" s="1" t="s">
        <v>1079</v>
      </c>
      <c r="F183" s="1" t="s">
        <v>53</v>
      </c>
      <c r="G183" s="1" t="s">
        <v>2110</v>
      </c>
      <c r="H183" s="1" t="s">
        <v>1962</v>
      </c>
      <c r="I183" s="1" t="s">
        <v>49</v>
      </c>
      <c r="J183" s="1">
        <v>4</v>
      </c>
      <c r="K183" s="1" t="s">
        <v>2111</v>
      </c>
      <c r="L183" s="1" t="str" cm="1">
        <f t="array" ref="L183">_xlfn.REGEXEXTRACT(B183,"(?&lt;=//)[^/]+")</f>
        <v>bdsmstreak.com</v>
      </c>
      <c r="M183" s="1" t="s">
        <v>457</v>
      </c>
      <c r="N183" s="1" t="s">
        <v>1740</v>
      </c>
      <c r="O183" s="1" t="str" cm="1">
        <f t="array" ref="O183">IF(N183&lt;&gt;"NtApp",_xlfn.REGEXEXTRACT(N183,"\d+(?=p)"),"NtApp")</f>
        <v>NtApp</v>
      </c>
      <c r="P183" s="1" t="s">
        <v>1740</v>
      </c>
      <c r="Q183" s="1" t="b">
        <f t="shared" si="5"/>
        <v>0</v>
      </c>
      <c r="R183" s="1" t="s">
        <v>1894</v>
      </c>
      <c r="S183" s="1" t="s">
        <v>1895</v>
      </c>
      <c r="T183" s="1">
        <v>7</v>
      </c>
    </row>
    <row r="184" spans="1:20" ht="30" x14ac:dyDescent="0.25">
      <c r="A184" s="1" t="str">
        <f t="shared" si="4"/>
        <v>Done</v>
      </c>
      <c r="B184" s="1" t="s">
        <v>229</v>
      </c>
      <c r="C184" s="1">
        <v>22</v>
      </c>
      <c r="D184" s="1" t="s">
        <v>85</v>
      </c>
      <c r="E184" s="1" t="s">
        <v>1494</v>
      </c>
      <c r="F184" s="1" t="s">
        <v>63</v>
      </c>
      <c r="G184" s="1" t="s">
        <v>374</v>
      </c>
      <c r="H184" s="1" t="s">
        <v>2026</v>
      </c>
      <c r="I184" s="1" t="s">
        <v>49</v>
      </c>
      <c r="J184" s="1">
        <v>4</v>
      </c>
      <c r="K184" s="1" t="s">
        <v>249</v>
      </c>
      <c r="L184" s="1" t="str" cm="1">
        <f t="array" ref="L184">_xlfn.REGEXEXTRACT(B184,"(?&lt;=//)[^/]+")</f>
        <v>heavyfetish.com</v>
      </c>
      <c r="M184" s="1" t="s">
        <v>457</v>
      </c>
      <c r="N184" s="1" t="s">
        <v>1740</v>
      </c>
      <c r="O184" s="1" t="str" cm="1">
        <f t="array" ref="O184">IF(N184&lt;&gt;"NtApp",_xlfn.REGEXEXTRACT(N184,"\d+(?=p)"),"NtApp")</f>
        <v>NtApp</v>
      </c>
      <c r="P184" s="1" t="s">
        <v>1740</v>
      </c>
      <c r="Q184" s="1" t="b">
        <f t="shared" si="5"/>
        <v>0</v>
      </c>
      <c r="R184" s="1" t="s">
        <v>1495</v>
      </c>
      <c r="S184" s="1" t="s">
        <v>1493</v>
      </c>
      <c r="T184" s="1">
        <v>0</v>
      </c>
    </row>
    <row r="185" spans="1:20" ht="45" x14ac:dyDescent="0.25">
      <c r="A185" s="1" t="str">
        <f t="shared" si="4"/>
        <v>Done</v>
      </c>
      <c r="B185" s="1" t="s">
        <v>1072</v>
      </c>
      <c r="C185" s="1">
        <v>25</v>
      </c>
      <c r="D185" s="1" t="s">
        <v>573</v>
      </c>
      <c r="E185" s="1" t="s">
        <v>1073</v>
      </c>
      <c r="F185" s="1" t="s">
        <v>54</v>
      </c>
      <c r="G185" s="1" t="s">
        <v>2328</v>
      </c>
      <c r="H185" s="1" t="s">
        <v>2288</v>
      </c>
      <c r="I185" s="1" t="s">
        <v>49</v>
      </c>
      <c r="J185" s="1">
        <v>4</v>
      </c>
      <c r="K185" s="1" t="s">
        <v>2289</v>
      </c>
      <c r="L185" s="1" t="str" cm="1">
        <f t="array" ref="L185">_xlfn.REGEXEXTRACT(B185,"(?&lt;=//)[^/]+")</f>
        <v>bdsmstreak.com</v>
      </c>
      <c r="M185" s="1" t="s">
        <v>457</v>
      </c>
      <c r="N185" s="1" t="s">
        <v>1740</v>
      </c>
      <c r="O185" s="1" t="str" cm="1">
        <f t="array" ref="O185">IF(N185&lt;&gt;"NtApp",_xlfn.REGEXEXTRACT(N185,"\d+(?=p)"),"NtApp")</f>
        <v>NtApp</v>
      </c>
      <c r="P185" s="1" t="s">
        <v>1740</v>
      </c>
      <c r="Q185" s="1" t="b">
        <f t="shared" si="5"/>
        <v>1</v>
      </c>
      <c r="R185" s="1" t="s">
        <v>1890</v>
      </c>
      <c r="S185" s="1" t="s">
        <v>1890</v>
      </c>
      <c r="T185" s="1">
        <v>1</v>
      </c>
    </row>
    <row r="186" spans="1:20" ht="45" x14ac:dyDescent="0.25">
      <c r="A186" s="1" t="str">
        <f t="shared" si="4"/>
        <v>Done</v>
      </c>
      <c r="B186" s="1" t="s">
        <v>614</v>
      </c>
      <c r="C186" s="1">
        <v>26</v>
      </c>
      <c r="D186" s="1" t="s">
        <v>573</v>
      </c>
      <c r="E186" s="1" t="s">
        <v>615</v>
      </c>
      <c r="F186" s="1" t="s">
        <v>53</v>
      </c>
      <c r="G186" s="1" t="s">
        <v>2292</v>
      </c>
      <c r="H186" s="1" t="s">
        <v>776</v>
      </c>
      <c r="I186" s="1" t="s">
        <v>49</v>
      </c>
      <c r="J186" s="1">
        <v>4</v>
      </c>
      <c r="K186" s="1" t="s">
        <v>2293</v>
      </c>
      <c r="L186" s="1" t="str" cm="1">
        <f t="array" ref="L186">_xlfn.REGEXEXTRACT(B186,"(?&lt;=//)[^/]+")</f>
        <v>hcbdsm.com</v>
      </c>
      <c r="M186" s="1" t="s">
        <v>457</v>
      </c>
      <c r="N186" s="1" t="s">
        <v>1740</v>
      </c>
      <c r="O186" s="1" t="str" cm="1">
        <f t="array" ref="O186">IF(N186&lt;&gt;"NtApp",_xlfn.REGEXEXTRACT(N186,"\d+(?=p)"),"NtApp")</f>
        <v>NtApp</v>
      </c>
      <c r="P186" s="1" t="s">
        <v>1740</v>
      </c>
      <c r="Q186" s="1" t="b">
        <f t="shared" si="5"/>
        <v>0</v>
      </c>
      <c r="R186" s="1" t="s">
        <v>1442</v>
      </c>
      <c r="S186" s="1" t="s">
        <v>1441</v>
      </c>
      <c r="T186" s="1">
        <v>0</v>
      </c>
    </row>
    <row r="187" spans="1:20" ht="30" x14ac:dyDescent="0.25">
      <c r="A187" s="1" t="str">
        <f t="shared" si="4"/>
        <v>Done</v>
      </c>
      <c r="B187" s="1" t="s">
        <v>89</v>
      </c>
      <c r="C187" s="1">
        <v>27</v>
      </c>
      <c r="D187" s="1" t="s">
        <v>577</v>
      </c>
      <c r="E187" s="1" t="s">
        <v>285</v>
      </c>
      <c r="F187" s="1" t="s">
        <v>53</v>
      </c>
      <c r="G187" s="1" t="s">
        <v>822</v>
      </c>
      <c r="H187" s="1" t="s">
        <v>319</v>
      </c>
      <c r="I187" s="1" t="s">
        <v>49</v>
      </c>
      <c r="J187" s="1">
        <v>4</v>
      </c>
      <c r="K187" s="1" t="s">
        <v>397</v>
      </c>
      <c r="L187" s="1" t="str" cm="1">
        <f t="array" ref="L187">_xlfn.REGEXEXTRACT(B187,"(?&lt;=//)[^/]+")</f>
        <v>heavyfetish.com</v>
      </c>
      <c r="M187" s="1" t="s">
        <v>457</v>
      </c>
      <c r="N187" s="1" t="s">
        <v>1740</v>
      </c>
      <c r="O187" s="1" t="str" cm="1">
        <f t="array" ref="O187">IF(N187&lt;&gt;"NtApp",_xlfn.REGEXEXTRACT(N187,"\d+(?=p)"),"NtApp")</f>
        <v>NtApp</v>
      </c>
      <c r="P187" s="1" t="s">
        <v>1740</v>
      </c>
      <c r="Q187" s="1" t="b">
        <f t="shared" si="5"/>
        <v>1</v>
      </c>
      <c r="R187" s="1" t="s">
        <v>1840</v>
      </c>
      <c r="S187" s="1" t="s">
        <v>1473</v>
      </c>
      <c r="T187" s="1">
        <v>0</v>
      </c>
    </row>
    <row r="188" spans="1:20" ht="45" x14ac:dyDescent="0.25">
      <c r="A188" s="1" t="str">
        <f t="shared" si="4"/>
        <v>Done</v>
      </c>
      <c r="B188" s="1" t="s">
        <v>1091</v>
      </c>
      <c r="C188" s="1">
        <v>34</v>
      </c>
      <c r="D188" s="1" t="s">
        <v>567</v>
      </c>
      <c r="E188" s="1" t="s">
        <v>705</v>
      </c>
      <c r="F188" s="1" t="s">
        <v>63</v>
      </c>
      <c r="G188" s="1" t="s">
        <v>2223</v>
      </c>
      <c r="H188" s="1" t="s">
        <v>2168</v>
      </c>
      <c r="I188" s="1" t="s">
        <v>49</v>
      </c>
      <c r="J188" s="1">
        <v>4</v>
      </c>
      <c r="K188" s="1" t="s">
        <v>2169</v>
      </c>
      <c r="L188" s="1" t="str" cm="1">
        <f t="array" ref="L188">_xlfn.REGEXEXTRACT(B188,"(?&lt;=//)[^/]+")</f>
        <v>bdsmstreak.com</v>
      </c>
      <c r="M188" s="1" t="s">
        <v>457</v>
      </c>
      <c r="N188" s="1" t="s">
        <v>1740</v>
      </c>
      <c r="O188" s="1" t="str" cm="1">
        <f t="array" ref="O188">IF(N188&lt;&gt;"NtApp",_xlfn.REGEXEXTRACT(N188,"\d+(?=p)"),"NtApp")</f>
        <v>NtApp</v>
      </c>
      <c r="P188" s="1" t="s">
        <v>1740</v>
      </c>
      <c r="Q188" s="1" t="b">
        <f t="shared" si="5"/>
        <v>0</v>
      </c>
      <c r="R188" s="1" t="s">
        <v>1491</v>
      </c>
      <c r="S188" s="1" t="s">
        <v>1491</v>
      </c>
      <c r="T188" s="1">
        <v>0</v>
      </c>
    </row>
    <row r="189" spans="1:20" ht="45" x14ac:dyDescent="0.25">
      <c r="A189" s="1" t="str">
        <f t="shared" si="4"/>
        <v>Done</v>
      </c>
      <c r="B189" s="1" t="s">
        <v>1501</v>
      </c>
      <c r="C189" s="1">
        <v>35</v>
      </c>
      <c r="D189" s="1" t="s">
        <v>835</v>
      </c>
      <c r="E189" s="1" t="s">
        <v>1499</v>
      </c>
      <c r="F189" s="1" t="s">
        <v>54</v>
      </c>
      <c r="G189" s="1" t="s">
        <v>2081</v>
      </c>
      <c r="H189" s="1" t="s">
        <v>2028</v>
      </c>
      <c r="I189" s="1" t="s">
        <v>49</v>
      </c>
      <c r="J189" s="1">
        <v>4</v>
      </c>
      <c r="K189" s="1" t="s">
        <v>542</v>
      </c>
      <c r="L189" s="1" t="str" cm="1">
        <f t="array" ref="L189">_xlfn.REGEXEXTRACT(B189,"(?&lt;=//)[^/]+")</f>
        <v>f1.upornia.online</v>
      </c>
      <c r="M189" s="1" t="s">
        <v>457</v>
      </c>
      <c r="N189" s="1" t="s">
        <v>1740</v>
      </c>
      <c r="O189" s="1" t="str" cm="1">
        <f t="array" ref="O189">IF(N189&lt;&gt;"NtApp",_xlfn.REGEXEXTRACT(N189,"\d+(?=p)"),"NtApp")</f>
        <v>NtApp</v>
      </c>
      <c r="P189" s="1" t="s">
        <v>1740</v>
      </c>
      <c r="Q189" s="1" t="b">
        <f t="shared" si="5"/>
        <v>1</v>
      </c>
      <c r="R189" s="1" t="s">
        <v>1500</v>
      </c>
      <c r="S189" s="1" t="s">
        <v>1500</v>
      </c>
      <c r="T189" s="1">
        <v>0</v>
      </c>
    </row>
    <row r="190" spans="1:20" ht="30" x14ac:dyDescent="0.25">
      <c r="A190" s="1" t="str">
        <f t="shared" si="4"/>
        <v>Done</v>
      </c>
      <c r="B190" s="1" t="s">
        <v>1424</v>
      </c>
      <c r="C190" s="1">
        <v>35</v>
      </c>
      <c r="D190" s="1" t="s">
        <v>124</v>
      </c>
      <c r="E190" s="1" t="s">
        <v>134</v>
      </c>
      <c r="F190" s="1" t="s">
        <v>126</v>
      </c>
      <c r="G190" s="1" t="s">
        <v>2138</v>
      </c>
      <c r="H190" s="1" t="s">
        <v>318</v>
      </c>
      <c r="I190" s="1" t="s">
        <v>49</v>
      </c>
      <c r="J190" s="1">
        <v>4</v>
      </c>
      <c r="K190" s="1" t="s">
        <v>1836</v>
      </c>
      <c r="L190" s="1" t="str" cm="1">
        <f t="array" ref="L190">_xlfn.REGEXEXTRACT(B190,"(?&lt;=//)[^/]+")</f>
        <v>ukdevilz.com</v>
      </c>
      <c r="M190" s="1" t="s">
        <v>457</v>
      </c>
      <c r="N190" s="1" t="s">
        <v>1740</v>
      </c>
      <c r="O190" s="1" t="str" cm="1">
        <f t="array" ref="O190">IF(N190&lt;&gt;"NtApp",_xlfn.REGEXEXTRACT(N190,"\d+(?=p)"),"NtApp")</f>
        <v>NtApp</v>
      </c>
      <c r="P190" s="1" t="s">
        <v>1740</v>
      </c>
      <c r="Q190" s="1" t="b">
        <f t="shared" si="5"/>
        <v>0</v>
      </c>
      <c r="R190" s="1" t="s">
        <v>1422</v>
      </c>
      <c r="S190" s="1" t="s">
        <v>1423</v>
      </c>
      <c r="T190" s="1">
        <v>0</v>
      </c>
    </row>
    <row r="191" spans="1:20" ht="30" x14ac:dyDescent="0.25">
      <c r="A191" s="1" t="str">
        <f t="shared" si="4"/>
        <v>Done</v>
      </c>
      <c r="B191" s="1" t="s">
        <v>30</v>
      </c>
      <c r="C191" s="1">
        <v>36</v>
      </c>
      <c r="D191" s="1" t="s">
        <v>1290</v>
      </c>
      <c r="E191" s="1" t="s">
        <v>67</v>
      </c>
      <c r="F191" s="1" t="s">
        <v>53</v>
      </c>
      <c r="G191" s="1" t="s">
        <v>2216</v>
      </c>
      <c r="H191" s="1" t="s">
        <v>2032</v>
      </c>
      <c r="I191" s="1" t="s">
        <v>49</v>
      </c>
      <c r="J191" s="1">
        <v>4</v>
      </c>
      <c r="K191" s="1" t="s">
        <v>112</v>
      </c>
      <c r="L191" s="1" t="str" cm="1">
        <f t="array" ref="L191">_xlfn.REGEXEXTRACT(B191,"(?&lt;=//)[^/]+")</f>
        <v>bdsmstreak.com</v>
      </c>
      <c r="M191" s="1" t="s">
        <v>457</v>
      </c>
      <c r="N191" s="1" t="s">
        <v>1740</v>
      </c>
      <c r="O191" s="1" t="str" cm="1">
        <f t="array" ref="O191">IF(N191&lt;&gt;"NtApp",_xlfn.REGEXEXTRACT(N191,"\d+(?=p)"),"NtApp")</f>
        <v>NtApp</v>
      </c>
      <c r="P191" s="1" t="s">
        <v>1740</v>
      </c>
      <c r="Q191" s="1" t="b">
        <f t="shared" si="5"/>
        <v>0</v>
      </c>
      <c r="R191" s="1" t="s">
        <v>1455</v>
      </c>
      <c r="S191" s="1" t="s">
        <v>1454</v>
      </c>
      <c r="T191" s="1">
        <v>0</v>
      </c>
    </row>
    <row r="192" spans="1:20" ht="75" x14ac:dyDescent="0.25">
      <c r="A192" s="1" t="str">
        <f t="shared" si="4"/>
        <v>Done</v>
      </c>
      <c r="B192" s="1" t="s">
        <v>1783</v>
      </c>
      <c r="C192" s="1">
        <v>37</v>
      </c>
      <c r="D192" s="1" t="s">
        <v>835</v>
      </c>
      <c r="E192" s="1" t="s">
        <v>135</v>
      </c>
      <c r="F192" s="1" t="s">
        <v>126</v>
      </c>
      <c r="G192" s="1" t="s">
        <v>1943</v>
      </c>
      <c r="H192" s="1" t="s">
        <v>2043</v>
      </c>
      <c r="I192" s="1" t="s">
        <v>49</v>
      </c>
      <c r="J192" s="1">
        <v>4</v>
      </c>
      <c r="K192" s="1" t="s">
        <v>1785</v>
      </c>
      <c r="L192" s="1" t="str" cm="1">
        <f t="array" ref="L192">_xlfn.REGEXEXTRACT(B192,"(?&lt;=//)[^/]+")</f>
        <v>www.justporn.com</v>
      </c>
      <c r="M192" s="1" t="s">
        <v>457</v>
      </c>
      <c r="N192" s="1" t="s">
        <v>1740</v>
      </c>
      <c r="O192" s="1" t="str" cm="1">
        <f t="array" ref="O192">IF(N192&lt;&gt;"NtApp",_xlfn.REGEXEXTRACT(N192,"\d+(?=p)"),"NtApp")</f>
        <v>NtApp</v>
      </c>
      <c r="P192" s="1" t="s">
        <v>1740</v>
      </c>
      <c r="Q192" s="1" t="b">
        <f t="shared" si="5"/>
        <v>0</v>
      </c>
      <c r="R192" s="1" t="s">
        <v>1740</v>
      </c>
      <c r="S192" s="1" t="s">
        <v>1784</v>
      </c>
      <c r="T192" s="1">
        <v>0</v>
      </c>
    </row>
    <row r="193" spans="1:20" ht="30" x14ac:dyDescent="0.25">
      <c r="A193" s="1" t="str">
        <f t="shared" si="4"/>
        <v>Done</v>
      </c>
      <c r="B193" s="1" t="s">
        <v>86</v>
      </c>
      <c r="C193" s="1">
        <v>42</v>
      </c>
      <c r="D193" s="1" t="s">
        <v>577</v>
      </c>
      <c r="E193" s="1" t="s">
        <v>141</v>
      </c>
      <c r="F193" s="1" t="s">
        <v>53</v>
      </c>
      <c r="G193" s="1" t="s">
        <v>2264</v>
      </c>
      <c r="H193" s="1" t="s">
        <v>2006</v>
      </c>
      <c r="I193" s="1" t="s">
        <v>49</v>
      </c>
      <c r="J193" s="1">
        <v>4</v>
      </c>
      <c r="K193" s="1" t="s">
        <v>142</v>
      </c>
      <c r="L193" s="1" t="str" cm="1">
        <f t="array" ref="L193">_xlfn.REGEXEXTRACT(B193,"(?&lt;=//)[^/]+")</f>
        <v>bdsmstreak.com</v>
      </c>
      <c r="M193" s="1" t="s">
        <v>457</v>
      </c>
      <c r="N193" s="1" t="s">
        <v>1740</v>
      </c>
      <c r="O193" s="1" t="str" cm="1">
        <f t="array" ref="O193">IF(N193&lt;&gt;"NtApp",_xlfn.REGEXEXTRACT(N193,"\d+(?=p)"),"NtApp")</f>
        <v>NtApp</v>
      </c>
      <c r="P193" s="1" t="s">
        <v>1740</v>
      </c>
      <c r="Q193" s="1" t="b">
        <f t="shared" si="5"/>
        <v>0</v>
      </c>
      <c r="R193" s="1" t="s">
        <v>1472</v>
      </c>
      <c r="S193" s="1" t="s">
        <v>1472</v>
      </c>
      <c r="T193" s="1">
        <v>0</v>
      </c>
    </row>
    <row r="194" spans="1:20" ht="30" x14ac:dyDescent="0.25">
      <c r="A194" s="1" t="str">
        <f t="shared" ref="A194:A257" si="6">IF(ISBLANK(I194)=TRUE,"Pending","Done")</f>
        <v>Done</v>
      </c>
      <c r="B194" s="1" t="s">
        <v>797</v>
      </c>
      <c r="C194" s="1">
        <v>42</v>
      </c>
      <c r="D194" s="1" t="s">
        <v>567</v>
      </c>
      <c r="E194" s="1" t="s">
        <v>286</v>
      </c>
      <c r="F194" s="1" t="s">
        <v>63</v>
      </c>
      <c r="G194" s="1" t="s">
        <v>2083</v>
      </c>
      <c r="H194" s="1" t="s">
        <v>437</v>
      </c>
      <c r="I194" s="1" t="s">
        <v>49</v>
      </c>
      <c r="J194" s="1">
        <v>4</v>
      </c>
      <c r="K194" s="1" t="s">
        <v>2084</v>
      </c>
      <c r="L194" s="1" t="str" cm="1">
        <f t="array" ref="L194">_xlfn.REGEXEXTRACT(B194,"(?&lt;=//)[^/]+")</f>
        <v>hcbdsm.com</v>
      </c>
      <c r="M194" s="1" t="s">
        <v>457</v>
      </c>
      <c r="N194" s="1" t="s">
        <v>1740</v>
      </c>
      <c r="O194" s="1" t="str" cm="1">
        <f t="array" ref="O194">IF(N194&lt;&gt;"NtApp",_xlfn.REGEXEXTRACT(N194,"\d+(?=p)"),"NtApp")</f>
        <v>NtApp</v>
      </c>
      <c r="P194" s="1" t="s">
        <v>1740</v>
      </c>
      <c r="Q194" s="1" t="b">
        <f t="shared" ref="Q194:Q257" si="7">ISNUMBER(SEARCH(",",E194))</f>
        <v>1</v>
      </c>
      <c r="R194" s="1" t="s">
        <v>1482</v>
      </c>
      <c r="S194" s="1" t="s">
        <v>1482</v>
      </c>
      <c r="T194" s="1">
        <v>0</v>
      </c>
    </row>
    <row r="195" spans="1:20" ht="30" x14ac:dyDescent="0.25">
      <c r="A195" s="1" t="str">
        <f t="shared" si="6"/>
        <v>Done</v>
      </c>
      <c r="B195" s="1" t="s">
        <v>869</v>
      </c>
      <c r="C195" s="1">
        <v>43</v>
      </c>
      <c r="D195" s="1" t="s">
        <v>573</v>
      </c>
      <c r="E195" s="1" t="s">
        <v>584</v>
      </c>
      <c r="F195" s="1" t="s">
        <v>53</v>
      </c>
      <c r="G195" s="1" t="s">
        <v>2249</v>
      </c>
      <c r="H195" s="1" t="s">
        <v>2113</v>
      </c>
      <c r="I195" s="1" t="s">
        <v>49</v>
      </c>
      <c r="J195" s="1">
        <v>4</v>
      </c>
      <c r="K195" s="1" t="s">
        <v>2112</v>
      </c>
      <c r="L195" s="1" t="str" cm="1">
        <f t="array" ref="L195">_xlfn.REGEXEXTRACT(B195,"(?&lt;=//)[^/]+")</f>
        <v>bdsmstreak.com</v>
      </c>
      <c r="M195" s="1" t="s">
        <v>457</v>
      </c>
      <c r="N195" s="1" t="s">
        <v>1740</v>
      </c>
      <c r="O195" s="1" t="str" cm="1">
        <f t="array" ref="O195">IF(N195&lt;&gt;"NtApp",_xlfn.REGEXEXTRACT(N195,"\d+(?=p)"),"NtApp")</f>
        <v>NtApp</v>
      </c>
      <c r="P195" s="1" t="s">
        <v>1740</v>
      </c>
      <c r="Q195" s="1" t="b">
        <f t="shared" si="7"/>
        <v>0</v>
      </c>
      <c r="R195" s="1" t="s">
        <v>1656</v>
      </c>
      <c r="S195" s="1" t="s">
        <v>1657</v>
      </c>
      <c r="T195" s="1">
        <v>7</v>
      </c>
    </row>
    <row r="196" spans="1:20" ht="30" x14ac:dyDescent="0.25">
      <c r="A196" s="1" t="str">
        <f t="shared" si="6"/>
        <v>Done</v>
      </c>
      <c r="B196" s="1" t="s">
        <v>254</v>
      </c>
      <c r="C196" s="1">
        <v>44</v>
      </c>
      <c r="D196" s="1" t="s">
        <v>567</v>
      </c>
      <c r="E196" s="1" t="s">
        <v>256</v>
      </c>
      <c r="F196" s="1" t="s">
        <v>63</v>
      </c>
      <c r="G196" s="1" t="s">
        <v>2217</v>
      </c>
      <c r="H196" s="1" t="s">
        <v>315</v>
      </c>
      <c r="I196" s="1" t="s">
        <v>49</v>
      </c>
      <c r="J196" s="1">
        <v>4</v>
      </c>
      <c r="K196" s="1" t="s">
        <v>383</v>
      </c>
      <c r="L196" s="1" t="str" cm="1">
        <f t="array" ref="L196">_xlfn.REGEXEXTRACT(B196,"(?&lt;=//)[^/]+")</f>
        <v>www.porntry.com</v>
      </c>
      <c r="M196" s="1" t="s">
        <v>457</v>
      </c>
      <c r="N196" s="1" t="s">
        <v>1740</v>
      </c>
      <c r="O196" s="1" t="str" cm="1">
        <f t="array" ref="O196">IF(N196&lt;&gt;"NtApp",_xlfn.REGEXEXTRACT(N196,"\d+(?=p)"),"NtApp")</f>
        <v>NtApp</v>
      </c>
      <c r="P196" s="1" t="s">
        <v>1740</v>
      </c>
      <c r="Q196" s="1" t="b">
        <f t="shared" si="7"/>
        <v>0</v>
      </c>
      <c r="R196" s="1" t="s">
        <v>1403</v>
      </c>
      <c r="S196" s="1" t="s">
        <v>1402</v>
      </c>
      <c r="T196" s="1">
        <v>0</v>
      </c>
    </row>
    <row r="197" spans="1:20" ht="30" x14ac:dyDescent="0.25">
      <c r="A197" s="1" t="str">
        <f t="shared" si="6"/>
        <v>Done</v>
      </c>
      <c r="B197" s="1" t="s">
        <v>11</v>
      </c>
      <c r="C197" s="1">
        <v>44</v>
      </c>
      <c r="D197" s="1" t="s">
        <v>1289</v>
      </c>
      <c r="E197" s="1" t="s">
        <v>153</v>
      </c>
      <c r="F197" s="1" t="s">
        <v>53</v>
      </c>
      <c r="G197" s="1" t="s">
        <v>2259</v>
      </c>
      <c r="H197" s="1" t="s">
        <v>2002</v>
      </c>
      <c r="I197" s="1" t="s">
        <v>49</v>
      </c>
      <c r="J197" s="1">
        <v>4</v>
      </c>
      <c r="K197" s="1" t="s">
        <v>1938</v>
      </c>
      <c r="L197" s="1" t="str" cm="1">
        <f t="array" ref="L197">_xlfn.REGEXEXTRACT(B197,"(?&lt;=//)[^/]+")</f>
        <v>heavyfetish.com</v>
      </c>
      <c r="M197" s="1" t="s">
        <v>457</v>
      </c>
      <c r="N197" s="1" t="s">
        <v>1740</v>
      </c>
      <c r="O197" s="1" t="str" cm="1">
        <f t="array" ref="O197">IF(N197&lt;&gt;"NtApp",_xlfn.REGEXEXTRACT(N197,"\d+(?=p)"),"NtApp")</f>
        <v>NtApp</v>
      </c>
      <c r="P197" s="1" t="s">
        <v>1740</v>
      </c>
      <c r="Q197" s="1" t="b">
        <f t="shared" si="7"/>
        <v>0</v>
      </c>
      <c r="R197" s="1" t="s">
        <v>1400</v>
      </c>
      <c r="S197" s="1" t="s">
        <v>1401</v>
      </c>
      <c r="T197" s="1">
        <v>0</v>
      </c>
    </row>
    <row r="198" spans="1:20" ht="30" x14ac:dyDescent="0.25">
      <c r="A198" s="1" t="str">
        <f t="shared" si="6"/>
        <v>Done</v>
      </c>
      <c r="B198" s="1" t="s">
        <v>1475</v>
      </c>
      <c r="C198" s="1">
        <v>44</v>
      </c>
      <c r="D198" s="1" t="s">
        <v>577</v>
      </c>
      <c r="E198" s="1" t="s">
        <v>1477</v>
      </c>
      <c r="F198" s="1" t="s">
        <v>53</v>
      </c>
      <c r="G198" s="1" t="s">
        <v>2139</v>
      </c>
      <c r="H198" s="1" t="s">
        <v>1964</v>
      </c>
      <c r="I198" s="1" t="s">
        <v>49</v>
      </c>
      <c r="J198" s="1">
        <v>4</v>
      </c>
      <c r="K198" s="1" t="s">
        <v>466</v>
      </c>
      <c r="L198" s="1" t="str" cm="1">
        <f t="array" ref="L198">_xlfn.REGEXEXTRACT(B198,"(?&lt;=//)[^/]+")</f>
        <v>hcbdsm.com</v>
      </c>
      <c r="M198" s="1" t="s">
        <v>457</v>
      </c>
      <c r="N198" s="1" t="s">
        <v>1740</v>
      </c>
      <c r="O198" s="1" t="str" cm="1">
        <f t="array" ref="O198">IF(N198&lt;&gt;"NtApp",_xlfn.REGEXEXTRACT(N198,"\d+(?=p)"),"NtApp")</f>
        <v>NtApp</v>
      </c>
      <c r="P198" s="1" t="s">
        <v>1740</v>
      </c>
      <c r="Q198" s="1" t="b">
        <f t="shared" si="7"/>
        <v>0</v>
      </c>
      <c r="R198" s="1" t="s">
        <v>1474</v>
      </c>
      <c r="S198" s="1" t="s">
        <v>1474</v>
      </c>
      <c r="T198" s="1">
        <v>0</v>
      </c>
    </row>
    <row r="199" spans="1:20" ht="30" x14ac:dyDescent="0.25">
      <c r="A199" s="1" t="str">
        <f t="shared" si="6"/>
        <v>Done</v>
      </c>
      <c r="B199" s="1" t="s">
        <v>22</v>
      </c>
      <c r="C199" s="1">
        <v>45</v>
      </c>
      <c r="D199" s="1" t="s">
        <v>573</v>
      </c>
      <c r="E199" s="1" t="s">
        <v>158</v>
      </c>
      <c r="F199" s="1" t="s">
        <v>53</v>
      </c>
      <c r="G199" s="1" t="s">
        <v>2242</v>
      </c>
      <c r="H199" s="1" t="s">
        <v>317</v>
      </c>
      <c r="I199" s="1" t="s">
        <v>49</v>
      </c>
      <c r="J199" s="1">
        <v>4</v>
      </c>
      <c r="K199" s="1" t="s">
        <v>159</v>
      </c>
      <c r="L199" s="1" t="str" cm="1">
        <f t="array" ref="L199">_xlfn.REGEXEXTRACT(B199,"(?&lt;=//)[^/]+")</f>
        <v>heavyfetish.com</v>
      </c>
      <c r="M199" s="1" t="s">
        <v>457</v>
      </c>
      <c r="N199" s="1" t="s">
        <v>1740</v>
      </c>
      <c r="O199" s="1" t="str" cm="1">
        <f t="array" ref="O199">IF(N199&lt;&gt;"NtApp",_xlfn.REGEXEXTRACT(N199,"\d+(?=p)"),"NtApp")</f>
        <v>NtApp</v>
      </c>
      <c r="P199" s="1" t="s">
        <v>1740</v>
      </c>
      <c r="Q199" s="1" t="b">
        <f t="shared" si="7"/>
        <v>0</v>
      </c>
      <c r="R199" s="1" t="s">
        <v>1399</v>
      </c>
      <c r="S199" s="1" t="s">
        <v>1398</v>
      </c>
      <c r="T199" s="1">
        <v>0</v>
      </c>
    </row>
    <row r="200" spans="1:20" ht="45" x14ac:dyDescent="0.25">
      <c r="A200" s="1" t="str">
        <f t="shared" si="6"/>
        <v>Done</v>
      </c>
      <c r="B200" s="1" t="s">
        <v>533</v>
      </c>
      <c r="C200" s="1">
        <v>45</v>
      </c>
      <c r="D200" s="1" t="s">
        <v>566</v>
      </c>
      <c r="E200" s="1" t="s">
        <v>452</v>
      </c>
      <c r="F200" s="1" t="s">
        <v>53</v>
      </c>
      <c r="G200" s="1" t="s">
        <v>531</v>
      </c>
      <c r="H200" s="1" t="s">
        <v>532</v>
      </c>
      <c r="I200" s="1" t="s">
        <v>49</v>
      </c>
      <c r="J200" s="1">
        <v>4</v>
      </c>
      <c r="K200" s="1" t="s">
        <v>530</v>
      </c>
      <c r="L200" s="1" t="str" cm="1">
        <f t="array" ref="L200">_xlfn.REGEXEXTRACT(B200,"(?&lt;=//)[^/]+")</f>
        <v>bdsmmansion.com</v>
      </c>
      <c r="M200" s="1" t="s">
        <v>457</v>
      </c>
      <c r="N200" s="1" t="s">
        <v>1740</v>
      </c>
      <c r="O200" s="1" t="str" cm="1">
        <f t="array" ref="O200">IF(N200&lt;&gt;"NtApp",_xlfn.REGEXEXTRACT(N200,"\d+(?=p)"),"NtApp")</f>
        <v>NtApp</v>
      </c>
      <c r="P200" s="1" t="s">
        <v>1740</v>
      </c>
      <c r="Q200" s="1" t="b">
        <f t="shared" si="7"/>
        <v>0</v>
      </c>
      <c r="R200" s="1" t="s">
        <v>1397</v>
      </c>
      <c r="S200" s="1" t="s">
        <v>1397</v>
      </c>
      <c r="T200" s="1">
        <v>0</v>
      </c>
    </row>
    <row r="201" spans="1:20" ht="60" x14ac:dyDescent="0.25">
      <c r="A201" s="1" t="str">
        <f t="shared" si="6"/>
        <v>Done</v>
      </c>
      <c r="B201" s="1" t="s">
        <v>33</v>
      </c>
      <c r="C201" s="1">
        <v>46</v>
      </c>
      <c r="D201" s="1" t="s">
        <v>56</v>
      </c>
      <c r="E201" s="1" t="s">
        <v>1296</v>
      </c>
      <c r="F201" s="1" t="s">
        <v>53</v>
      </c>
      <c r="G201" s="1" t="s">
        <v>2257</v>
      </c>
      <c r="H201" s="1" t="s">
        <v>2000</v>
      </c>
      <c r="I201" s="1" t="s">
        <v>49</v>
      </c>
      <c r="J201" s="1">
        <v>4</v>
      </c>
      <c r="K201" s="1" t="s">
        <v>162</v>
      </c>
      <c r="L201" s="1" t="str" cm="1">
        <f t="array" ref="L201">_xlfn.REGEXEXTRACT(B201,"(?&lt;=//)[^/]+")</f>
        <v>heavyfetish.com</v>
      </c>
      <c r="M201" s="1" t="s">
        <v>457</v>
      </c>
      <c r="N201" s="1" t="s">
        <v>1740</v>
      </c>
      <c r="O201" s="1" t="str" cm="1">
        <f t="array" ref="O201">IF(N201&lt;&gt;"NtApp",_xlfn.REGEXEXTRACT(N201,"\d+(?=p)"),"NtApp")</f>
        <v>NtApp</v>
      </c>
      <c r="P201" s="1" t="s">
        <v>1740</v>
      </c>
      <c r="Q201" s="1" t="b">
        <f t="shared" si="7"/>
        <v>0</v>
      </c>
      <c r="R201" s="1" t="s">
        <v>1396</v>
      </c>
      <c r="S201" s="1" t="s">
        <v>1295</v>
      </c>
      <c r="T201" s="1">
        <v>0</v>
      </c>
    </row>
    <row r="202" spans="1:20" ht="45" x14ac:dyDescent="0.25">
      <c r="A202" s="1" t="str">
        <f t="shared" si="6"/>
        <v>Done</v>
      </c>
      <c r="B202" s="1" t="s">
        <v>462</v>
      </c>
      <c r="C202" s="1">
        <v>48</v>
      </c>
      <c r="D202" s="1" t="s">
        <v>577</v>
      </c>
      <c r="E202" s="1" t="s">
        <v>463</v>
      </c>
      <c r="F202" s="1" t="s">
        <v>53</v>
      </c>
      <c r="G202" s="1" t="s">
        <v>816</v>
      </c>
      <c r="H202" s="1" t="s">
        <v>469</v>
      </c>
      <c r="I202" s="1" t="s">
        <v>49</v>
      </c>
      <c r="J202" s="1">
        <v>4</v>
      </c>
      <c r="K202" s="1" t="s">
        <v>540</v>
      </c>
      <c r="L202" s="1" t="str" cm="1">
        <f t="array" ref="L202">_xlfn.REGEXEXTRACT(B202,"(?&lt;=//)[^/]+")</f>
        <v>bdsmstreak.com</v>
      </c>
      <c r="M202" s="1" t="s">
        <v>457</v>
      </c>
      <c r="N202" s="1" t="s">
        <v>1740</v>
      </c>
      <c r="O202" s="1" t="str" cm="1">
        <f t="array" ref="O202">IF(N202&lt;&gt;"NtApp",_xlfn.REGEXEXTRACT(N202,"\d+(?=p)"),"NtApp")</f>
        <v>NtApp</v>
      </c>
      <c r="P202" s="1" t="s">
        <v>1740</v>
      </c>
      <c r="Q202" s="1" t="b">
        <f t="shared" si="7"/>
        <v>1</v>
      </c>
      <c r="R202" s="1" t="s">
        <v>1839</v>
      </c>
      <c r="S202" s="1" t="s">
        <v>1839</v>
      </c>
      <c r="T202" s="1">
        <v>0</v>
      </c>
    </row>
    <row r="203" spans="1:20" ht="45" x14ac:dyDescent="0.25">
      <c r="A203" s="1" t="str">
        <f t="shared" si="6"/>
        <v>Done</v>
      </c>
      <c r="B203" s="1" t="s">
        <v>1395</v>
      </c>
      <c r="C203" s="1">
        <v>49</v>
      </c>
      <c r="D203" s="1" t="s">
        <v>577</v>
      </c>
      <c r="E203" s="1" t="s">
        <v>541</v>
      </c>
      <c r="F203" s="1" t="s">
        <v>53</v>
      </c>
      <c r="G203" s="1" t="s">
        <v>2303</v>
      </c>
      <c r="H203" s="1" t="s">
        <v>468</v>
      </c>
      <c r="I203" s="1" t="s">
        <v>49</v>
      </c>
      <c r="J203" s="1">
        <v>4</v>
      </c>
      <c r="K203" s="1" t="s">
        <v>2302</v>
      </c>
      <c r="L203" s="1" t="str" cm="1">
        <f t="array" ref="L203">_xlfn.REGEXEXTRACT(B203,"(?&lt;=//)[^/]+")</f>
        <v>hcbdsm.com</v>
      </c>
      <c r="M203" s="1" t="s">
        <v>457</v>
      </c>
      <c r="N203" s="1" t="s">
        <v>1740</v>
      </c>
      <c r="O203" s="1" t="str" cm="1">
        <f t="array" ref="O203">IF(N203&lt;&gt;"NtApp",_xlfn.REGEXEXTRACT(N203,"\d+(?=p)"),"NtApp")</f>
        <v>NtApp</v>
      </c>
      <c r="P203" s="1" t="s">
        <v>1740</v>
      </c>
      <c r="Q203" s="1" t="b">
        <f t="shared" si="7"/>
        <v>0</v>
      </c>
      <c r="R203" s="1" t="s">
        <v>1394</v>
      </c>
      <c r="S203" s="1" t="s">
        <v>1394</v>
      </c>
      <c r="T203" s="1">
        <v>0</v>
      </c>
    </row>
    <row r="204" spans="1:20" ht="45" x14ac:dyDescent="0.25">
      <c r="A204" s="1" t="str">
        <f t="shared" si="6"/>
        <v>Done</v>
      </c>
      <c r="B204" s="1" t="s">
        <v>829</v>
      </c>
      <c r="C204" s="1">
        <v>52</v>
      </c>
      <c r="D204" s="1" t="s">
        <v>576</v>
      </c>
      <c r="E204" s="1" t="s">
        <v>830</v>
      </c>
      <c r="F204" s="1" t="s">
        <v>63</v>
      </c>
      <c r="G204" s="1" t="s">
        <v>2218</v>
      </c>
      <c r="H204" s="1" t="s">
        <v>424</v>
      </c>
      <c r="I204" s="1" t="s">
        <v>49</v>
      </c>
      <c r="J204" s="1">
        <v>4</v>
      </c>
      <c r="K204" s="1" t="s">
        <v>2082</v>
      </c>
      <c r="L204" s="1" t="str" cm="1">
        <f t="array" ref="L204">_xlfn.REGEXEXTRACT(B204,"(?&lt;=//)[^/]+")</f>
        <v>hcbdsm.com</v>
      </c>
      <c r="M204" s="1" t="s">
        <v>457</v>
      </c>
      <c r="N204" s="1" t="s">
        <v>1740</v>
      </c>
      <c r="O204" s="1" t="str" cm="1">
        <f t="array" ref="O204">IF(N204&lt;&gt;"NtApp",_xlfn.REGEXEXTRACT(N204,"\d+(?=p)"),"NtApp")</f>
        <v>NtApp</v>
      </c>
      <c r="P204" s="1" t="s">
        <v>1740</v>
      </c>
      <c r="Q204" s="1" t="b">
        <f t="shared" si="7"/>
        <v>1</v>
      </c>
      <c r="R204" s="1" t="s">
        <v>1392</v>
      </c>
      <c r="S204" s="1" t="s">
        <v>1391</v>
      </c>
      <c r="T204" s="1">
        <v>0</v>
      </c>
    </row>
    <row r="205" spans="1:20" ht="30" x14ac:dyDescent="0.25">
      <c r="A205" s="1" t="str">
        <f t="shared" si="6"/>
        <v>Done</v>
      </c>
      <c r="B205" s="1" t="s">
        <v>6</v>
      </c>
      <c r="C205" s="1">
        <v>52</v>
      </c>
      <c r="D205" s="1" t="s">
        <v>118</v>
      </c>
      <c r="E205" s="1" t="s">
        <v>921</v>
      </c>
      <c r="F205" s="1" t="s">
        <v>53</v>
      </c>
      <c r="G205" s="1" t="s">
        <v>2219</v>
      </c>
      <c r="H205" s="1" t="s">
        <v>1978</v>
      </c>
      <c r="I205" s="1" t="s">
        <v>49</v>
      </c>
      <c r="J205" s="1">
        <v>4</v>
      </c>
      <c r="K205" s="1" t="s">
        <v>172</v>
      </c>
      <c r="L205" s="1" t="str" cm="1">
        <f t="array" ref="L205">_xlfn.REGEXEXTRACT(B205,"(?&lt;=//)[^/]+")</f>
        <v>spankbang.party</v>
      </c>
      <c r="M205" s="1" t="s">
        <v>457</v>
      </c>
      <c r="N205" s="1" t="s">
        <v>1740</v>
      </c>
      <c r="O205" s="1" t="str" cm="1">
        <f t="array" ref="O205">IF(N205&lt;&gt;"NtApp",_xlfn.REGEXEXTRACT(N205,"\d+(?=p)"),"NtApp")</f>
        <v>NtApp</v>
      </c>
      <c r="P205" s="1" t="s">
        <v>1740</v>
      </c>
      <c r="Q205" s="1" t="b">
        <f t="shared" si="7"/>
        <v>0</v>
      </c>
      <c r="R205" s="1" t="s">
        <v>1740</v>
      </c>
      <c r="S205" s="1" t="s">
        <v>1393</v>
      </c>
      <c r="T205" s="1">
        <v>0</v>
      </c>
    </row>
    <row r="206" spans="1:20" ht="30" x14ac:dyDescent="0.25">
      <c r="A206" s="1" t="str">
        <f t="shared" si="6"/>
        <v>Done</v>
      </c>
      <c r="B206" s="1" t="s">
        <v>1390</v>
      </c>
      <c r="C206" s="1">
        <v>53</v>
      </c>
      <c r="D206" s="1" t="s">
        <v>702</v>
      </c>
      <c r="E206" s="1" t="s">
        <v>347</v>
      </c>
      <c r="F206" s="1" t="s">
        <v>53</v>
      </c>
      <c r="G206" s="1" t="s">
        <v>447</v>
      </c>
      <c r="H206" s="1" t="s">
        <v>446</v>
      </c>
      <c r="I206" s="1" t="s">
        <v>49</v>
      </c>
      <c r="J206" s="1">
        <v>4</v>
      </c>
      <c r="K206" s="1" t="s">
        <v>448</v>
      </c>
      <c r="L206" s="1" t="str" cm="1">
        <f t="array" ref="L206">_xlfn.REGEXEXTRACT(B206,"(?&lt;=//)[^/]+")</f>
        <v>bdsmstreak.com</v>
      </c>
      <c r="M206" s="1" t="s">
        <v>457</v>
      </c>
      <c r="N206" s="1" t="s">
        <v>1740</v>
      </c>
      <c r="O206" s="1" t="str" cm="1">
        <f t="array" ref="O206">IF(N206&lt;&gt;"NtApp",_xlfn.REGEXEXTRACT(N206,"\d+(?=p)"),"NtApp")</f>
        <v>NtApp</v>
      </c>
      <c r="P206" s="1" t="s">
        <v>1740</v>
      </c>
      <c r="Q206" s="1" t="b">
        <f t="shared" si="7"/>
        <v>0</v>
      </c>
      <c r="R206" s="1" t="s">
        <v>1389</v>
      </c>
      <c r="S206" s="1" t="s">
        <v>1389</v>
      </c>
      <c r="T206" s="1">
        <v>0</v>
      </c>
    </row>
    <row r="207" spans="1:20" ht="45" x14ac:dyDescent="0.25">
      <c r="A207" s="1" t="str">
        <f t="shared" si="6"/>
        <v>Done</v>
      </c>
      <c r="B207" s="1" t="s">
        <v>12</v>
      </c>
      <c r="C207" s="1">
        <v>53</v>
      </c>
      <c r="D207" s="1" t="s">
        <v>573</v>
      </c>
      <c r="E207" s="1" t="s">
        <v>175</v>
      </c>
      <c r="F207" s="1" t="s">
        <v>53</v>
      </c>
      <c r="G207" s="1" t="s">
        <v>2222</v>
      </c>
      <c r="H207" s="1" t="s">
        <v>2044</v>
      </c>
      <c r="I207" s="1" t="s">
        <v>49</v>
      </c>
      <c r="J207" s="1">
        <v>4</v>
      </c>
      <c r="K207" s="1" t="s">
        <v>176</v>
      </c>
      <c r="L207" s="1" t="str" cm="1">
        <f t="array" ref="L207">_xlfn.REGEXEXTRACT(B207,"(?&lt;=//)[^/]+")</f>
        <v>heavyfetish.com</v>
      </c>
      <c r="M207" s="1" t="s">
        <v>457</v>
      </c>
      <c r="N207" s="1" t="s">
        <v>1740</v>
      </c>
      <c r="O207" s="1" t="str" cm="1">
        <f t="array" ref="O207">IF(N207&lt;&gt;"NtApp",_xlfn.REGEXEXTRACT(N207,"\d+(?=p)"),"NtApp")</f>
        <v>NtApp</v>
      </c>
      <c r="P207" s="1" t="s">
        <v>1740</v>
      </c>
      <c r="Q207" s="1" t="b">
        <f t="shared" si="7"/>
        <v>0</v>
      </c>
      <c r="R207" s="1" t="s">
        <v>1842</v>
      </c>
      <c r="S207" s="1" t="s">
        <v>1384</v>
      </c>
      <c r="T207" s="1">
        <v>0</v>
      </c>
    </row>
    <row r="208" spans="1:20" ht="30" x14ac:dyDescent="0.25">
      <c r="A208" s="1" t="str">
        <f t="shared" si="6"/>
        <v>Done</v>
      </c>
      <c r="B208" s="1" t="s">
        <v>19</v>
      </c>
      <c r="C208" s="1">
        <v>55</v>
      </c>
      <c r="D208" s="1" t="s">
        <v>56</v>
      </c>
      <c r="E208" s="1" t="s">
        <v>150</v>
      </c>
      <c r="F208" s="1" t="s">
        <v>53</v>
      </c>
      <c r="G208" s="1" t="s">
        <v>2258</v>
      </c>
      <c r="H208" s="1" t="s">
        <v>316</v>
      </c>
      <c r="I208" s="1" t="s">
        <v>49</v>
      </c>
      <c r="J208" s="1">
        <v>4</v>
      </c>
      <c r="K208" s="1" t="s">
        <v>57</v>
      </c>
      <c r="L208" s="1" t="str" cm="1">
        <f t="array" ref="L208">_xlfn.REGEXEXTRACT(B208,"(?&lt;=//)[^/]+")</f>
        <v>bdsmstreak.com</v>
      </c>
      <c r="M208" s="1" t="s">
        <v>457</v>
      </c>
      <c r="N208" s="1" t="s">
        <v>1740</v>
      </c>
      <c r="O208" s="1" t="str" cm="1">
        <f t="array" ref="O208">IF(N208&lt;&gt;"NtApp",_xlfn.REGEXEXTRACT(N208,"\d+(?=p)"),"NtApp")</f>
        <v>NtApp</v>
      </c>
      <c r="P208" s="1" t="s">
        <v>1740</v>
      </c>
      <c r="Q208" s="1" t="b">
        <f t="shared" si="7"/>
        <v>0</v>
      </c>
      <c r="R208" s="1" t="s">
        <v>1740</v>
      </c>
      <c r="S208" s="1" t="s">
        <v>1292</v>
      </c>
      <c r="T208" s="1">
        <v>0</v>
      </c>
    </row>
    <row r="209" spans="1:20" ht="45" x14ac:dyDescent="0.25">
      <c r="A209" s="1" t="str">
        <f t="shared" si="6"/>
        <v>Done</v>
      </c>
      <c r="B209" s="1" t="s">
        <v>9</v>
      </c>
      <c r="C209" s="1">
        <v>58</v>
      </c>
      <c r="D209" s="1" t="s">
        <v>577</v>
      </c>
      <c r="E209" s="1" t="s">
        <v>284</v>
      </c>
      <c r="F209" s="1" t="s">
        <v>54</v>
      </c>
      <c r="G209" s="1" t="s">
        <v>2237</v>
      </c>
      <c r="H209" s="1" t="s">
        <v>2014</v>
      </c>
      <c r="I209" s="1" t="s">
        <v>49</v>
      </c>
      <c r="J209" s="1">
        <v>4</v>
      </c>
      <c r="K209" s="1" t="s">
        <v>386</v>
      </c>
      <c r="L209" s="1" t="str" cm="1">
        <f t="array" ref="L209">_xlfn.REGEXEXTRACT(B209,"(?&lt;=//)[^/]+")</f>
        <v>heavyfetish.com</v>
      </c>
      <c r="M209" s="1" t="s">
        <v>457</v>
      </c>
      <c r="N209" s="1" t="s">
        <v>1740</v>
      </c>
      <c r="O209" s="1" t="str" cm="1">
        <f t="array" ref="O209">IF(N209&lt;&gt;"NtApp",_xlfn.REGEXEXTRACT(N209,"\d+(?=p)"),"NtApp")</f>
        <v>NtApp</v>
      </c>
      <c r="P209" s="1" t="s">
        <v>1740</v>
      </c>
      <c r="Q209" s="1" t="b">
        <f t="shared" si="7"/>
        <v>1</v>
      </c>
      <c r="R209" s="1" t="s">
        <v>1383</v>
      </c>
      <c r="S209" s="1" t="s">
        <v>1382</v>
      </c>
      <c r="T209" s="1">
        <v>0</v>
      </c>
    </row>
    <row r="210" spans="1:20" ht="30" x14ac:dyDescent="0.25">
      <c r="A210" s="1" t="str">
        <f t="shared" si="6"/>
        <v>Done</v>
      </c>
      <c r="B210" s="1" t="s">
        <v>15</v>
      </c>
      <c r="C210" s="1">
        <v>59</v>
      </c>
      <c r="D210" s="1" t="s">
        <v>571</v>
      </c>
      <c r="E210" s="1" t="s">
        <v>283</v>
      </c>
      <c r="F210" s="1" t="s">
        <v>54</v>
      </c>
      <c r="G210" s="1" t="s">
        <v>2096</v>
      </c>
      <c r="H210" s="1" t="s">
        <v>1973</v>
      </c>
      <c r="I210" s="1" t="s">
        <v>49</v>
      </c>
      <c r="J210" s="1">
        <v>4</v>
      </c>
      <c r="K210" s="1" t="s">
        <v>2097</v>
      </c>
      <c r="L210" s="1" t="str" cm="1">
        <f t="array" ref="L210">_xlfn.REGEXEXTRACT(B210,"(?&lt;=//)[^/]+")</f>
        <v>bdsmstreak.com</v>
      </c>
      <c r="M210" s="1" t="s">
        <v>457</v>
      </c>
      <c r="N210" s="1" t="s">
        <v>1740</v>
      </c>
      <c r="O210" s="1" t="str" cm="1">
        <f t="array" ref="O210">IF(N210&lt;&gt;"NtApp",_xlfn.REGEXEXTRACT(N210,"\d+(?=p)"),"NtApp")</f>
        <v>NtApp</v>
      </c>
      <c r="P210" s="1" t="s">
        <v>1740</v>
      </c>
      <c r="Q210" s="1" t="b">
        <f t="shared" si="7"/>
        <v>1</v>
      </c>
      <c r="R210" s="1" t="s">
        <v>1381</v>
      </c>
      <c r="S210" s="1" t="s">
        <v>1380</v>
      </c>
      <c r="T210" s="1">
        <v>0</v>
      </c>
    </row>
    <row r="211" spans="1:20" ht="45" x14ac:dyDescent="0.25">
      <c r="A211" s="1" t="str">
        <f t="shared" si="6"/>
        <v>Done</v>
      </c>
      <c r="B211" s="1" t="s">
        <v>817</v>
      </c>
      <c r="C211" s="1">
        <v>60</v>
      </c>
      <c r="D211" s="1" t="s">
        <v>569</v>
      </c>
      <c r="E211" s="1" t="s">
        <v>282</v>
      </c>
      <c r="F211" s="1" t="s">
        <v>53</v>
      </c>
      <c r="G211" s="1" t="s">
        <v>818</v>
      </c>
      <c r="H211" s="1" t="s">
        <v>2012</v>
      </c>
      <c r="I211" s="1" t="s">
        <v>49</v>
      </c>
      <c r="J211" s="1">
        <v>4</v>
      </c>
      <c r="K211" s="1" t="s">
        <v>389</v>
      </c>
      <c r="L211" s="1" t="str" cm="1">
        <f t="array" ref="L211">_xlfn.REGEXEXTRACT(B211,"(?&lt;=//)[^/]+")</f>
        <v>hcbdsm.com</v>
      </c>
      <c r="M211" s="1" t="s">
        <v>457</v>
      </c>
      <c r="N211" s="1" t="s">
        <v>1740</v>
      </c>
      <c r="O211" s="1" t="str" cm="1">
        <f t="array" ref="O211">IF(N211&lt;&gt;"NtApp",_xlfn.REGEXEXTRACT(N211,"\d+(?=p)"),"NtApp")</f>
        <v>NtApp</v>
      </c>
      <c r="P211" s="1" t="s">
        <v>1740</v>
      </c>
      <c r="Q211" s="1" t="b">
        <f t="shared" si="7"/>
        <v>1</v>
      </c>
      <c r="R211" s="1" t="s">
        <v>1379</v>
      </c>
      <c r="S211" s="1" t="s">
        <v>1378</v>
      </c>
      <c r="T211" s="1">
        <v>0</v>
      </c>
    </row>
    <row r="212" spans="1:20" ht="30" x14ac:dyDescent="0.25">
      <c r="A212" s="1" t="str">
        <f t="shared" si="6"/>
        <v>Done</v>
      </c>
      <c r="B212" s="1" t="s">
        <v>91</v>
      </c>
      <c r="C212" s="1">
        <v>66</v>
      </c>
      <c r="D212" s="1" t="s">
        <v>574</v>
      </c>
      <c r="E212" s="1" t="s">
        <v>197</v>
      </c>
      <c r="F212" s="1" t="s">
        <v>1779</v>
      </c>
      <c r="G212" s="1" t="s">
        <v>2243</v>
      </c>
      <c r="H212" s="1" t="s">
        <v>2019</v>
      </c>
      <c r="I212" s="1" t="s">
        <v>49</v>
      </c>
      <c r="J212" s="1">
        <v>4</v>
      </c>
      <c r="K212" s="1" t="s">
        <v>408</v>
      </c>
      <c r="L212" s="1" t="str" cm="1">
        <f t="array" ref="L212">_xlfn.REGEXEXTRACT(B212,"(?&lt;=//)[^/]+")</f>
        <v>m.hqporner.com</v>
      </c>
      <c r="M212" s="1" t="s">
        <v>457</v>
      </c>
      <c r="N212" s="1" t="s">
        <v>1740</v>
      </c>
      <c r="O212" s="1" t="str" cm="1">
        <f t="array" ref="O212">IF(N212&lt;&gt;"NtApp",_xlfn.REGEXEXTRACT(N212,"\d+(?=p)"),"NtApp")</f>
        <v>NtApp</v>
      </c>
      <c r="P212" s="1" t="s">
        <v>1740</v>
      </c>
      <c r="Q212" s="1" t="b">
        <f t="shared" si="7"/>
        <v>0</v>
      </c>
      <c r="R212" s="1" t="s">
        <v>1377</v>
      </c>
      <c r="S212" s="1" t="s">
        <v>1376</v>
      </c>
      <c r="T212" s="1">
        <v>0</v>
      </c>
    </row>
    <row r="213" spans="1:20" ht="30" x14ac:dyDescent="0.25">
      <c r="A213" s="1" t="str">
        <f t="shared" si="6"/>
        <v>Done</v>
      </c>
      <c r="B213" s="1" t="s">
        <v>35</v>
      </c>
      <c r="C213" s="1">
        <v>67</v>
      </c>
      <c r="D213" s="1" t="s">
        <v>576</v>
      </c>
      <c r="E213" s="1" t="s">
        <v>62</v>
      </c>
      <c r="F213" s="1" t="s">
        <v>63</v>
      </c>
      <c r="G213" s="1" t="s">
        <v>373</v>
      </c>
      <c r="H213" s="1" t="s">
        <v>1988</v>
      </c>
      <c r="I213" s="1" t="s">
        <v>49</v>
      </c>
      <c r="J213" s="1">
        <v>4</v>
      </c>
      <c r="K213" s="1" t="s">
        <v>64</v>
      </c>
      <c r="L213" s="1" t="str" cm="1">
        <f t="array" ref="L213">_xlfn.REGEXEXTRACT(B213,"(?&lt;=//)[^/]+")</f>
        <v>bdsmstreak.com</v>
      </c>
      <c r="M213" s="1" t="s">
        <v>457</v>
      </c>
      <c r="N213" s="1" t="s">
        <v>1740</v>
      </c>
      <c r="O213" s="1" t="str" cm="1">
        <f t="array" ref="O213">IF(N213&lt;&gt;"NtApp",_xlfn.REGEXEXTRACT(N213,"\d+(?=p)"),"NtApp")</f>
        <v>NtApp</v>
      </c>
      <c r="P213" s="1" t="s">
        <v>1740</v>
      </c>
      <c r="Q213" s="1" t="b">
        <f t="shared" si="7"/>
        <v>0</v>
      </c>
      <c r="R213" s="1" t="s">
        <v>1375</v>
      </c>
      <c r="S213" s="1" t="s">
        <v>1375</v>
      </c>
      <c r="T213" s="1">
        <v>0</v>
      </c>
    </row>
    <row r="214" spans="1:20" ht="30" x14ac:dyDescent="0.25">
      <c r="A214" s="1" t="str">
        <f t="shared" si="6"/>
        <v>Done</v>
      </c>
      <c r="B214" s="1" t="s">
        <v>805</v>
      </c>
      <c r="C214" s="1">
        <v>80</v>
      </c>
      <c r="D214" s="1" t="s">
        <v>575</v>
      </c>
      <c r="E214" s="1" t="s">
        <v>281</v>
      </c>
      <c r="F214" s="1" t="s">
        <v>54</v>
      </c>
      <c r="G214" s="1" t="s">
        <v>804</v>
      </c>
      <c r="H214" s="1" t="s">
        <v>2013</v>
      </c>
      <c r="I214" s="1" t="s">
        <v>49</v>
      </c>
      <c r="J214" s="1">
        <v>4</v>
      </c>
      <c r="K214" s="1" t="s">
        <v>83</v>
      </c>
      <c r="L214" s="1" t="str" cm="1">
        <f t="array" ref="L214">_xlfn.REGEXEXTRACT(B214,"(?&lt;=//)[^/]+")</f>
        <v>bdsmstreak.com</v>
      </c>
      <c r="M214" s="1" t="s">
        <v>457</v>
      </c>
      <c r="N214" s="1" t="s">
        <v>1740</v>
      </c>
      <c r="O214" s="1" t="str" cm="1">
        <f t="array" ref="O214">IF(N214&lt;&gt;"NtApp",_xlfn.REGEXEXTRACT(N214,"\d+(?=p)"),"NtApp")</f>
        <v>NtApp</v>
      </c>
      <c r="P214" s="1" t="s">
        <v>1740</v>
      </c>
      <c r="Q214" s="1" t="b">
        <f t="shared" si="7"/>
        <v>1</v>
      </c>
      <c r="R214" s="1" t="s">
        <v>1374</v>
      </c>
      <c r="S214" s="1" t="s">
        <v>1374</v>
      </c>
      <c r="T214" s="1">
        <v>0</v>
      </c>
    </row>
    <row r="215" spans="1:20" ht="60" x14ac:dyDescent="0.25">
      <c r="A215" s="1" t="str">
        <f t="shared" si="6"/>
        <v>Done</v>
      </c>
      <c r="B215" s="1" t="s">
        <v>1026</v>
      </c>
      <c r="C215" s="1">
        <v>80</v>
      </c>
      <c r="D215" s="1" t="s">
        <v>572</v>
      </c>
      <c r="E215" s="1" t="s">
        <v>1027</v>
      </c>
      <c r="F215" s="1" t="s">
        <v>54</v>
      </c>
      <c r="G215" s="1" t="s">
        <v>2370</v>
      </c>
      <c r="H215" s="1" t="s">
        <v>2369</v>
      </c>
      <c r="I215" s="1" t="s">
        <v>49</v>
      </c>
      <c r="J215" s="1">
        <v>4</v>
      </c>
      <c r="K215" s="1" t="s">
        <v>2371</v>
      </c>
      <c r="L215" s="1" t="str" cm="1">
        <f t="array" ref="L215">_xlfn.REGEXEXTRACT(B215,"(?&lt;=//)[^/]+")</f>
        <v>bdsmstreak.com</v>
      </c>
      <c r="M215" s="1" t="s">
        <v>457</v>
      </c>
      <c r="N215" s="1" t="s">
        <v>1740</v>
      </c>
      <c r="O215" s="1" t="str" cm="1">
        <f t="array" ref="O215">IF(N215&lt;&gt;"NtApp",_xlfn.REGEXEXTRACT(N215,"\d+(?=p)"),"NtApp")</f>
        <v>NtApp</v>
      </c>
      <c r="P215" s="1" t="s">
        <v>1740</v>
      </c>
      <c r="Q215" s="1" t="b">
        <f t="shared" si="7"/>
        <v>1</v>
      </c>
      <c r="R215" s="1" t="s">
        <v>1581</v>
      </c>
      <c r="S215" s="1" t="s">
        <v>1580</v>
      </c>
      <c r="T215" s="1">
        <v>5</v>
      </c>
    </row>
    <row r="216" spans="1:20" ht="45" x14ac:dyDescent="0.25">
      <c r="A216" s="1" t="str">
        <f t="shared" si="6"/>
        <v>Done</v>
      </c>
      <c r="B216" s="1" t="s">
        <v>105</v>
      </c>
      <c r="C216" s="1">
        <v>0</v>
      </c>
      <c r="D216" s="1" t="s">
        <v>836</v>
      </c>
      <c r="E216" s="1" t="s">
        <v>131</v>
      </c>
      <c r="F216" s="1" t="s">
        <v>53</v>
      </c>
      <c r="G216" s="1" t="s">
        <v>376</v>
      </c>
      <c r="H216" s="1" t="s">
        <v>1985</v>
      </c>
      <c r="I216" s="1" t="s">
        <v>49</v>
      </c>
      <c r="J216" s="1">
        <v>3</v>
      </c>
      <c r="K216" s="1" t="s">
        <v>193</v>
      </c>
      <c r="L216" s="1" t="str" cm="1">
        <f t="array" ref="L216">_xlfn.REGEXEXTRACT(B216,"(?&lt;=//)[^/]+")</f>
        <v>curebdsm.com</v>
      </c>
      <c r="M216" s="1" t="s">
        <v>457</v>
      </c>
      <c r="N216" s="1" t="s">
        <v>1740</v>
      </c>
      <c r="O216" s="1" t="str" cm="1">
        <f t="array" ref="O216">IF(N216&lt;&gt;"NtApp",_xlfn.REGEXEXTRACT(N216,"\d+(?=p)"),"NtApp")</f>
        <v>NtApp</v>
      </c>
      <c r="P216" s="1" t="s">
        <v>1740</v>
      </c>
      <c r="Q216" s="1" t="b">
        <f t="shared" si="7"/>
        <v>0</v>
      </c>
      <c r="R216" s="1" t="s">
        <v>1740</v>
      </c>
      <c r="S216" s="1" t="s">
        <v>1740</v>
      </c>
      <c r="T216" s="1">
        <v>0</v>
      </c>
    </row>
    <row r="217" spans="1:20" ht="30" x14ac:dyDescent="0.25">
      <c r="A217" s="1" t="str">
        <f t="shared" si="6"/>
        <v>Done</v>
      </c>
      <c r="B217" s="1" t="s">
        <v>106</v>
      </c>
      <c r="C217" s="1">
        <v>0</v>
      </c>
      <c r="D217" s="1" t="s">
        <v>836</v>
      </c>
      <c r="E217" s="1" t="s">
        <v>117</v>
      </c>
      <c r="F217" s="1" t="s">
        <v>53</v>
      </c>
      <c r="G217" s="1" t="s">
        <v>2228</v>
      </c>
      <c r="H217" s="1" t="s">
        <v>429</v>
      </c>
      <c r="I217" s="1" t="s">
        <v>49</v>
      </c>
      <c r="J217" s="1">
        <v>3</v>
      </c>
      <c r="K217" s="1" t="s">
        <v>1846</v>
      </c>
      <c r="L217" s="1" t="str" cm="1">
        <f t="array" ref="L217">_xlfn.REGEXEXTRACT(B217,"(?&lt;=//)[^/]+")</f>
        <v>curebdsm.com</v>
      </c>
      <c r="M217" s="1" t="s">
        <v>457</v>
      </c>
      <c r="N217" s="1" t="s">
        <v>1740</v>
      </c>
      <c r="O217" s="1" t="str" cm="1">
        <f t="array" ref="O217">IF(N217&lt;&gt;"NtApp",_xlfn.REGEXEXTRACT(N217,"\d+(?=p)"),"NtApp")</f>
        <v>NtApp</v>
      </c>
      <c r="P217" s="1" t="s">
        <v>1740</v>
      </c>
      <c r="Q217" s="1" t="b">
        <f t="shared" si="7"/>
        <v>0</v>
      </c>
      <c r="R217" s="1" t="s">
        <v>1740</v>
      </c>
      <c r="S217" s="1" t="s">
        <v>1740</v>
      </c>
      <c r="T217" s="1">
        <v>0</v>
      </c>
    </row>
    <row r="218" spans="1:20" ht="60" x14ac:dyDescent="0.25">
      <c r="A218" s="1" t="str">
        <f t="shared" si="6"/>
        <v>Done</v>
      </c>
      <c r="B218" s="1" t="s">
        <v>240</v>
      </c>
      <c r="C218" s="1">
        <v>5</v>
      </c>
      <c r="D218" s="1" t="s">
        <v>835</v>
      </c>
      <c r="E218" s="1" t="s">
        <v>921</v>
      </c>
      <c r="F218" s="1" t="s">
        <v>63</v>
      </c>
      <c r="G218" s="1" t="s">
        <v>304</v>
      </c>
      <c r="H218" s="1" t="s">
        <v>430</v>
      </c>
      <c r="I218" s="1" t="s">
        <v>246</v>
      </c>
      <c r="J218" s="1">
        <v>3</v>
      </c>
      <c r="K218" s="1" t="s">
        <v>247</v>
      </c>
      <c r="L218" s="1" t="str" cm="1">
        <f t="array" ref="L218">_xlfn.REGEXEXTRACT(B218,"(?&lt;=//)[^/]+")</f>
        <v>www.eporner.com</v>
      </c>
      <c r="M218" s="1" t="s">
        <v>457</v>
      </c>
      <c r="N218" s="1" t="s">
        <v>1740</v>
      </c>
      <c r="O218" s="1" t="str" cm="1">
        <f t="array" ref="O218">IF(N218&lt;&gt;"NtApp",_xlfn.REGEXEXTRACT(N218,"\d+(?=p)"),"NtApp")</f>
        <v>NtApp</v>
      </c>
      <c r="P218" s="1" t="s">
        <v>1740</v>
      </c>
      <c r="Q218" s="1" t="b">
        <f t="shared" si="7"/>
        <v>0</v>
      </c>
      <c r="R218" s="1" t="s">
        <v>1740</v>
      </c>
      <c r="S218" s="1" t="s">
        <v>1498</v>
      </c>
      <c r="T218" s="1">
        <v>0</v>
      </c>
    </row>
    <row r="219" spans="1:20" ht="60" x14ac:dyDescent="0.25">
      <c r="A219" s="1" t="str">
        <f t="shared" si="6"/>
        <v>Done</v>
      </c>
      <c r="B219" s="1" t="s">
        <v>23</v>
      </c>
      <c r="C219" s="1">
        <v>9</v>
      </c>
      <c r="D219" s="1" t="s">
        <v>1297</v>
      </c>
      <c r="E219" s="1" t="s">
        <v>148</v>
      </c>
      <c r="F219" s="1" t="s">
        <v>53</v>
      </c>
      <c r="G219" s="1" t="s">
        <v>303</v>
      </c>
      <c r="H219" s="1" t="s">
        <v>419</v>
      </c>
      <c r="I219" s="1" t="s">
        <v>49</v>
      </c>
      <c r="J219" s="1">
        <v>3</v>
      </c>
      <c r="K219" s="1" t="s">
        <v>421</v>
      </c>
      <c r="L219" s="1" t="str" cm="1">
        <f t="array" ref="L219">_xlfn.REGEXEXTRACT(B219,"(?&lt;=//)[^/]+")</f>
        <v>anyporn.com</v>
      </c>
      <c r="M219" s="1" t="s">
        <v>457</v>
      </c>
      <c r="N219" s="1" t="s">
        <v>1740</v>
      </c>
      <c r="O219" s="1" t="str" cm="1">
        <f t="array" ref="O219">IF(N219&lt;&gt;"NtApp",_xlfn.REGEXEXTRACT(N219,"\d+(?=p)"),"NtApp")</f>
        <v>NtApp</v>
      </c>
      <c r="P219" s="1" t="s">
        <v>1740</v>
      </c>
      <c r="Q219" s="1" t="b">
        <f t="shared" si="7"/>
        <v>0</v>
      </c>
      <c r="R219" s="1" t="s">
        <v>1460</v>
      </c>
      <c r="S219" s="1" t="s">
        <v>1459</v>
      </c>
      <c r="T219" s="1">
        <v>0</v>
      </c>
    </row>
    <row r="220" spans="1:20" x14ac:dyDescent="0.25">
      <c r="A220" s="1" t="str">
        <f t="shared" si="6"/>
        <v>Done</v>
      </c>
      <c r="B220" s="1" t="s">
        <v>741</v>
      </c>
      <c r="C220" s="1">
        <v>13</v>
      </c>
      <c r="D220" s="1" t="s">
        <v>147</v>
      </c>
      <c r="E220" s="1" t="s">
        <v>590</v>
      </c>
      <c r="F220" s="1" t="s">
        <v>127</v>
      </c>
      <c r="G220" s="1" t="s">
        <v>2063</v>
      </c>
      <c r="H220" s="1" t="s">
        <v>1144</v>
      </c>
      <c r="I220" s="1" t="s">
        <v>49</v>
      </c>
      <c r="J220" s="1">
        <v>3</v>
      </c>
      <c r="K220" s="1" t="s">
        <v>1941</v>
      </c>
      <c r="L220" s="1" t="str" cm="1">
        <f t="array" ref="L220">_xlfn.REGEXEXTRACT(B220,"(?&lt;=//)[^/]+")</f>
        <v>porndoe.com</v>
      </c>
      <c r="M220" s="1" t="s">
        <v>457</v>
      </c>
      <c r="N220" s="1" t="s">
        <v>1740</v>
      </c>
      <c r="O220" s="1" t="str" cm="1">
        <f t="array" ref="O220">IF(N220&lt;&gt;"NtApp",_xlfn.REGEXEXTRACT(N220,"\d+(?=p)"),"NtApp")</f>
        <v>NtApp</v>
      </c>
      <c r="P220" s="1" t="s">
        <v>1740</v>
      </c>
      <c r="Q220" s="1" t="b">
        <f t="shared" si="7"/>
        <v>0</v>
      </c>
      <c r="R220" s="1" t="s">
        <v>1143</v>
      </c>
      <c r="S220" s="1" t="s">
        <v>1137</v>
      </c>
      <c r="T220" s="1">
        <v>0</v>
      </c>
    </row>
    <row r="221" spans="1:20" ht="30" x14ac:dyDescent="0.25">
      <c r="A221" s="1" t="str">
        <f t="shared" si="6"/>
        <v>Done</v>
      </c>
      <c r="B221" s="1" t="s">
        <v>672</v>
      </c>
      <c r="C221" s="1">
        <v>15</v>
      </c>
      <c r="D221" s="1" t="s">
        <v>575</v>
      </c>
      <c r="E221" s="1" t="s">
        <v>706</v>
      </c>
      <c r="F221" s="1" t="s">
        <v>54</v>
      </c>
      <c r="G221" s="1" t="s">
        <v>1151</v>
      </c>
      <c r="H221" s="1" t="s">
        <v>1975</v>
      </c>
      <c r="I221" s="1" t="s">
        <v>49</v>
      </c>
      <c r="J221" s="1">
        <v>3</v>
      </c>
      <c r="K221" s="1" t="s">
        <v>1153</v>
      </c>
      <c r="L221" s="1" t="str" cm="1">
        <f t="array" ref="L221">_xlfn.REGEXEXTRACT(B221,"(?&lt;=//)[^/]+")</f>
        <v>www.kink.com</v>
      </c>
      <c r="M221" s="1" t="s">
        <v>457</v>
      </c>
      <c r="N221" s="1" t="s">
        <v>1740</v>
      </c>
      <c r="O221" s="1" t="str" cm="1">
        <f t="array" ref="O221">IF(N221&lt;&gt;"NtApp",_xlfn.REGEXEXTRACT(N221,"\d+(?=p)"),"NtApp")</f>
        <v>NtApp</v>
      </c>
      <c r="P221" s="1" t="s">
        <v>1740</v>
      </c>
      <c r="Q221" s="1" t="b">
        <f t="shared" si="7"/>
        <v>0</v>
      </c>
      <c r="R221" s="1" t="s">
        <v>1150</v>
      </c>
      <c r="S221" s="1" t="s">
        <v>1150</v>
      </c>
      <c r="T221" s="1">
        <v>0</v>
      </c>
    </row>
    <row r="222" spans="1:20" ht="30" x14ac:dyDescent="0.25">
      <c r="A222" s="1" t="str">
        <f t="shared" si="6"/>
        <v>Done</v>
      </c>
      <c r="B222" s="1" t="s">
        <v>5</v>
      </c>
      <c r="C222" s="1">
        <v>18</v>
      </c>
      <c r="D222" s="1" t="s">
        <v>118</v>
      </c>
      <c r="E222" s="1" t="s">
        <v>121</v>
      </c>
      <c r="F222" s="1" t="s">
        <v>53</v>
      </c>
      <c r="G222" s="1" t="s">
        <v>2225</v>
      </c>
      <c r="H222" s="1" t="s">
        <v>1974</v>
      </c>
      <c r="I222" s="1" t="s">
        <v>49</v>
      </c>
      <c r="J222" s="1">
        <v>3</v>
      </c>
      <c r="K222" s="1" t="s">
        <v>122</v>
      </c>
      <c r="L222" s="1" t="str" cm="1">
        <f t="array" ref="L222">_xlfn.REGEXEXTRACT(B222,"(?&lt;=//)[^/]+")</f>
        <v>heavyfetish.com</v>
      </c>
      <c r="M222" s="1" t="s">
        <v>457</v>
      </c>
      <c r="N222" s="1" t="s">
        <v>1740</v>
      </c>
      <c r="O222" s="1" t="str" cm="1">
        <f t="array" ref="O222">IF(N222&lt;&gt;"NtApp",_xlfn.REGEXEXTRACT(N222,"\d+(?=p)"),"NtApp")</f>
        <v>NtApp</v>
      </c>
      <c r="P222" s="1" t="s">
        <v>1740</v>
      </c>
      <c r="Q222" s="1" t="b">
        <f t="shared" si="7"/>
        <v>0</v>
      </c>
      <c r="R222" s="1" t="s">
        <v>1740</v>
      </c>
      <c r="S222" s="1" t="s">
        <v>1449</v>
      </c>
      <c r="T222" s="1">
        <v>0</v>
      </c>
    </row>
    <row r="223" spans="1:20" ht="60" x14ac:dyDescent="0.25">
      <c r="A223" s="1" t="str">
        <f t="shared" si="6"/>
        <v>Done</v>
      </c>
      <c r="B223" s="1" t="s">
        <v>2120</v>
      </c>
      <c r="C223" s="1">
        <v>19</v>
      </c>
      <c r="D223" s="1" t="s">
        <v>1297</v>
      </c>
      <c r="E223" s="1" t="s">
        <v>1107</v>
      </c>
      <c r="F223" s="1" t="s">
        <v>53</v>
      </c>
      <c r="G223" s="1" t="s">
        <v>2123</v>
      </c>
      <c r="H223" s="1" t="s">
        <v>2122</v>
      </c>
      <c r="I223" s="1" t="s">
        <v>49</v>
      </c>
      <c r="J223" s="1">
        <v>3</v>
      </c>
      <c r="K223" s="1" t="s">
        <v>2124</v>
      </c>
      <c r="L223" s="1" t="str" cm="1">
        <f t="array" ref="L223">_xlfn.REGEXEXTRACT(B223,"(?&lt;=//)[^/]+")</f>
        <v>porndude.tv</v>
      </c>
      <c r="M223" s="1" t="s">
        <v>457</v>
      </c>
      <c r="N223" s="1" t="s">
        <v>1740</v>
      </c>
      <c r="O223" s="1" t="str" cm="1">
        <f t="array" ref="O223">IF(N223&lt;&gt;"NtApp",_xlfn.REGEXEXTRACT(N223,"\d+(?=p)"),"NtApp")</f>
        <v>NtApp</v>
      </c>
      <c r="P223" s="1" t="s">
        <v>1740</v>
      </c>
      <c r="Q223" s="1" t="b">
        <f t="shared" si="7"/>
        <v>0</v>
      </c>
      <c r="R223" s="1" t="s">
        <v>1461</v>
      </c>
      <c r="S223" s="1" t="s">
        <v>2121</v>
      </c>
      <c r="T223" s="1">
        <v>0</v>
      </c>
    </row>
    <row r="224" spans="1:20" ht="30" x14ac:dyDescent="0.25">
      <c r="A224" s="1" t="str">
        <f t="shared" si="6"/>
        <v>Done</v>
      </c>
      <c r="B224" s="1" t="s">
        <v>1000</v>
      </c>
      <c r="C224" s="1">
        <v>20</v>
      </c>
      <c r="D224" s="1" t="s">
        <v>577</v>
      </c>
      <c r="E224" s="1" t="s">
        <v>1001</v>
      </c>
      <c r="F224" s="1" t="s">
        <v>53</v>
      </c>
      <c r="G224" s="1" t="s">
        <v>2326</v>
      </c>
      <c r="H224" s="1" t="s">
        <v>2125</v>
      </c>
      <c r="I224" s="1" t="s">
        <v>49</v>
      </c>
      <c r="J224" s="1">
        <v>3</v>
      </c>
      <c r="K224" s="1" t="s">
        <v>2126</v>
      </c>
      <c r="L224" s="1" t="str" cm="1">
        <f t="array" ref="L224">_xlfn.REGEXEXTRACT(B224,"(?&lt;=//)[^/]+")</f>
        <v>hcbdsm.com</v>
      </c>
      <c r="M224" s="1" t="s">
        <v>457</v>
      </c>
      <c r="N224" s="1" t="s">
        <v>1740</v>
      </c>
      <c r="O224" s="1" t="str" cm="1">
        <f t="array" ref="O224">IF(N224&lt;&gt;"NtApp",_xlfn.REGEXEXTRACT(N224,"\d+(?=p)"),"NtApp")</f>
        <v>NtApp</v>
      </c>
      <c r="P224" s="1" t="s">
        <v>1740</v>
      </c>
      <c r="Q224" s="1" t="b">
        <f t="shared" si="7"/>
        <v>0</v>
      </c>
      <c r="R224" s="1" t="s">
        <v>1527</v>
      </c>
      <c r="S224" s="1" t="s">
        <v>1527</v>
      </c>
      <c r="T224" s="1">
        <v>0</v>
      </c>
    </row>
    <row r="225" spans="1:20" ht="30" x14ac:dyDescent="0.25">
      <c r="A225" s="1" t="str">
        <f t="shared" si="6"/>
        <v>Done</v>
      </c>
      <c r="B225" s="1" t="s">
        <v>1036</v>
      </c>
      <c r="C225" s="1">
        <v>20</v>
      </c>
      <c r="D225" s="1" t="s">
        <v>573</v>
      </c>
      <c r="E225" s="1" t="s">
        <v>1037</v>
      </c>
      <c r="F225" s="1" t="s">
        <v>54</v>
      </c>
      <c r="G225" s="1" t="s">
        <v>2127</v>
      </c>
      <c r="H225" s="1" t="s">
        <v>1962</v>
      </c>
      <c r="I225" s="1" t="s">
        <v>49</v>
      </c>
      <c r="J225" s="1">
        <v>3</v>
      </c>
      <c r="K225" s="1" t="s">
        <v>2128</v>
      </c>
      <c r="L225" s="1" t="str" cm="1">
        <f t="array" ref="L225">_xlfn.REGEXEXTRACT(B225,"(?&lt;=//)[^/]+")</f>
        <v>hcbdsm.com</v>
      </c>
      <c r="M225" s="1" t="s">
        <v>457</v>
      </c>
      <c r="N225" s="1" t="s">
        <v>1740</v>
      </c>
      <c r="O225" s="1" t="str" cm="1">
        <f t="array" ref="O225">IF(N225&lt;&gt;"NtApp",_xlfn.REGEXEXTRACT(N225,"\d+(?=p)"),"NtApp")</f>
        <v>NtApp</v>
      </c>
      <c r="P225" s="1" t="s">
        <v>1740</v>
      </c>
      <c r="Q225" s="1" t="b">
        <f t="shared" si="7"/>
        <v>1</v>
      </c>
      <c r="R225" s="1" t="s">
        <v>1553</v>
      </c>
      <c r="S225" s="1" t="s">
        <v>1553</v>
      </c>
      <c r="T225" s="1">
        <v>0</v>
      </c>
    </row>
    <row r="226" spans="1:20" ht="30" x14ac:dyDescent="0.25">
      <c r="A226" s="1" t="str">
        <f t="shared" si="6"/>
        <v>Done</v>
      </c>
      <c r="B226" s="1" t="s">
        <v>88</v>
      </c>
      <c r="C226" s="1">
        <v>25</v>
      </c>
      <c r="D226" s="1" t="s">
        <v>577</v>
      </c>
      <c r="E226" s="1" t="s">
        <v>285</v>
      </c>
      <c r="F226" s="1" t="s">
        <v>54</v>
      </c>
      <c r="G226" s="1" t="s">
        <v>2226</v>
      </c>
      <c r="H226" s="1" t="s">
        <v>1979</v>
      </c>
      <c r="I226" s="1" t="s">
        <v>49</v>
      </c>
      <c r="J226" s="1">
        <v>3</v>
      </c>
      <c r="K226" s="1" t="s">
        <v>382</v>
      </c>
      <c r="L226" s="1" t="str" cm="1">
        <f t="array" ref="L226">_xlfn.REGEXEXTRACT(B226,"(?&lt;=//)[^/]+")</f>
        <v>heavyfetish.com</v>
      </c>
      <c r="M226" s="1" t="s">
        <v>457</v>
      </c>
      <c r="N226" s="1" t="s">
        <v>1740</v>
      </c>
      <c r="O226" s="1" t="str" cm="1">
        <f t="array" ref="O226">IF(N226&lt;&gt;"NtApp",_xlfn.REGEXEXTRACT(N226,"\d+(?=p)"),"NtApp")</f>
        <v>NtApp</v>
      </c>
      <c r="P226" s="1" t="s">
        <v>1740</v>
      </c>
      <c r="Q226" s="1" t="b">
        <f t="shared" si="7"/>
        <v>1</v>
      </c>
      <c r="R226" s="1" t="s">
        <v>1479</v>
      </c>
      <c r="S226" s="1" t="s">
        <v>1478</v>
      </c>
      <c r="T226" s="1">
        <v>0</v>
      </c>
    </row>
    <row r="227" spans="1:20" ht="30" x14ac:dyDescent="0.25">
      <c r="A227" s="1" t="str">
        <f t="shared" si="6"/>
        <v>Done</v>
      </c>
      <c r="B227" s="1" t="s">
        <v>1</v>
      </c>
      <c r="C227" s="1">
        <v>28</v>
      </c>
      <c r="D227" s="1" t="s">
        <v>124</v>
      </c>
      <c r="E227" s="1" t="s">
        <v>59</v>
      </c>
      <c r="F227" s="1" t="s">
        <v>126</v>
      </c>
      <c r="G227" s="1" t="s">
        <v>2140</v>
      </c>
      <c r="H227" s="1" t="s">
        <v>2025</v>
      </c>
      <c r="I227" s="1" t="s">
        <v>49</v>
      </c>
      <c r="J227" s="1">
        <v>3</v>
      </c>
      <c r="K227" s="1" t="s">
        <v>125</v>
      </c>
      <c r="L227" s="1" t="str" cm="1">
        <f t="array" ref="L227">_xlfn.REGEXEXTRACT(B227,"(?&lt;=//)[^/]+")</f>
        <v>www.pornhub.com</v>
      </c>
      <c r="M227" s="1" t="s">
        <v>457</v>
      </c>
      <c r="N227" s="1" t="s">
        <v>1740</v>
      </c>
      <c r="O227" s="1" t="str" cm="1">
        <f t="array" ref="O227">IF(N227&lt;&gt;"NtApp",_xlfn.REGEXEXTRACT(N227,"\d+(?=p)"),"NtApp")</f>
        <v>NtApp</v>
      </c>
      <c r="P227" s="1" t="s">
        <v>1740</v>
      </c>
      <c r="Q227" s="1" t="b">
        <f t="shared" si="7"/>
        <v>0</v>
      </c>
      <c r="R227" s="1" t="s">
        <v>1430</v>
      </c>
      <c r="S227" s="1" t="s">
        <v>1430</v>
      </c>
      <c r="T227" s="1">
        <v>0</v>
      </c>
    </row>
    <row r="228" spans="1:20" ht="45" x14ac:dyDescent="0.25">
      <c r="A228" s="1" t="str">
        <f t="shared" si="6"/>
        <v>Done</v>
      </c>
      <c r="B228" s="1" t="s">
        <v>25</v>
      </c>
      <c r="C228" s="1">
        <v>30</v>
      </c>
      <c r="D228" s="1" t="s">
        <v>835</v>
      </c>
      <c r="E228" s="1" t="s">
        <v>129</v>
      </c>
      <c r="F228" s="1" t="s">
        <v>127</v>
      </c>
      <c r="G228" s="1" t="s">
        <v>302</v>
      </c>
      <c r="H228" s="1" t="s">
        <v>321</v>
      </c>
      <c r="I228" s="1" t="s">
        <v>49</v>
      </c>
      <c r="J228" s="1">
        <v>3</v>
      </c>
      <c r="K228" s="1" t="s">
        <v>453</v>
      </c>
      <c r="L228" s="1" t="str" cm="1">
        <f t="array" ref="L228">_xlfn.REGEXEXTRACT(B228,"(?&lt;=//)[^/]+")</f>
        <v>www.pornhub.com</v>
      </c>
      <c r="M228" s="1" t="s">
        <v>457</v>
      </c>
      <c r="N228" s="1" t="s">
        <v>1740</v>
      </c>
      <c r="O228" s="1" t="str" cm="1">
        <f t="array" ref="O228">IF(N228&lt;&gt;"NtApp",_xlfn.REGEXEXTRACT(N228,"\d+(?=p)"),"NtApp")</f>
        <v>NtApp</v>
      </c>
      <c r="P228" s="1" t="s">
        <v>1740</v>
      </c>
      <c r="Q228" s="1" t="b">
        <f t="shared" si="7"/>
        <v>0</v>
      </c>
      <c r="R228" s="1" t="s">
        <v>1419</v>
      </c>
      <c r="S228" s="1" t="s">
        <v>1419</v>
      </c>
      <c r="T228" s="1">
        <v>0</v>
      </c>
    </row>
    <row r="229" spans="1:20" ht="45" x14ac:dyDescent="0.25">
      <c r="A229" s="1" t="str">
        <f t="shared" si="6"/>
        <v>Done</v>
      </c>
      <c r="B229" s="1" t="s">
        <v>1413</v>
      </c>
      <c r="C229" s="1">
        <v>31</v>
      </c>
      <c r="D229" s="1" t="s">
        <v>835</v>
      </c>
      <c r="E229" s="1" t="s">
        <v>290</v>
      </c>
      <c r="F229" s="1" t="s">
        <v>128</v>
      </c>
      <c r="G229" s="1" t="s">
        <v>825</v>
      </c>
      <c r="H229" s="1" t="s">
        <v>473</v>
      </c>
      <c r="I229" s="1" t="s">
        <v>49</v>
      </c>
      <c r="J229" s="1">
        <v>3</v>
      </c>
      <c r="K229" s="1" t="s">
        <v>477</v>
      </c>
      <c r="L229" s="1" t="str" cm="1">
        <f t="array" ref="L229">_xlfn.REGEXEXTRACT(B229,"(?&lt;=//)[^/]+")</f>
        <v>www.tnaflix.com</v>
      </c>
      <c r="M229" s="1" t="s">
        <v>457</v>
      </c>
      <c r="N229" s="1" t="s">
        <v>1740</v>
      </c>
      <c r="O229" s="1" t="str" cm="1">
        <f t="array" ref="O229">IF(N229&lt;&gt;"NtApp",_xlfn.REGEXEXTRACT(N229,"\d+(?=p)"),"NtApp")</f>
        <v>NtApp</v>
      </c>
      <c r="P229" s="1" t="s">
        <v>1740</v>
      </c>
      <c r="Q229" s="1" t="b">
        <f t="shared" si="7"/>
        <v>1</v>
      </c>
      <c r="R229" s="1" t="s">
        <v>1412</v>
      </c>
      <c r="S229" s="1" t="s">
        <v>1411</v>
      </c>
      <c r="T229" s="1">
        <v>0</v>
      </c>
    </row>
    <row r="230" spans="1:20" ht="30" x14ac:dyDescent="0.25">
      <c r="A230" s="1" t="str">
        <f t="shared" si="6"/>
        <v>Done</v>
      </c>
      <c r="B230" s="1" t="s">
        <v>40</v>
      </c>
      <c r="C230" s="1">
        <v>32</v>
      </c>
      <c r="D230" s="1" t="s">
        <v>73</v>
      </c>
      <c r="E230" s="1" t="s">
        <v>289</v>
      </c>
      <c r="F230" s="1" t="s">
        <v>54</v>
      </c>
      <c r="G230" s="1" t="s">
        <v>2327</v>
      </c>
      <c r="H230" s="1" t="s">
        <v>474</v>
      </c>
      <c r="I230" s="1" t="s">
        <v>49</v>
      </c>
      <c r="J230" s="1">
        <v>3</v>
      </c>
      <c r="K230" s="1" t="s">
        <v>441</v>
      </c>
      <c r="L230" s="1" t="str" cm="1">
        <f t="array" ref="L230">_xlfn.REGEXEXTRACT(B230,"(?&lt;=//)[^/]+")</f>
        <v>heavyfetish.com</v>
      </c>
      <c r="M230" s="1" t="s">
        <v>457</v>
      </c>
      <c r="N230" s="1" t="s">
        <v>1740</v>
      </c>
      <c r="O230" s="1" t="str" cm="1">
        <f t="array" ref="O230">IF(N230&lt;&gt;"NtApp",_xlfn.REGEXEXTRACT(N230,"\d+(?=p)"),"NtApp")</f>
        <v>NtApp</v>
      </c>
      <c r="P230" s="1" t="s">
        <v>1740</v>
      </c>
      <c r="Q230" s="1" t="b">
        <f t="shared" si="7"/>
        <v>1</v>
      </c>
      <c r="R230" s="1" t="s">
        <v>1502</v>
      </c>
      <c r="S230" s="1" t="s">
        <v>1847</v>
      </c>
      <c r="T230" s="1">
        <v>0</v>
      </c>
    </row>
    <row r="231" spans="1:20" ht="60" x14ac:dyDescent="0.25">
      <c r="A231" s="1" t="str">
        <f t="shared" si="6"/>
        <v>Done</v>
      </c>
      <c r="B231" s="1" t="s">
        <v>1782</v>
      </c>
      <c r="C231" s="1">
        <v>37</v>
      </c>
      <c r="D231" s="1" t="s">
        <v>835</v>
      </c>
      <c r="E231" s="1" t="s">
        <v>135</v>
      </c>
      <c r="F231" s="1" t="s">
        <v>126</v>
      </c>
      <c r="G231" s="1" t="s">
        <v>301</v>
      </c>
      <c r="H231" s="1" t="s">
        <v>1960</v>
      </c>
      <c r="I231" s="1" t="s">
        <v>49</v>
      </c>
      <c r="J231" s="1">
        <v>3</v>
      </c>
      <c r="K231" s="1" t="s">
        <v>136</v>
      </c>
      <c r="L231" s="1" t="str" cm="1">
        <f t="array" ref="L231">_xlfn.REGEXEXTRACT(B231,"(?&lt;=//)[^/]+")</f>
        <v>www.xozilla.xxx</v>
      </c>
      <c r="M231" s="1" t="s">
        <v>457</v>
      </c>
      <c r="N231" s="1" t="s">
        <v>1740</v>
      </c>
      <c r="O231" s="1" t="str" cm="1">
        <f t="array" ref="O231">IF(N231&lt;&gt;"NtApp",_xlfn.REGEXEXTRACT(N231,"\d+(?=p)"),"NtApp")</f>
        <v>NtApp</v>
      </c>
      <c r="P231" s="1" t="s">
        <v>1740</v>
      </c>
      <c r="Q231" s="1" t="b">
        <f t="shared" si="7"/>
        <v>0</v>
      </c>
      <c r="R231" s="1" t="s">
        <v>1780</v>
      </c>
      <c r="S231" s="1" t="s">
        <v>1781</v>
      </c>
      <c r="T231" s="1">
        <v>0</v>
      </c>
    </row>
    <row r="232" spans="1:20" ht="45" x14ac:dyDescent="0.25">
      <c r="A232" s="1" t="str">
        <f t="shared" si="6"/>
        <v>Done</v>
      </c>
      <c r="B232" s="1" t="s">
        <v>0</v>
      </c>
      <c r="C232" s="1">
        <v>42</v>
      </c>
      <c r="D232" s="1" t="s">
        <v>835</v>
      </c>
      <c r="E232" s="1" t="s">
        <v>59</v>
      </c>
      <c r="F232" s="1" t="s">
        <v>126</v>
      </c>
      <c r="G232" s="1" t="s">
        <v>2141</v>
      </c>
      <c r="H232" s="1" t="s">
        <v>2005</v>
      </c>
      <c r="I232" s="1" t="s">
        <v>49</v>
      </c>
      <c r="J232" s="1">
        <v>3</v>
      </c>
      <c r="K232" s="1" t="s">
        <v>143</v>
      </c>
      <c r="L232" s="1" t="str" cm="1">
        <f t="array" ref="L232">_xlfn.REGEXEXTRACT(B232,"(?&lt;=//)[^/]+")</f>
        <v>www.pornhub.com</v>
      </c>
      <c r="M232" s="1" t="s">
        <v>457</v>
      </c>
      <c r="N232" s="1" t="s">
        <v>1740</v>
      </c>
      <c r="O232" s="1" t="str" cm="1">
        <f t="array" ref="O232">IF(N232&lt;&gt;"NtApp",_xlfn.REGEXEXTRACT(N232,"\d+(?=p)"),"NtApp")</f>
        <v>NtApp</v>
      </c>
      <c r="P232" s="1" t="s">
        <v>1740</v>
      </c>
      <c r="Q232" s="1" t="b">
        <f t="shared" si="7"/>
        <v>0</v>
      </c>
      <c r="R232" s="1" t="s">
        <v>1429</v>
      </c>
      <c r="S232" s="1" t="s">
        <v>1429</v>
      </c>
      <c r="T232" s="1">
        <v>0</v>
      </c>
    </row>
    <row r="233" spans="1:20" ht="30" x14ac:dyDescent="0.25">
      <c r="A233" s="1" t="str">
        <f t="shared" si="6"/>
        <v>Done</v>
      </c>
      <c r="B233" s="1" t="s">
        <v>103</v>
      </c>
      <c r="C233" s="1">
        <v>44</v>
      </c>
      <c r="D233" s="1" t="s">
        <v>154</v>
      </c>
      <c r="E233" s="1" t="s">
        <v>129</v>
      </c>
      <c r="F233" s="1" t="s">
        <v>1779</v>
      </c>
      <c r="G233" s="1" t="s">
        <v>413</v>
      </c>
      <c r="H233" s="1" t="s">
        <v>2033</v>
      </c>
      <c r="I233" s="1" t="s">
        <v>49</v>
      </c>
      <c r="J233" s="1">
        <v>3</v>
      </c>
      <c r="K233" s="1" t="s">
        <v>155</v>
      </c>
      <c r="L233" s="1" t="str" cm="1">
        <f t="array" ref="L233">_xlfn.REGEXEXTRACT(B233,"(?&lt;=//)[^/]+")</f>
        <v>spankbang.com</v>
      </c>
      <c r="M233" s="1" t="s">
        <v>457</v>
      </c>
      <c r="N233" s="1" t="s">
        <v>1740</v>
      </c>
      <c r="O233" s="1" t="str" cm="1">
        <f t="array" ref="O233">IF(N233&lt;&gt;"NtApp",_xlfn.REGEXEXTRACT(N233,"\d+(?=p)"),"NtApp")</f>
        <v>NtApp</v>
      </c>
      <c r="P233" s="1" t="s">
        <v>1740</v>
      </c>
      <c r="Q233" s="1" t="b">
        <f t="shared" si="7"/>
        <v>0</v>
      </c>
      <c r="R233" s="1" t="s">
        <v>1428</v>
      </c>
      <c r="S233" s="1" t="s">
        <v>1427</v>
      </c>
      <c r="T233" s="1">
        <v>0</v>
      </c>
    </row>
    <row r="234" spans="1:20" ht="30" x14ac:dyDescent="0.25">
      <c r="A234" s="1" t="str">
        <f t="shared" si="6"/>
        <v>Done</v>
      </c>
      <c r="B234" s="1" t="s">
        <v>1778</v>
      </c>
      <c r="C234" s="1">
        <v>44</v>
      </c>
      <c r="D234" s="1" t="s">
        <v>568</v>
      </c>
      <c r="E234" s="1" t="s">
        <v>69</v>
      </c>
      <c r="F234" s="1" t="s">
        <v>53</v>
      </c>
      <c r="G234" s="1" t="s">
        <v>2322</v>
      </c>
      <c r="H234" s="1" t="s">
        <v>428</v>
      </c>
      <c r="I234" s="1" t="s">
        <v>76</v>
      </c>
      <c r="J234" s="1">
        <v>3</v>
      </c>
      <c r="K234" s="1" t="s">
        <v>81</v>
      </c>
      <c r="L234" s="1" t="str" cm="1">
        <f t="array" ref="L234">_xlfn.REGEXEXTRACT(B234,"(?&lt;=//)[^/]+")</f>
        <v>bdsmstreak.com</v>
      </c>
      <c r="M234" s="1" t="s">
        <v>457</v>
      </c>
      <c r="N234" s="1" t="s">
        <v>1740</v>
      </c>
      <c r="O234" s="1" t="str" cm="1">
        <f t="array" ref="O234">IF(N234&lt;&gt;"NtApp",_xlfn.REGEXEXTRACT(N234,"\d+(?=p)"),"NtApp")</f>
        <v>NtApp</v>
      </c>
      <c r="P234" s="1" t="s">
        <v>1740</v>
      </c>
      <c r="Q234" s="1" t="b">
        <f t="shared" si="7"/>
        <v>0</v>
      </c>
      <c r="R234" s="1" t="s">
        <v>1439</v>
      </c>
      <c r="S234" s="1" t="s">
        <v>1438</v>
      </c>
      <c r="T234" s="1">
        <v>0</v>
      </c>
    </row>
    <row r="235" spans="1:20" ht="30" x14ac:dyDescent="0.25">
      <c r="A235" s="1" t="str">
        <f t="shared" si="6"/>
        <v>Done</v>
      </c>
      <c r="B235" s="1" t="s">
        <v>17</v>
      </c>
      <c r="C235" s="1">
        <v>46</v>
      </c>
      <c r="D235" s="1" t="s">
        <v>569</v>
      </c>
      <c r="E235" s="1" t="s">
        <v>160</v>
      </c>
      <c r="F235" s="1" t="s">
        <v>53</v>
      </c>
      <c r="G235" s="1" t="s">
        <v>2227</v>
      </c>
      <c r="H235" s="1" t="s">
        <v>1989</v>
      </c>
      <c r="I235" s="1" t="s">
        <v>49</v>
      </c>
      <c r="J235" s="1">
        <v>3</v>
      </c>
      <c r="K235" s="1" t="s">
        <v>161</v>
      </c>
      <c r="L235" s="1" t="str" cm="1">
        <f t="array" ref="L235">_xlfn.REGEXEXTRACT(B235,"(?&lt;=//)[^/]+")</f>
        <v>heavyfetish.com</v>
      </c>
      <c r="M235" s="1" t="s">
        <v>457</v>
      </c>
      <c r="N235" s="1" t="s">
        <v>1740</v>
      </c>
      <c r="O235" s="1" t="str" cm="1">
        <f t="array" ref="O235">IF(N235&lt;&gt;"NtApp",_xlfn.REGEXEXTRACT(N235,"\d+(?=p)"),"NtApp")</f>
        <v>NtApp</v>
      </c>
      <c r="P235" s="1" t="s">
        <v>1740</v>
      </c>
      <c r="Q235" s="1" t="b">
        <f t="shared" si="7"/>
        <v>0</v>
      </c>
      <c r="R235" s="1" t="s">
        <v>1589</v>
      </c>
      <c r="S235" s="1" t="s">
        <v>1588</v>
      </c>
      <c r="T235" s="1">
        <v>0</v>
      </c>
    </row>
    <row r="236" spans="1:20" ht="30" x14ac:dyDescent="0.25">
      <c r="A236" s="1" t="str">
        <f t="shared" si="6"/>
        <v>Done</v>
      </c>
      <c r="B236" s="1" t="s">
        <v>233</v>
      </c>
      <c r="C236" s="1">
        <v>46</v>
      </c>
      <c r="D236" s="1" t="s">
        <v>835</v>
      </c>
      <c r="E236" s="1" t="s">
        <v>288</v>
      </c>
      <c r="F236" s="1" t="s">
        <v>128</v>
      </c>
      <c r="G236" s="1" t="s">
        <v>824</v>
      </c>
      <c r="H236" s="1" t="s">
        <v>320</v>
      </c>
      <c r="I236" s="1" t="s">
        <v>49</v>
      </c>
      <c r="J236" s="1">
        <v>3</v>
      </c>
      <c r="K236" s="1" t="s">
        <v>164</v>
      </c>
      <c r="L236" s="1" t="str" cm="1">
        <f t="array" ref="L236">_xlfn.REGEXEXTRACT(B236,"(?&lt;=//)[^/]+")</f>
        <v>spankbang.com</v>
      </c>
      <c r="M236" s="1" t="s">
        <v>457</v>
      </c>
      <c r="N236" s="1" t="s">
        <v>1740</v>
      </c>
      <c r="O236" s="1" t="str" cm="1">
        <f t="array" ref="O236">IF(N236&lt;&gt;"NtApp",_xlfn.REGEXEXTRACT(N236,"\d+(?=p)"),"NtApp")</f>
        <v>NtApp</v>
      </c>
      <c r="P236" s="1" t="s">
        <v>1740</v>
      </c>
      <c r="Q236" s="1" t="b">
        <f t="shared" si="7"/>
        <v>1</v>
      </c>
      <c r="R236" s="1" t="s">
        <v>1740</v>
      </c>
      <c r="S236" s="1" t="s">
        <v>1410</v>
      </c>
      <c r="T236" s="1">
        <v>0</v>
      </c>
    </row>
    <row r="237" spans="1:20" ht="30" x14ac:dyDescent="0.25">
      <c r="A237" s="1" t="str">
        <f t="shared" si="6"/>
        <v>Done</v>
      </c>
      <c r="B237" s="1" t="s">
        <v>65</v>
      </c>
      <c r="C237" s="1">
        <v>49</v>
      </c>
      <c r="D237" s="1" t="s">
        <v>576</v>
      </c>
      <c r="E237" s="1" t="s">
        <v>66</v>
      </c>
      <c r="F237" s="1" t="s">
        <v>63</v>
      </c>
      <c r="G237" s="1" t="s">
        <v>406</v>
      </c>
      <c r="H237" s="1" t="s">
        <v>315</v>
      </c>
      <c r="I237" s="1" t="s">
        <v>49</v>
      </c>
      <c r="J237" s="1">
        <v>3</v>
      </c>
      <c r="K237" s="1" t="s">
        <v>404</v>
      </c>
      <c r="L237" s="1" t="str" cm="1">
        <f t="array" ref="L237">_xlfn.REGEXEXTRACT(B237,"(?&lt;=//)[^/]+")</f>
        <v>www.pornhits.com</v>
      </c>
      <c r="M237" s="1" t="s">
        <v>457</v>
      </c>
      <c r="N237" s="1" t="s">
        <v>1740</v>
      </c>
      <c r="O237" s="1" t="str" cm="1">
        <f t="array" ref="O237">IF(N237&lt;&gt;"NtApp",_xlfn.REGEXEXTRACT(N237,"\d+(?=p)"),"NtApp")</f>
        <v>NtApp</v>
      </c>
      <c r="P237" s="1" t="s">
        <v>1740</v>
      </c>
      <c r="Q237" s="1" t="b">
        <f t="shared" si="7"/>
        <v>0</v>
      </c>
      <c r="R237" s="1" t="s">
        <v>1490</v>
      </c>
      <c r="S237" s="1" t="s">
        <v>1490</v>
      </c>
      <c r="T237" s="1">
        <v>0</v>
      </c>
    </row>
    <row r="238" spans="1:20" ht="30" x14ac:dyDescent="0.25">
      <c r="A238" s="1" t="str">
        <f t="shared" si="6"/>
        <v>Done</v>
      </c>
      <c r="B238" s="1" t="s">
        <v>173</v>
      </c>
      <c r="C238" s="1">
        <v>53</v>
      </c>
      <c r="D238" s="1" t="s">
        <v>576</v>
      </c>
      <c r="E238" s="1" t="s">
        <v>174</v>
      </c>
      <c r="F238" s="1" t="s">
        <v>63</v>
      </c>
      <c r="G238" s="1" t="s">
        <v>2089</v>
      </c>
      <c r="H238" s="1" t="s">
        <v>424</v>
      </c>
      <c r="I238" s="1" t="s">
        <v>49</v>
      </c>
      <c r="J238" s="1">
        <v>3</v>
      </c>
      <c r="K238" s="1" t="s">
        <v>2090</v>
      </c>
      <c r="L238" s="1" t="str" cm="1">
        <f t="array" ref="L238">_xlfn.REGEXEXTRACT(B238,"(?&lt;=//)[^/]+")</f>
        <v>pervtube.net</v>
      </c>
      <c r="M238" s="1" t="s">
        <v>457</v>
      </c>
      <c r="N238" s="1" t="s">
        <v>1740</v>
      </c>
      <c r="O238" s="1" t="str" cm="1">
        <f t="array" ref="O238">IF(N238&lt;&gt;"NtApp",_xlfn.REGEXEXTRACT(N238,"\d+(?=p)"),"NtApp")</f>
        <v>NtApp</v>
      </c>
      <c r="P238" s="1" t="s">
        <v>1740</v>
      </c>
      <c r="Q238" s="1" t="b">
        <f t="shared" si="7"/>
        <v>0</v>
      </c>
      <c r="R238" s="1" t="s">
        <v>1486</v>
      </c>
      <c r="S238" s="1" t="s">
        <v>1485</v>
      </c>
      <c r="T238" s="1">
        <v>0</v>
      </c>
    </row>
    <row r="239" spans="1:20" ht="30" x14ac:dyDescent="0.25">
      <c r="A239" s="1" t="str">
        <f t="shared" si="6"/>
        <v>Done</v>
      </c>
      <c r="B239" s="1" t="s">
        <v>493</v>
      </c>
      <c r="C239" s="1">
        <v>55</v>
      </c>
      <c r="D239" s="1" t="s">
        <v>576</v>
      </c>
      <c r="E239" s="1" t="s">
        <v>489</v>
      </c>
      <c r="F239" s="1" t="s">
        <v>63</v>
      </c>
      <c r="G239" s="1" t="s">
        <v>2224</v>
      </c>
      <c r="H239" s="1" t="s">
        <v>431</v>
      </c>
      <c r="I239" s="1" t="s">
        <v>49</v>
      </c>
      <c r="J239" s="1">
        <v>3</v>
      </c>
      <c r="K239" s="1" t="s">
        <v>552</v>
      </c>
      <c r="L239" s="1" t="str" cm="1">
        <f t="array" ref="L239">_xlfn.REGEXEXTRACT(B239,"(?&lt;=//)[^/]+")</f>
        <v>bdsmmansion.com</v>
      </c>
      <c r="M239" s="1" t="s">
        <v>457</v>
      </c>
      <c r="N239" s="1" t="s">
        <v>1740</v>
      </c>
      <c r="O239" s="1" t="str" cm="1">
        <f t="array" ref="O239">IF(N239&lt;&gt;"NtApp",_xlfn.REGEXEXTRACT(N239,"\d+(?=p)"),"NtApp")</f>
        <v>NtApp</v>
      </c>
      <c r="P239" s="1" t="s">
        <v>1740</v>
      </c>
      <c r="Q239" s="1" t="b">
        <f t="shared" si="7"/>
        <v>0</v>
      </c>
      <c r="R239" s="1" t="s">
        <v>1845</v>
      </c>
      <c r="S239" s="1" t="s">
        <v>1845</v>
      </c>
      <c r="T239" s="1">
        <v>0</v>
      </c>
    </row>
    <row r="240" spans="1:20" ht="30" x14ac:dyDescent="0.25">
      <c r="A240" s="1" t="str">
        <f t="shared" si="6"/>
        <v>Done</v>
      </c>
      <c r="B240" s="1" t="s">
        <v>1484</v>
      </c>
      <c r="C240" s="1">
        <v>56</v>
      </c>
      <c r="D240" s="1" t="s">
        <v>576</v>
      </c>
      <c r="E240" s="1" t="s">
        <v>333</v>
      </c>
      <c r="F240" s="1" t="s">
        <v>63</v>
      </c>
      <c r="G240" s="1" t="s">
        <v>368</v>
      </c>
      <c r="H240" s="1" t="s">
        <v>342</v>
      </c>
      <c r="I240" s="1" t="s">
        <v>49</v>
      </c>
      <c r="J240" s="1">
        <v>3</v>
      </c>
      <c r="K240" s="1" t="s">
        <v>361</v>
      </c>
      <c r="L240" s="1" t="str" cm="1">
        <f t="array" ref="L240">_xlfn.REGEXEXTRACT(B240,"(?&lt;=//)[^/]+")</f>
        <v>hcbdsm.com</v>
      </c>
      <c r="M240" s="1" t="s">
        <v>457</v>
      </c>
      <c r="N240" s="1" t="s">
        <v>1740</v>
      </c>
      <c r="O240" s="1" t="str" cm="1">
        <f t="array" ref="O240">IF(N240&lt;&gt;"NtApp",_xlfn.REGEXEXTRACT(N240,"\d+(?=p)"),"NtApp")</f>
        <v>NtApp</v>
      </c>
      <c r="P240" s="1" t="s">
        <v>1740</v>
      </c>
      <c r="Q240" s="1" t="b">
        <f t="shared" si="7"/>
        <v>0</v>
      </c>
      <c r="R240" s="1" t="s">
        <v>1483</v>
      </c>
      <c r="S240" s="1" t="s">
        <v>1483</v>
      </c>
      <c r="T240" s="1">
        <v>0</v>
      </c>
    </row>
    <row r="241" spans="1:20" ht="45" x14ac:dyDescent="0.25">
      <c r="A241" s="1" t="str">
        <f t="shared" si="6"/>
        <v>Done</v>
      </c>
      <c r="B241" s="1" t="s">
        <v>34</v>
      </c>
      <c r="C241" s="1">
        <v>77</v>
      </c>
      <c r="D241" s="1" t="s">
        <v>1289</v>
      </c>
      <c r="E241" s="1" t="s">
        <v>198</v>
      </c>
      <c r="F241" s="1" t="s">
        <v>53</v>
      </c>
      <c r="G241" s="1" t="s">
        <v>2311</v>
      </c>
      <c r="H241" s="1" t="s">
        <v>2057</v>
      </c>
      <c r="I241" s="1" t="s">
        <v>49</v>
      </c>
      <c r="J241" s="1">
        <v>3</v>
      </c>
      <c r="K241" s="1" t="s">
        <v>411</v>
      </c>
      <c r="L241" s="1" t="str" cm="1">
        <f t="array" ref="L241">_xlfn.REGEXEXTRACT(B241,"(?&lt;=//)[^/]+")</f>
        <v>bdsmstreak.com</v>
      </c>
      <c r="M241" s="1" t="s">
        <v>457</v>
      </c>
      <c r="N241" s="1" t="s">
        <v>1740</v>
      </c>
      <c r="O241" s="1" t="str" cm="1">
        <f t="array" ref="O241">IF(N241&lt;&gt;"NtApp",_xlfn.REGEXEXTRACT(N241,"\d+(?=p)"),"NtApp")</f>
        <v>NtApp</v>
      </c>
      <c r="P241" s="1" t="s">
        <v>1740</v>
      </c>
      <c r="Q241" s="1" t="b">
        <f t="shared" si="7"/>
        <v>0</v>
      </c>
      <c r="R241" s="1" t="s">
        <v>1452</v>
      </c>
      <c r="S241" s="1" t="s">
        <v>1453</v>
      </c>
      <c r="T241" s="1">
        <v>0</v>
      </c>
    </row>
    <row r="242" spans="1:20" x14ac:dyDescent="0.25">
      <c r="A242" s="1" t="str">
        <f t="shared" si="6"/>
        <v>Done</v>
      </c>
      <c r="B242" s="1" t="s">
        <v>1077</v>
      </c>
      <c r="C242" s="1">
        <v>80</v>
      </c>
      <c r="D242" s="1" t="s">
        <v>577</v>
      </c>
      <c r="E242" s="1" t="s">
        <v>131</v>
      </c>
      <c r="F242" s="1" t="s">
        <v>53</v>
      </c>
      <c r="G242" s="1" t="s">
        <v>369</v>
      </c>
      <c r="H242" s="1" t="s">
        <v>61</v>
      </c>
      <c r="I242" s="1" t="s">
        <v>49</v>
      </c>
      <c r="J242" s="1">
        <v>3</v>
      </c>
      <c r="K242" s="1" t="s">
        <v>344</v>
      </c>
      <c r="L242" s="1" t="str" cm="1">
        <f t="array" ref="L242">_xlfn.REGEXEXTRACT(B242,"(?&lt;=//)[^/]+")</f>
        <v>bdsmstreak.com</v>
      </c>
      <c r="M242" s="1" t="s">
        <v>457</v>
      </c>
      <c r="N242" s="1" t="s">
        <v>1740</v>
      </c>
      <c r="O242" s="1" t="str" cm="1">
        <f t="array" ref="O242">IF(N242&lt;&gt;"NtApp",_xlfn.REGEXEXTRACT(N242,"\d+(?=p)"),"NtApp")</f>
        <v>NtApp</v>
      </c>
      <c r="P242" s="1" t="s">
        <v>1740</v>
      </c>
      <c r="Q242" s="1" t="b">
        <f t="shared" si="7"/>
        <v>0</v>
      </c>
      <c r="R242" s="1" t="s">
        <v>1476</v>
      </c>
      <c r="S242" s="1" t="s">
        <v>1476</v>
      </c>
      <c r="T242" s="1">
        <v>0</v>
      </c>
    </row>
    <row r="243" spans="1:20" ht="30" x14ac:dyDescent="0.25">
      <c r="A243" s="1" t="str">
        <f t="shared" si="6"/>
        <v>Done</v>
      </c>
      <c r="B243" s="1" t="s">
        <v>1947</v>
      </c>
      <c r="C243" s="1">
        <v>102</v>
      </c>
      <c r="D243" s="1" t="s">
        <v>1591</v>
      </c>
      <c r="E243" s="1" t="s">
        <v>152</v>
      </c>
      <c r="F243" s="1" t="s">
        <v>53</v>
      </c>
      <c r="G243" s="1" t="s">
        <v>2262</v>
      </c>
      <c r="H243" s="1" t="s">
        <v>1948</v>
      </c>
      <c r="I243" s="1" t="s">
        <v>49</v>
      </c>
      <c r="J243" s="1">
        <v>3</v>
      </c>
      <c r="K243" s="1" t="s">
        <v>439</v>
      </c>
      <c r="L243" s="1" t="str" cm="1">
        <f t="array" ref="L243">_xlfn.REGEXEXTRACT(B243,"(?&lt;=//)[^/]+")</f>
        <v>bdsmvilla.com</v>
      </c>
      <c r="M243" s="1" t="s">
        <v>457</v>
      </c>
      <c r="N243" s="1" t="s">
        <v>1740</v>
      </c>
      <c r="O243" s="1" t="str" cm="1">
        <f t="array" ref="O243">IF(N243&lt;&gt;"NtApp",_xlfn.REGEXEXTRACT(N243,"\d+(?=p)"),"NtApp")</f>
        <v>NtApp</v>
      </c>
      <c r="P243" s="1" t="s">
        <v>1740</v>
      </c>
      <c r="Q243" s="1" t="b">
        <f t="shared" si="7"/>
        <v>0</v>
      </c>
      <c r="R243" s="1" t="s">
        <v>1590</v>
      </c>
      <c r="S243" s="1" t="s">
        <v>1590</v>
      </c>
      <c r="T243" s="1">
        <v>0</v>
      </c>
    </row>
    <row r="244" spans="1:20" ht="45" x14ac:dyDescent="0.25">
      <c r="A244" s="1" t="str">
        <f t="shared" si="6"/>
        <v>Done</v>
      </c>
      <c r="B244" s="1" t="s">
        <v>217</v>
      </c>
      <c r="C244" s="1">
        <v>106</v>
      </c>
      <c r="D244" s="1" t="s">
        <v>835</v>
      </c>
      <c r="E244" s="1" t="s">
        <v>837</v>
      </c>
      <c r="F244" s="1" t="s">
        <v>63</v>
      </c>
      <c r="G244" s="1" t="s">
        <v>2325</v>
      </c>
      <c r="H244" s="1" t="s">
        <v>425</v>
      </c>
      <c r="I244" s="1" t="s">
        <v>206</v>
      </c>
      <c r="J244" s="1">
        <v>3</v>
      </c>
      <c r="K244" s="1" t="s">
        <v>400</v>
      </c>
      <c r="L244" s="1" t="str" cm="1">
        <f t="array" ref="L244">_xlfn.REGEXEXTRACT(B244,"(?&lt;=//)[^/]+")</f>
        <v>www.eporner.com</v>
      </c>
      <c r="M244" s="1" t="s">
        <v>457</v>
      </c>
      <c r="N244" s="1" t="s">
        <v>1740</v>
      </c>
      <c r="O244" s="1" t="str" cm="1">
        <f t="array" ref="O244">IF(N244&lt;&gt;"NtApp",_xlfn.REGEXEXTRACT(N244,"\d+(?=p)"),"NtApp")</f>
        <v>NtApp</v>
      </c>
      <c r="P244" s="1" t="s">
        <v>1740</v>
      </c>
      <c r="Q244" s="1" t="b">
        <f t="shared" si="7"/>
        <v>0</v>
      </c>
      <c r="R244" s="1" t="s">
        <v>1497</v>
      </c>
      <c r="S244" s="1" t="s">
        <v>1496</v>
      </c>
      <c r="T244" s="1">
        <v>0</v>
      </c>
    </row>
    <row r="245" spans="1:20" ht="30" x14ac:dyDescent="0.25">
      <c r="A245" s="1" t="str">
        <f t="shared" si="6"/>
        <v>Done</v>
      </c>
      <c r="B245" s="1" t="s">
        <v>84</v>
      </c>
      <c r="C245" s="1">
        <v>14</v>
      </c>
      <c r="D245" s="1" t="s">
        <v>85</v>
      </c>
      <c r="E245" s="1" t="s">
        <v>1489</v>
      </c>
      <c r="F245" s="1" t="s">
        <v>63</v>
      </c>
      <c r="G245" s="1" t="s">
        <v>398</v>
      </c>
      <c r="H245" s="1" t="s">
        <v>61</v>
      </c>
      <c r="I245" s="1" t="s">
        <v>49</v>
      </c>
      <c r="J245" s="1">
        <v>2</v>
      </c>
      <c r="K245" s="1" t="s">
        <v>231</v>
      </c>
      <c r="L245" s="1" t="str" cm="1">
        <f t="array" ref="L245">_xlfn.REGEXEXTRACT(B245,"(?&lt;=//)[^/]+")</f>
        <v>heavyfetish.com</v>
      </c>
      <c r="M245" s="1" t="s">
        <v>457</v>
      </c>
      <c r="N245" s="1" t="s">
        <v>1740</v>
      </c>
      <c r="O245" s="1" t="str" cm="1">
        <f t="array" ref="O245">IF(N245&lt;&gt;"NtApp",_xlfn.REGEXEXTRACT(N245,"\d+(?=p)"),"NtApp")</f>
        <v>NtApp</v>
      </c>
      <c r="P245" s="1" t="s">
        <v>1740</v>
      </c>
      <c r="Q245" s="1" t="b">
        <f t="shared" si="7"/>
        <v>0</v>
      </c>
      <c r="R245" s="1" t="s">
        <v>1488</v>
      </c>
      <c r="S245" s="1" t="s">
        <v>1487</v>
      </c>
      <c r="T245" s="1">
        <v>0</v>
      </c>
    </row>
    <row r="246" spans="1:20" ht="30" x14ac:dyDescent="0.25">
      <c r="A246" s="1" t="str">
        <f t="shared" si="6"/>
        <v>Done</v>
      </c>
      <c r="B246" s="1" t="s">
        <v>823</v>
      </c>
      <c r="C246" s="1">
        <v>18</v>
      </c>
      <c r="D246" s="1" t="s">
        <v>835</v>
      </c>
      <c r="E246" s="1" t="s">
        <v>295</v>
      </c>
      <c r="F246" s="1" t="s">
        <v>52</v>
      </c>
      <c r="G246" s="1" t="s">
        <v>2265</v>
      </c>
      <c r="H246" s="1" t="s">
        <v>322</v>
      </c>
      <c r="I246" s="1" t="s">
        <v>49</v>
      </c>
      <c r="J246" s="1">
        <v>2</v>
      </c>
      <c r="K246" s="1" t="s">
        <v>232</v>
      </c>
      <c r="L246" s="1" t="str" cm="1">
        <f t="array" ref="L246">_xlfn.REGEXEXTRACT(B246,"(?&lt;=//)[^/]+")</f>
        <v>hcbdsm.com</v>
      </c>
      <c r="M246" s="1" t="s">
        <v>457</v>
      </c>
      <c r="N246" s="1" t="s">
        <v>1740</v>
      </c>
      <c r="O246" s="1" t="str" cm="1">
        <f t="array" ref="O246">IF(N246&lt;&gt;"NtApp",_xlfn.REGEXEXTRACT(N246,"\d+(?=p)"),"NtApp")</f>
        <v>NtApp</v>
      </c>
      <c r="P246" s="1" t="s">
        <v>1740</v>
      </c>
      <c r="Q246" s="1" t="b">
        <f t="shared" si="7"/>
        <v>1</v>
      </c>
      <c r="R246" s="1" t="s">
        <v>1740</v>
      </c>
      <c r="S246" s="1" t="s">
        <v>1440</v>
      </c>
      <c r="T246" s="1">
        <v>0</v>
      </c>
    </row>
    <row r="247" spans="1:20" ht="30" x14ac:dyDescent="0.25">
      <c r="A247" s="1" t="str">
        <f t="shared" si="6"/>
        <v>Done</v>
      </c>
      <c r="B247" s="1" t="s">
        <v>1044</v>
      </c>
      <c r="C247" s="1">
        <v>23</v>
      </c>
      <c r="D247" s="1" t="s">
        <v>577</v>
      </c>
      <c r="E247" s="1" t="s">
        <v>1045</v>
      </c>
      <c r="F247" s="1" t="s">
        <v>53</v>
      </c>
      <c r="G247" s="1" t="s">
        <v>2134</v>
      </c>
      <c r="H247" s="1" t="s">
        <v>776</v>
      </c>
      <c r="I247" s="1" t="s">
        <v>49</v>
      </c>
      <c r="J247" s="1">
        <v>2</v>
      </c>
      <c r="K247" s="1" t="s">
        <v>2133</v>
      </c>
      <c r="L247" s="1" t="str" cm="1">
        <f t="array" ref="L247">_xlfn.REGEXEXTRACT(B247,"(?&lt;=//)[^/]+")</f>
        <v>hcbdsm.com</v>
      </c>
      <c r="M247" s="1" t="s">
        <v>457</v>
      </c>
      <c r="N247" s="1" t="s">
        <v>1740</v>
      </c>
      <c r="O247" s="1" t="str" cm="1">
        <f t="array" ref="O247">IF(N247&lt;&gt;"NtApp",_xlfn.REGEXEXTRACT(N247,"\d+(?=p)"),"NtApp")</f>
        <v>NtApp</v>
      </c>
      <c r="P247" s="1" t="s">
        <v>1740</v>
      </c>
      <c r="Q247" s="1" t="b">
        <f t="shared" si="7"/>
        <v>0</v>
      </c>
      <c r="R247" s="1" t="s">
        <v>1528</v>
      </c>
      <c r="S247" s="1" t="s">
        <v>1528</v>
      </c>
      <c r="T247" s="1">
        <v>4</v>
      </c>
    </row>
    <row r="248" spans="1:20" ht="30" x14ac:dyDescent="0.25">
      <c r="A248" s="1" t="str">
        <f t="shared" si="6"/>
        <v>Done</v>
      </c>
      <c r="B248" s="1" t="s">
        <v>104</v>
      </c>
      <c r="C248" s="1">
        <v>32</v>
      </c>
      <c r="D248" s="1" t="s">
        <v>577</v>
      </c>
      <c r="E248" s="1" t="s">
        <v>131</v>
      </c>
      <c r="F248" s="1" t="s">
        <v>53</v>
      </c>
      <c r="G248" s="1" t="s">
        <v>372</v>
      </c>
      <c r="H248" s="1" t="s">
        <v>776</v>
      </c>
      <c r="I248" s="1" t="s">
        <v>49</v>
      </c>
      <c r="J248" s="1">
        <v>2</v>
      </c>
      <c r="K248" s="1" t="s">
        <v>132</v>
      </c>
      <c r="L248" s="1" t="str" cm="1">
        <f t="array" ref="L248">_xlfn.REGEXEXTRACT(B248,"(?&lt;=//)[^/]+")</f>
        <v>heavyfetish.com</v>
      </c>
      <c r="M248" s="1" t="s">
        <v>457</v>
      </c>
      <c r="N248" s="1" t="s">
        <v>1740</v>
      </c>
      <c r="O248" s="1" t="str" cm="1">
        <f t="array" ref="O248">IF(N248&lt;&gt;"NtApp",_xlfn.REGEXEXTRACT(N248,"\d+(?=p)"),"NtApp")</f>
        <v>NtApp</v>
      </c>
      <c r="P248" s="1" t="s">
        <v>1740</v>
      </c>
      <c r="Q248" s="1" t="b">
        <f t="shared" si="7"/>
        <v>0</v>
      </c>
      <c r="R248" s="1" t="s">
        <v>1480</v>
      </c>
      <c r="S248" s="1" t="s">
        <v>1481</v>
      </c>
      <c r="T248" s="1">
        <v>0</v>
      </c>
    </row>
    <row r="249" spans="1:20" ht="30" x14ac:dyDescent="0.25">
      <c r="A249" s="1" t="str">
        <f t="shared" si="6"/>
        <v>Done</v>
      </c>
      <c r="B249" s="1" t="s">
        <v>31</v>
      </c>
      <c r="C249" s="1">
        <v>45</v>
      </c>
      <c r="D249" s="1" t="s">
        <v>56</v>
      </c>
      <c r="E249" s="1" t="s">
        <v>67</v>
      </c>
      <c r="F249" s="1" t="s">
        <v>54</v>
      </c>
      <c r="G249" s="1" t="s">
        <v>2250</v>
      </c>
      <c r="H249" s="1" t="s">
        <v>642</v>
      </c>
      <c r="I249" s="1" t="s">
        <v>49</v>
      </c>
      <c r="J249" s="1">
        <v>2</v>
      </c>
      <c r="K249" s="1" t="s">
        <v>157</v>
      </c>
      <c r="L249" s="1" t="str" cm="1">
        <f t="array" ref="L249">_xlfn.REGEXEXTRACT(B249,"(?&lt;=//)[^/]+")</f>
        <v>heavyfetish.com</v>
      </c>
      <c r="M249" s="1" t="s">
        <v>457</v>
      </c>
      <c r="N249" s="1" t="s">
        <v>1740</v>
      </c>
      <c r="O249" s="1" t="str" cm="1">
        <f t="array" ref="O249">IF(N249&lt;&gt;"NtApp",_xlfn.REGEXEXTRACT(N249,"\d+(?=p)"),"NtApp")</f>
        <v>NtApp</v>
      </c>
      <c r="P249" s="1" t="s">
        <v>1740</v>
      </c>
      <c r="Q249" s="1" t="b">
        <f t="shared" si="7"/>
        <v>0</v>
      </c>
      <c r="R249" s="1" t="s">
        <v>1505</v>
      </c>
      <c r="S249" s="1" t="s">
        <v>1848</v>
      </c>
      <c r="T249" s="1">
        <v>0</v>
      </c>
    </row>
    <row r="250" spans="1:20" ht="30" x14ac:dyDescent="0.25">
      <c r="A250" s="1" t="str">
        <f t="shared" si="6"/>
        <v>Done</v>
      </c>
      <c r="B250" s="1" t="s">
        <v>93</v>
      </c>
      <c r="C250" s="1">
        <v>47</v>
      </c>
      <c r="D250" s="1" t="s">
        <v>575</v>
      </c>
      <c r="E250" s="1" t="s">
        <v>293</v>
      </c>
      <c r="F250" s="1" t="s">
        <v>54</v>
      </c>
      <c r="G250" s="1" t="s">
        <v>2085</v>
      </c>
      <c r="H250" s="1" t="s">
        <v>1976</v>
      </c>
      <c r="I250" s="1" t="s">
        <v>49</v>
      </c>
      <c r="J250" s="1">
        <v>2</v>
      </c>
      <c r="K250" s="1" t="s">
        <v>165</v>
      </c>
      <c r="L250" s="1" t="str" cm="1">
        <f t="array" ref="L250">_xlfn.REGEXEXTRACT(B250,"(?&lt;=//)[^/]+")</f>
        <v>m.hqporner.com</v>
      </c>
      <c r="M250" s="1" t="s">
        <v>457</v>
      </c>
      <c r="N250" s="1" t="s">
        <v>1740</v>
      </c>
      <c r="O250" s="1" t="str" cm="1">
        <f t="array" ref="O250">IF(N250&lt;&gt;"NtApp",_xlfn.REGEXEXTRACT(N250,"\d+(?=p)"),"NtApp")</f>
        <v>NtApp</v>
      </c>
      <c r="P250" s="1" t="s">
        <v>1740</v>
      </c>
      <c r="Q250" s="1" t="b">
        <f t="shared" si="7"/>
        <v>1</v>
      </c>
      <c r="R250" s="1" t="s">
        <v>1544</v>
      </c>
      <c r="S250" s="1" t="s">
        <v>1849</v>
      </c>
      <c r="T250" s="1">
        <v>0</v>
      </c>
    </row>
    <row r="251" spans="1:20" ht="30" x14ac:dyDescent="0.25">
      <c r="A251" s="1" t="str">
        <f t="shared" si="6"/>
        <v>Done</v>
      </c>
      <c r="B251" s="1" t="s">
        <v>39</v>
      </c>
      <c r="C251" s="1">
        <v>57</v>
      </c>
      <c r="D251" s="1" t="s">
        <v>570</v>
      </c>
      <c r="E251" s="1" t="s">
        <v>183</v>
      </c>
      <c r="F251" s="1" t="s">
        <v>53</v>
      </c>
      <c r="G251" s="1" t="s">
        <v>375</v>
      </c>
      <c r="H251" s="1" t="s">
        <v>2015</v>
      </c>
      <c r="I251" s="1" t="s">
        <v>49</v>
      </c>
      <c r="J251" s="1">
        <v>2</v>
      </c>
      <c r="K251" s="1" t="s">
        <v>184</v>
      </c>
      <c r="L251" s="1" t="str" cm="1">
        <f t="array" ref="L251">_xlfn.REGEXEXTRACT(B251,"(?&lt;=//)[^/]+")</f>
        <v>heavyfetish.com</v>
      </c>
      <c r="M251" s="1" t="s">
        <v>457</v>
      </c>
      <c r="N251" s="1" t="s">
        <v>1740</v>
      </c>
      <c r="O251" s="1" t="str" cm="1">
        <f t="array" ref="O251">IF(N251&lt;&gt;"NtApp",_xlfn.REGEXEXTRACT(N251,"\d+(?=p)"),"NtApp")</f>
        <v>NtApp</v>
      </c>
      <c r="P251" s="1" t="s">
        <v>1740</v>
      </c>
      <c r="Q251" s="1" t="b">
        <f t="shared" si="7"/>
        <v>0</v>
      </c>
      <c r="R251" s="1" t="s">
        <v>1850</v>
      </c>
      <c r="S251" s="1" t="s">
        <v>1592</v>
      </c>
      <c r="T251" s="1">
        <v>0</v>
      </c>
    </row>
    <row r="252" spans="1:20" ht="30" x14ac:dyDescent="0.25">
      <c r="A252" s="1" t="str">
        <f t="shared" si="6"/>
        <v>Done</v>
      </c>
      <c r="B252" s="1" t="s">
        <v>834</v>
      </c>
      <c r="C252" s="1">
        <v>57</v>
      </c>
      <c r="D252" s="1" t="s">
        <v>575</v>
      </c>
      <c r="E252" s="1" t="s">
        <v>292</v>
      </c>
      <c r="F252" s="1" t="s">
        <v>54</v>
      </c>
      <c r="G252" s="1" t="s">
        <v>806</v>
      </c>
      <c r="H252" s="1" t="s">
        <v>2020</v>
      </c>
      <c r="I252" s="1" t="s">
        <v>49</v>
      </c>
      <c r="J252" s="1">
        <v>2</v>
      </c>
      <c r="K252" s="1" t="s">
        <v>185</v>
      </c>
      <c r="L252" s="1" t="str" cm="1">
        <f t="array" ref="L252">_xlfn.REGEXEXTRACT(B252,"(?&lt;=//)[^/]+")</f>
        <v>heavyfetish.com</v>
      </c>
      <c r="M252" s="1" t="s">
        <v>457</v>
      </c>
      <c r="N252" s="1" t="s">
        <v>1740</v>
      </c>
      <c r="O252" s="1" t="str" cm="1">
        <f t="array" ref="O252">IF(N252&lt;&gt;"NtApp",_xlfn.REGEXEXTRACT(N252,"\d+(?=p)"),"NtApp")</f>
        <v>NtApp</v>
      </c>
      <c r="P252" s="1" t="s">
        <v>1740</v>
      </c>
      <c r="Q252" s="1" t="b">
        <f t="shared" si="7"/>
        <v>1</v>
      </c>
      <c r="R252" s="1" t="s">
        <v>1547</v>
      </c>
      <c r="S252" s="1" t="s">
        <v>1546</v>
      </c>
      <c r="T252" s="1">
        <v>0</v>
      </c>
    </row>
    <row r="253" spans="1:20" ht="45" x14ac:dyDescent="0.25">
      <c r="A253" s="1" t="str">
        <f t="shared" si="6"/>
        <v>Done</v>
      </c>
      <c r="B253" s="1" t="s">
        <v>99</v>
      </c>
      <c r="C253" s="1">
        <v>64</v>
      </c>
      <c r="D253" s="1" t="s">
        <v>835</v>
      </c>
      <c r="E253" s="1" t="s">
        <v>190</v>
      </c>
      <c r="F253" s="1" t="s">
        <v>1779</v>
      </c>
      <c r="G253" s="1" t="s">
        <v>445</v>
      </c>
      <c r="H253" s="1" t="s">
        <v>1961</v>
      </c>
      <c r="I253" s="1" t="s">
        <v>49</v>
      </c>
      <c r="J253" s="1">
        <v>2</v>
      </c>
      <c r="K253" s="1" t="s">
        <v>189</v>
      </c>
      <c r="L253" s="1" t="str" cm="1">
        <f t="array" ref="L253">_xlfn.REGEXEXTRACT(B253,"(?&lt;=//)[^/]+")</f>
        <v>www.peekvids.com</v>
      </c>
      <c r="M253" s="1" t="s">
        <v>457</v>
      </c>
      <c r="N253" s="1" t="s">
        <v>1740</v>
      </c>
      <c r="O253" s="1" t="str" cm="1">
        <f t="array" ref="O253">IF(N253&lt;&gt;"NtApp",_xlfn.REGEXEXTRACT(N253,"\d+(?=p)"),"NtApp")</f>
        <v>NtApp</v>
      </c>
      <c r="P253" s="1" t="s">
        <v>1740</v>
      </c>
      <c r="Q253" s="1" t="b">
        <f t="shared" si="7"/>
        <v>0</v>
      </c>
      <c r="R253" s="1" t="s">
        <v>1740</v>
      </c>
      <c r="S253" s="1" t="s">
        <v>1435</v>
      </c>
      <c r="T253" s="1">
        <v>0</v>
      </c>
    </row>
    <row r="254" spans="1:20" ht="30" x14ac:dyDescent="0.25">
      <c r="A254" s="1" t="str">
        <f t="shared" si="6"/>
        <v>Done</v>
      </c>
      <c r="B254" s="1" t="s">
        <v>2</v>
      </c>
      <c r="C254" s="1">
        <v>11</v>
      </c>
      <c r="D254" s="1" t="s">
        <v>835</v>
      </c>
      <c r="E254" s="1" t="s">
        <v>59</v>
      </c>
      <c r="F254" s="1" t="s">
        <v>1779</v>
      </c>
      <c r="G254" s="1" t="s">
        <v>2142</v>
      </c>
      <c r="H254" s="1" t="s">
        <v>2027</v>
      </c>
      <c r="I254" s="1" t="s">
        <v>49</v>
      </c>
      <c r="J254" s="1">
        <v>1</v>
      </c>
      <c r="K254" s="1" t="s">
        <v>409</v>
      </c>
      <c r="L254" s="1" t="str" cm="1">
        <f t="array" ref="L254">_xlfn.REGEXEXTRACT(B254,"(?&lt;=//)[^/]+")</f>
        <v>www.pornhub.com</v>
      </c>
      <c r="M254" s="1" t="s">
        <v>457</v>
      </c>
      <c r="N254" s="1" t="s">
        <v>1740</v>
      </c>
      <c r="O254" s="1" t="str" cm="1">
        <f t="array" ref="O254">IF(N254&lt;&gt;"NtApp",_xlfn.REGEXEXTRACT(N254,"\d+(?=p)"),"NtApp")</f>
        <v>NtApp</v>
      </c>
      <c r="P254" s="1" t="s">
        <v>1740</v>
      </c>
      <c r="Q254" s="1" t="b">
        <f t="shared" si="7"/>
        <v>0</v>
      </c>
      <c r="R254" s="1" t="s">
        <v>1436</v>
      </c>
      <c r="S254" s="1" t="s">
        <v>1436</v>
      </c>
      <c r="T254" s="1">
        <v>0</v>
      </c>
    </row>
    <row r="255" spans="1:20" ht="45" x14ac:dyDescent="0.25">
      <c r="A255" s="1" t="str">
        <f t="shared" si="6"/>
        <v>Done</v>
      </c>
      <c r="B255" s="1" t="s">
        <v>964</v>
      </c>
      <c r="C255" s="1">
        <v>20</v>
      </c>
      <c r="D255" s="1" t="s">
        <v>573</v>
      </c>
      <c r="E255" s="1" t="s">
        <v>965</v>
      </c>
      <c r="F255" s="1" t="s">
        <v>53</v>
      </c>
      <c r="G255" s="1" t="s">
        <v>2229</v>
      </c>
      <c r="H255" s="1" t="s">
        <v>2129</v>
      </c>
      <c r="I255" s="1" t="s">
        <v>49</v>
      </c>
      <c r="J255" s="1">
        <v>1</v>
      </c>
      <c r="K255" s="1" t="s">
        <v>2130</v>
      </c>
      <c r="L255" s="1" t="str" cm="1">
        <f t="array" ref="L255">_xlfn.REGEXEXTRACT(B255,"(?&lt;=//)[^/]+")</f>
        <v>hcbdsm.com</v>
      </c>
      <c r="M255" s="1" t="s">
        <v>457</v>
      </c>
      <c r="N255" s="1" t="s">
        <v>1740</v>
      </c>
      <c r="O255" s="1" t="str" cm="1">
        <f t="array" ref="O255">IF(N255&lt;&gt;"NtApp",_xlfn.REGEXEXTRACT(N255,"\d+(?=p)"),"NtApp")</f>
        <v>NtApp</v>
      </c>
      <c r="P255" s="1" t="s">
        <v>1740</v>
      </c>
      <c r="Q255" s="1" t="b">
        <f t="shared" si="7"/>
        <v>0</v>
      </c>
      <c r="R255" s="1" t="s">
        <v>1649</v>
      </c>
      <c r="S255" s="1" t="s">
        <v>1648</v>
      </c>
      <c r="T255" s="1">
        <v>0</v>
      </c>
    </row>
    <row r="256" spans="1:20" ht="30" x14ac:dyDescent="0.25">
      <c r="A256" s="1" t="str">
        <f t="shared" si="6"/>
        <v>Done</v>
      </c>
      <c r="B256" s="1" t="s">
        <v>809</v>
      </c>
      <c r="C256" s="1">
        <v>21</v>
      </c>
      <c r="D256" s="1" t="s">
        <v>599</v>
      </c>
      <c r="E256" s="1" t="s">
        <v>600</v>
      </c>
      <c r="F256" s="1" t="s">
        <v>54</v>
      </c>
      <c r="G256" s="1" t="s">
        <v>2131</v>
      </c>
      <c r="H256" s="1" t="s">
        <v>55</v>
      </c>
      <c r="I256" s="1" t="s">
        <v>49</v>
      </c>
      <c r="J256" s="1">
        <v>1</v>
      </c>
      <c r="K256" s="1" t="s">
        <v>2132</v>
      </c>
      <c r="L256" s="1" t="str" cm="1">
        <f t="array" ref="L256">_xlfn.REGEXEXTRACT(B256,"(?&lt;=//)[^/]+")</f>
        <v>hcbdsm.com</v>
      </c>
      <c r="M256" s="1" t="s">
        <v>457</v>
      </c>
      <c r="N256" s="1" t="s">
        <v>1740</v>
      </c>
      <c r="O256" s="1" t="str" cm="1">
        <f t="array" ref="O256">IF(N256&lt;&gt;"NtApp",_xlfn.REGEXEXTRACT(N256,"\d+(?=p)"),"NtApp")</f>
        <v>NtApp</v>
      </c>
      <c r="P256" s="1" t="s">
        <v>1740</v>
      </c>
      <c r="Q256" s="1" t="b">
        <f t="shared" si="7"/>
        <v>1</v>
      </c>
      <c r="R256" s="1" t="s">
        <v>1535</v>
      </c>
      <c r="S256" s="1" t="s">
        <v>1535</v>
      </c>
      <c r="T256" s="1">
        <v>0</v>
      </c>
    </row>
    <row r="257" spans="1:20" ht="30" x14ac:dyDescent="0.25">
      <c r="A257" s="1" t="str">
        <f t="shared" si="6"/>
        <v>Done</v>
      </c>
      <c r="B257" s="1" t="s">
        <v>70</v>
      </c>
      <c r="C257" s="1">
        <v>34</v>
      </c>
      <c r="D257" s="1" t="s">
        <v>73</v>
      </c>
      <c r="E257" s="1" t="s">
        <v>291</v>
      </c>
      <c r="F257" s="1" t="s">
        <v>54</v>
      </c>
      <c r="G257" s="1" t="s">
        <v>2278</v>
      </c>
      <c r="H257" s="1" t="s">
        <v>74</v>
      </c>
      <c r="I257" s="1" t="s">
        <v>49</v>
      </c>
      <c r="J257" s="1">
        <v>1</v>
      </c>
      <c r="K257" s="1" t="s">
        <v>75</v>
      </c>
      <c r="L257" s="1" t="str" cm="1">
        <f t="array" ref="L257">_xlfn.REGEXEXTRACT(B257,"(?&lt;=//)[^/]+")</f>
        <v>heavyfetish.com</v>
      </c>
      <c r="M257" s="1" t="s">
        <v>457</v>
      </c>
      <c r="N257" s="1" t="s">
        <v>1740</v>
      </c>
      <c r="O257" s="1" t="str" cm="1">
        <f t="array" ref="O257">IF(N257&lt;&gt;"NtApp",_xlfn.REGEXEXTRACT(N257,"\d+(?=p)"),"NtApp")</f>
        <v>NtApp</v>
      </c>
      <c r="P257" s="1" t="s">
        <v>1740</v>
      </c>
      <c r="Q257" s="1" t="b">
        <f t="shared" si="7"/>
        <v>1</v>
      </c>
      <c r="R257" s="1" t="s">
        <v>1583</v>
      </c>
      <c r="S257" s="1" t="s">
        <v>1582</v>
      </c>
      <c r="T257" s="1">
        <v>0</v>
      </c>
    </row>
    <row r="258" spans="1:20" ht="45" x14ac:dyDescent="0.25">
      <c r="A258" s="1" t="str">
        <f t="shared" ref="A258:A321" si="8">IF(ISBLANK(I258)=TRUE,"Pending","Done")</f>
        <v>Done</v>
      </c>
      <c r="B258" s="1" t="s">
        <v>87</v>
      </c>
      <c r="C258" s="1">
        <v>48</v>
      </c>
      <c r="D258" s="1" t="s">
        <v>73</v>
      </c>
      <c r="E258" s="1" t="s">
        <v>1504</v>
      </c>
      <c r="F258" s="1" t="s">
        <v>54</v>
      </c>
      <c r="G258" s="1" t="s">
        <v>2277</v>
      </c>
      <c r="H258" s="1" t="s">
        <v>2055</v>
      </c>
      <c r="I258" s="1" t="s">
        <v>49</v>
      </c>
      <c r="J258" s="1">
        <v>1</v>
      </c>
      <c r="K258" s="1" t="s">
        <v>166</v>
      </c>
      <c r="L258" s="1" t="str" cm="1">
        <f t="array" ref="L258">_xlfn.REGEXEXTRACT(B258,"(?&lt;=//)[^/]+")</f>
        <v>heavyfetish.com</v>
      </c>
      <c r="M258" s="1" t="s">
        <v>457</v>
      </c>
      <c r="N258" s="1" t="s">
        <v>1740</v>
      </c>
      <c r="O258" s="1" t="str" cm="1">
        <f t="array" ref="O258">IF(N258&lt;&gt;"NtApp",_xlfn.REGEXEXTRACT(N258,"\d+(?=p)"),"NtApp")</f>
        <v>NtApp</v>
      </c>
      <c r="P258" s="1" t="s">
        <v>1740</v>
      </c>
      <c r="Q258" s="1" t="b">
        <f t="shared" ref="Q258:Q269" si="9">ISNUMBER(SEARCH(",",E258))</f>
        <v>1</v>
      </c>
      <c r="R258" s="1" t="s">
        <v>1503</v>
      </c>
      <c r="S258" s="1" t="s">
        <v>1851</v>
      </c>
      <c r="T258" s="1">
        <v>0</v>
      </c>
    </row>
    <row r="259" spans="1:20" ht="45" x14ac:dyDescent="0.25">
      <c r="A259" s="1" t="str">
        <f t="shared" si="8"/>
        <v>Pending</v>
      </c>
      <c r="B259" s="1" t="s">
        <v>612</v>
      </c>
      <c r="C259" s="1">
        <v>11</v>
      </c>
      <c r="D259" s="1" t="s">
        <v>573</v>
      </c>
      <c r="E259" s="1" t="s">
        <v>131</v>
      </c>
      <c r="F259" s="1" t="s">
        <v>54</v>
      </c>
      <c r="G259" s="1"/>
      <c r="H259" s="1"/>
      <c r="I259" s="1"/>
      <c r="J259" s="1"/>
      <c r="K259" s="1" t="s">
        <v>613</v>
      </c>
      <c r="L259" s="1" t="str" cm="1">
        <f t="array" ref="L259">_xlfn.REGEXEXTRACT(B259,"(?&lt;=//)[^/]+")</f>
        <v>www.kink.com</v>
      </c>
      <c r="M259" s="1" t="s">
        <v>457</v>
      </c>
      <c r="N259" s="1" t="s">
        <v>1740</v>
      </c>
      <c r="O259" s="1" t="str" cm="1">
        <f t="array" ref="O259">IF(N259&lt;&gt;"NtApp",_xlfn.REGEXEXTRACT(N259,"\d+(?=p)"),"NtApp")</f>
        <v>NtApp</v>
      </c>
      <c r="P259" s="1" t="s">
        <v>1740</v>
      </c>
      <c r="Q259" s="1" t="b">
        <f t="shared" si="9"/>
        <v>0</v>
      </c>
      <c r="R259" s="1" t="s">
        <v>1145</v>
      </c>
      <c r="S259" s="1" t="s">
        <v>1145</v>
      </c>
      <c r="T259" s="1">
        <v>0</v>
      </c>
    </row>
    <row r="260" spans="1:20" ht="30" x14ac:dyDescent="0.25">
      <c r="A260" s="1" t="str">
        <f t="shared" si="8"/>
        <v>Pending</v>
      </c>
      <c r="B260" s="1" t="s">
        <v>774</v>
      </c>
      <c r="C260" s="1">
        <v>14</v>
      </c>
      <c r="D260" s="1" t="s">
        <v>573</v>
      </c>
      <c r="E260" s="1" t="s">
        <v>775</v>
      </c>
      <c r="F260" s="1" t="s">
        <v>53</v>
      </c>
      <c r="G260" s="1"/>
      <c r="H260" s="1"/>
      <c r="I260" s="1"/>
      <c r="J260" s="1"/>
      <c r="K260" s="1" t="s">
        <v>776</v>
      </c>
      <c r="L260" s="1" t="str" cm="1">
        <f t="array" ref="L260">_xlfn.REGEXEXTRACT(B260,"(?&lt;=//)[^/]+")</f>
        <v>www.kink.com</v>
      </c>
      <c r="M260" s="1" t="s">
        <v>457</v>
      </c>
      <c r="N260" s="1" t="s">
        <v>1740</v>
      </c>
      <c r="O260" s="1" t="str" cm="1">
        <f t="array" ref="O260">IF(N260&lt;&gt;"NtApp",_xlfn.REGEXEXTRACT(N260,"\d+(?=p)"),"NtApp")</f>
        <v>NtApp</v>
      </c>
      <c r="P260" s="1" t="s">
        <v>1740</v>
      </c>
      <c r="Q260" s="1" t="b">
        <f t="shared" si="9"/>
        <v>0</v>
      </c>
      <c r="R260" s="1" t="s">
        <v>1896</v>
      </c>
      <c r="S260" s="1" t="s">
        <v>1896</v>
      </c>
      <c r="T260" s="1">
        <v>0</v>
      </c>
    </row>
    <row r="261" spans="1:20" ht="45" x14ac:dyDescent="0.25">
      <c r="A261" s="1" t="str">
        <f t="shared" si="8"/>
        <v>Pending</v>
      </c>
      <c r="B261" s="1" t="s">
        <v>616</v>
      </c>
      <c r="C261" s="1">
        <v>20</v>
      </c>
      <c r="D261" s="1" t="s">
        <v>573</v>
      </c>
      <c r="E261" s="1" t="s">
        <v>617</v>
      </c>
      <c r="F261" s="1" t="s">
        <v>53</v>
      </c>
      <c r="G261" s="1"/>
      <c r="H261" s="1"/>
      <c r="I261" s="1"/>
      <c r="J261" s="1"/>
      <c r="K261" s="1" t="s">
        <v>582</v>
      </c>
      <c r="L261" s="1" t="str" cm="1">
        <f t="array" ref="L261">_xlfn.REGEXEXTRACT(B261,"(?&lt;=//)[^/]+")</f>
        <v>www.kink.com</v>
      </c>
      <c r="M261" s="1" t="s">
        <v>457</v>
      </c>
      <c r="N261" s="1" t="s">
        <v>1740</v>
      </c>
      <c r="O261" s="1" t="str" cm="1">
        <f t="array" ref="O261">IF(N261&lt;&gt;"NtApp",_xlfn.REGEXEXTRACT(N261,"\d+(?=p)"),"NtApp")</f>
        <v>NtApp</v>
      </c>
      <c r="P261" s="1" t="s">
        <v>1740</v>
      </c>
      <c r="Q261" s="1" t="b">
        <f t="shared" si="9"/>
        <v>0</v>
      </c>
      <c r="R261" s="1" t="s">
        <v>1157</v>
      </c>
      <c r="S261" s="1" t="s">
        <v>1157</v>
      </c>
      <c r="T261" s="1">
        <v>0</v>
      </c>
    </row>
    <row r="262" spans="1:20" ht="45" x14ac:dyDescent="0.25">
      <c r="A262" s="1" t="str">
        <f t="shared" si="8"/>
        <v>Pending</v>
      </c>
      <c r="B262" s="1" t="s">
        <v>1009</v>
      </c>
      <c r="C262" s="1">
        <v>20</v>
      </c>
      <c r="D262" s="1" t="s">
        <v>573</v>
      </c>
      <c r="E262" s="1" t="s">
        <v>604</v>
      </c>
      <c r="F262" s="1" t="s">
        <v>53</v>
      </c>
      <c r="G262" s="1"/>
      <c r="H262" s="1"/>
      <c r="I262" s="1"/>
      <c r="J262" s="1"/>
      <c r="K262" s="1"/>
      <c r="L262" s="1" t="str" cm="1">
        <f t="array" ref="L262">_xlfn.REGEXEXTRACT(B262,"(?&lt;=//)[^/]+")</f>
        <v>www.kink.com</v>
      </c>
      <c r="M262" s="1" t="s">
        <v>457</v>
      </c>
      <c r="N262" s="1" t="s">
        <v>1740</v>
      </c>
      <c r="O262" s="1" t="str" cm="1">
        <f t="array" ref="O262">IF(N262&lt;&gt;"NtApp",_xlfn.REGEXEXTRACT(N262,"\d+(?=p)"),"NtApp")</f>
        <v>NtApp</v>
      </c>
      <c r="P262" s="1" t="s">
        <v>1740</v>
      </c>
      <c r="Q262" s="1" t="b">
        <f t="shared" si="9"/>
        <v>0</v>
      </c>
      <c r="R262" s="1" t="s">
        <v>1899</v>
      </c>
      <c r="S262" s="1" t="s">
        <v>1899</v>
      </c>
      <c r="T262" s="1">
        <v>0</v>
      </c>
    </row>
    <row r="263" spans="1:20" x14ac:dyDescent="0.25">
      <c r="A263" s="1" t="str">
        <f t="shared" si="8"/>
        <v>Pending</v>
      </c>
      <c r="B263" s="1" t="s">
        <v>934</v>
      </c>
      <c r="C263" s="1">
        <v>26</v>
      </c>
      <c r="D263" s="1" t="s">
        <v>571</v>
      </c>
      <c r="E263" s="1" t="s">
        <v>935</v>
      </c>
      <c r="F263" s="1" t="s">
        <v>54</v>
      </c>
      <c r="G263" s="1"/>
      <c r="H263" s="1"/>
      <c r="I263" s="1"/>
      <c r="J263" s="1"/>
      <c r="K263" s="1"/>
      <c r="L263" s="1" t="str" cm="1">
        <f t="array" ref="L263">_xlfn.REGEXEXTRACT(B263,"(?&lt;=//)[^/]+")</f>
        <v>www.kink.com</v>
      </c>
      <c r="M263" s="1" t="s">
        <v>457</v>
      </c>
      <c r="N263" s="1" t="s">
        <v>1740</v>
      </c>
      <c r="O263" s="1" t="str" cm="1">
        <f t="array" ref="O263">IF(N263&lt;&gt;"NtApp",_xlfn.REGEXEXTRACT(N263,"\d+(?=p)"),"NtApp")</f>
        <v>NtApp</v>
      </c>
      <c r="P263" s="1" t="s">
        <v>1740</v>
      </c>
      <c r="Q263" s="1" t="b">
        <f t="shared" si="9"/>
        <v>1</v>
      </c>
      <c r="R263" s="1" t="s">
        <v>1158</v>
      </c>
      <c r="S263" s="1" t="s">
        <v>1158</v>
      </c>
      <c r="T263" s="1">
        <v>0</v>
      </c>
    </row>
    <row r="264" spans="1:20" ht="30" x14ac:dyDescent="0.25">
      <c r="A264" s="1" t="str">
        <f t="shared" si="8"/>
        <v>Pending</v>
      </c>
      <c r="B264" s="1" t="s">
        <v>677</v>
      </c>
      <c r="C264" s="1">
        <v>34</v>
      </c>
      <c r="D264" s="1" t="s">
        <v>835</v>
      </c>
      <c r="E264" s="1" t="s">
        <v>707</v>
      </c>
      <c r="F264" s="1" t="s">
        <v>53</v>
      </c>
      <c r="G264" s="1"/>
      <c r="H264" s="1"/>
      <c r="I264" s="1"/>
      <c r="J264" s="1"/>
      <c r="K264" s="1" t="s">
        <v>733</v>
      </c>
      <c r="L264" s="1" t="str" cm="1">
        <f t="array" ref="L264">_xlfn.REGEXEXTRACT(B264,"(?&lt;=//)[^/]+")</f>
        <v>www.eporner.com</v>
      </c>
      <c r="M264" s="1" t="s">
        <v>457</v>
      </c>
      <c r="N264" s="1" t="s">
        <v>1740</v>
      </c>
      <c r="O264" s="1" t="str" cm="1">
        <f t="array" ref="O264">IF(N264&lt;&gt;"NtApp",_xlfn.REGEXEXTRACT(N264,"\d+(?=p)"),"NtApp")</f>
        <v>NtApp</v>
      </c>
      <c r="P264" s="1" t="s">
        <v>1740</v>
      </c>
      <c r="Q264" s="1" t="b">
        <f t="shared" si="9"/>
        <v>0</v>
      </c>
      <c r="R264" s="1" t="s">
        <v>1740</v>
      </c>
      <c r="S264" s="1" t="s">
        <v>1731</v>
      </c>
      <c r="T264" s="1">
        <v>0</v>
      </c>
    </row>
    <row r="265" spans="1:20" x14ac:dyDescent="0.25">
      <c r="A265" s="1" t="str">
        <f t="shared" si="8"/>
        <v>Pending</v>
      </c>
      <c r="B265" s="1" t="s">
        <v>977</v>
      </c>
      <c r="C265" s="1">
        <v>36</v>
      </c>
      <c r="D265" s="1" t="s">
        <v>577</v>
      </c>
      <c r="E265" s="1" t="s">
        <v>586</v>
      </c>
      <c r="F265" s="1" t="s">
        <v>53</v>
      </c>
      <c r="G265" s="1" t="s">
        <v>2143</v>
      </c>
      <c r="H265" s="1"/>
      <c r="I265" s="1"/>
      <c r="J265" s="1"/>
      <c r="K265" s="1"/>
      <c r="L265" s="1" t="str" cm="1">
        <f t="array" ref="L265">_xlfn.REGEXEXTRACT(B265,"(?&lt;=//)[^/]+")</f>
        <v>bdsmstreak.com</v>
      </c>
      <c r="M265" s="1" t="s">
        <v>457</v>
      </c>
      <c r="N265" s="1" t="s">
        <v>1740</v>
      </c>
      <c r="O265" s="1" t="str" cm="1">
        <f t="array" ref="O265">IF(N265&lt;&gt;"NtApp",_xlfn.REGEXEXTRACT(N265,"\d+(?=p)"),"NtApp")</f>
        <v>NtApp</v>
      </c>
      <c r="P265" s="1" t="s">
        <v>1740</v>
      </c>
      <c r="Q265" s="1" t="b">
        <f t="shared" si="9"/>
        <v>0</v>
      </c>
      <c r="R265" s="1" t="s">
        <v>1530</v>
      </c>
      <c r="S265" s="1" t="s">
        <v>1530</v>
      </c>
      <c r="T265" s="1">
        <v>2</v>
      </c>
    </row>
    <row r="266" spans="1:20" ht="30" x14ac:dyDescent="0.25">
      <c r="A266" s="1" t="str">
        <f t="shared" si="8"/>
        <v>Pending</v>
      </c>
      <c r="B266" s="1" t="s">
        <v>820</v>
      </c>
      <c r="C266" s="1">
        <v>36</v>
      </c>
      <c r="D266" s="1" t="s">
        <v>577</v>
      </c>
      <c r="E266" s="1" t="s">
        <v>743</v>
      </c>
      <c r="F266" s="1" t="s">
        <v>53</v>
      </c>
      <c r="G266" s="1" t="s">
        <v>793</v>
      </c>
      <c r="H266" s="1"/>
      <c r="I266" s="1"/>
      <c r="J266" s="1"/>
      <c r="K266" s="1" t="s">
        <v>744</v>
      </c>
      <c r="L266" s="1" t="str" cm="1">
        <f t="array" ref="L266">_xlfn.REGEXEXTRACT(B266,"(?&lt;=//)[^/]+")</f>
        <v>bdsmstreak.com</v>
      </c>
      <c r="M266" s="1" t="s">
        <v>457</v>
      </c>
      <c r="N266" s="1" t="s">
        <v>1740</v>
      </c>
      <c r="O266" s="1" t="str" cm="1">
        <f t="array" ref="O266">IF(N266&lt;&gt;"NtApp",_xlfn.REGEXEXTRACT(N266,"\d+(?=p)"),"NtApp")</f>
        <v>NtApp</v>
      </c>
      <c r="P266" s="1" t="s">
        <v>1740</v>
      </c>
      <c r="Q266" s="1" t="b">
        <f t="shared" si="9"/>
        <v>1</v>
      </c>
      <c r="R266" s="1" t="s">
        <v>1529</v>
      </c>
      <c r="S266" s="1" t="s">
        <v>1529</v>
      </c>
      <c r="T266" s="1">
        <v>0</v>
      </c>
    </row>
    <row r="267" spans="1:20" ht="45" x14ac:dyDescent="0.25">
      <c r="A267" s="1" t="str">
        <f t="shared" si="8"/>
        <v>Pending</v>
      </c>
      <c r="B267" s="1" t="s">
        <v>791</v>
      </c>
      <c r="C267" s="1">
        <v>37</v>
      </c>
      <c r="D267" s="1" t="s">
        <v>577</v>
      </c>
      <c r="E267" s="1" t="s">
        <v>790</v>
      </c>
      <c r="F267" s="1" t="s">
        <v>54</v>
      </c>
      <c r="G267" s="1" t="s">
        <v>795</v>
      </c>
      <c r="H267" s="1"/>
      <c r="I267" s="1"/>
      <c r="J267" s="1"/>
      <c r="K267" s="1" t="s">
        <v>2362</v>
      </c>
      <c r="L267" s="1" t="str" cm="1">
        <f t="array" ref="L267">_xlfn.REGEXEXTRACT(B267,"(?&lt;=//)[^/]+")</f>
        <v>bdsmstreak.com</v>
      </c>
      <c r="M267" s="1" t="s">
        <v>457</v>
      </c>
      <c r="N267" s="1" t="s">
        <v>1740</v>
      </c>
      <c r="O267" s="1" t="str" cm="1">
        <f t="array" ref="O267">IF(N267&lt;&gt;"NtApp",_xlfn.REGEXEXTRACT(N267,"\d+(?=p)"),"NtApp")</f>
        <v>NtApp</v>
      </c>
      <c r="P267" s="1" t="s">
        <v>1740</v>
      </c>
      <c r="Q267" s="1" t="b">
        <f t="shared" si="9"/>
        <v>1</v>
      </c>
      <c r="R267" s="1" t="s">
        <v>1863</v>
      </c>
      <c r="S267" s="1" t="s">
        <v>1863</v>
      </c>
      <c r="T267" s="1">
        <v>0</v>
      </c>
    </row>
    <row r="268" spans="1:20" ht="30" x14ac:dyDescent="0.25">
      <c r="A268" s="1" t="str">
        <f t="shared" si="8"/>
        <v>Pending</v>
      </c>
      <c r="B268" s="1" t="s">
        <v>594</v>
      </c>
      <c r="C268" s="1">
        <v>37</v>
      </c>
      <c r="D268" s="1" t="s">
        <v>577</v>
      </c>
      <c r="E268" s="1" t="s">
        <v>593</v>
      </c>
      <c r="F268" s="1" t="s">
        <v>53</v>
      </c>
      <c r="G268" s="1"/>
      <c r="H268" s="1"/>
      <c r="I268" s="1"/>
      <c r="J268" s="1"/>
      <c r="K268" s="1" t="s">
        <v>597</v>
      </c>
      <c r="L268" s="1" t="str" cm="1">
        <f t="array" ref="L268">_xlfn.REGEXEXTRACT(B268,"(?&lt;=//)[^/]+")</f>
        <v>bdsmstreak.com</v>
      </c>
      <c r="M268" s="1" t="s">
        <v>457</v>
      </c>
      <c r="N268" s="1" t="s">
        <v>1740</v>
      </c>
      <c r="O268" s="1" t="str" cm="1">
        <f t="array" ref="O268">IF(N268&lt;&gt;"NtApp",_xlfn.REGEXEXTRACT(N268,"\d+(?=p)"),"NtApp")</f>
        <v>NtApp</v>
      </c>
      <c r="P268" s="1" t="s">
        <v>1740</v>
      </c>
      <c r="Q268" s="1" t="b">
        <f t="shared" si="9"/>
        <v>0</v>
      </c>
      <c r="R268" s="1" t="s">
        <v>1526</v>
      </c>
      <c r="S268" s="1" t="s">
        <v>1526</v>
      </c>
      <c r="T268" s="1">
        <v>0</v>
      </c>
    </row>
    <row r="269" spans="1:20" x14ac:dyDescent="0.25">
      <c r="A269" s="1" t="str">
        <f t="shared" si="8"/>
        <v>Pending</v>
      </c>
      <c r="B269" s="1" t="s">
        <v>952</v>
      </c>
      <c r="C269" s="1">
        <v>37</v>
      </c>
      <c r="D269" s="1" t="s">
        <v>569</v>
      </c>
      <c r="E269" s="1" t="s">
        <v>953</v>
      </c>
      <c r="F269" s="1" t="s">
        <v>53</v>
      </c>
      <c r="G269" s="1"/>
      <c r="H269" s="1"/>
      <c r="I269" s="1"/>
      <c r="J269" s="1"/>
      <c r="K269" s="1"/>
      <c r="L269" s="1" t="str" cm="1">
        <f t="array" ref="L269">_xlfn.REGEXEXTRACT(B269,"(?&lt;=//)[^/]+")</f>
        <v>bdsmstreak.com</v>
      </c>
      <c r="M269" s="1" t="s">
        <v>457</v>
      </c>
      <c r="N269" s="1" t="s">
        <v>1740</v>
      </c>
      <c r="O269" s="1" t="str" cm="1">
        <f t="array" ref="O269">IF(N269&lt;&gt;"NtApp",_xlfn.REGEXEXTRACT(N269,"\d+(?=p)"),"NtApp")</f>
        <v>NtApp</v>
      </c>
      <c r="P269" s="1" t="s">
        <v>1740</v>
      </c>
      <c r="Q269" s="1" t="b">
        <f t="shared" si="9"/>
        <v>0</v>
      </c>
      <c r="R269" s="1" t="s">
        <v>1712</v>
      </c>
      <c r="S269" s="1" t="s">
        <v>1711</v>
      </c>
      <c r="T269" s="1">
        <v>0</v>
      </c>
    </row>
    <row r="270" spans="1:20" x14ac:dyDescent="0.25">
      <c r="A270" s="1" t="str">
        <f t="shared" si="8"/>
        <v>Pending</v>
      </c>
      <c r="B270" s="1" t="s">
        <v>2333</v>
      </c>
      <c r="C270" s="1">
        <v>38</v>
      </c>
      <c r="D270" s="1" t="s">
        <v>567</v>
      </c>
      <c r="E270" s="1" t="s">
        <v>1235</v>
      </c>
      <c r="F270" s="1" t="s">
        <v>63</v>
      </c>
      <c r="G270" s="1"/>
      <c r="H270" s="1"/>
      <c r="I270" s="1"/>
      <c r="J270" s="1"/>
      <c r="K270" s="1"/>
      <c r="L270" s="1" t="str" cm="1">
        <f t="array" ref="L270">_xlfn.REGEXEXTRACT(B270,"(?&lt;=//)[^/]+")</f>
        <v>www.kink.com</v>
      </c>
      <c r="M270" s="1"/>
      <c r="N270" s="1"/>
      <c r="O270" s="1"/>
      <c r="P270" s="1"/>
      <c r="Q270" s="1"/>
      <c r="R270" s="1" t="s">
        <v>2342</v>
      </c>
      <c r="S270" s="1" t="s">
        <v>2342</v>
      </c>
      <c r="T270" s="1">
        <v>7</v>
      </c>
    </row>
    <row r="271" spans="1:20" ht="30" x14ac:dyDescent="0.25">
      <c r="A271" s="1" t="str">
        <f t="shared" si="8"/>
        <v>Pending</v>
      </c>
      <c r="B271" s="1" t="s">
        <v>989</v>
      </c>
      <c r="C271" s="1">
        <v>38</v>
      </c>
      <c r="D271" s="1" t="s">
        <v>577</v>
      </c>
      <c r="E271" s="1" t="s">
        <v>990</v>
      </c>
      <c r="F271" s="1" t="s">
        <v>53</v>
      </c>
      <c r="G271" s="1"/>
      <c r="H271" s="1"/>
      <c r="I271" s="1"/>
      <c r="J271" s="1"/>
      <c r="K271" s="1"/>
      <c r="L271" s="1" t="str" cm="1">
        <f t="array" ref="L271">_xlfn.REGEXEXTRACT(B271,"(?&lt;=//)[^/]+")</f>
        <v>bdsmstreak.com</v>
      </c>
      <c r="M271" s="1" t="s">
        <v>457</v>
      </c>
      <c r="N271" s="1" t="s">
        <v>1740</v>
      </c>
      <c r="O271" s="1" t="str" cm="1">
        <f t="array" ref="O271">IF(N271&lt;&gt;"NtApp",_xlfn.REGEXEXTRACT(N271,"\d+(?=p)"),"NtApp")</f>
        <v>NtApp</v>
      </c>
      <c r="P271" s="1" t="s">
        <v>1740</v>
      </c>
      <c r="Q271" s="1" t="b">
        <f>ISNUMBER(SEARCH(",",E271))</f>
        <v>0</v>
      </c>
      <c r="R271" s="1" t="s">
        <v>1466</v>
      </c>
      <c r="S271" s="1" t="s">
        <v>1466</v>
      </c>
      <c r="T271" s="1">
        <v>0</v>
      </c>
    </row>
    <row r="272" spans="1:20" ht="30" x14ac:dyDescent="0.25">
      <c r="A272" s="1" t="str">
        <f t="shared" si="8"/>
        <v>Pending</v>
      </c>
      <c r="B272" s="1" t="s">
        <v>902</v>
      </c>
      <c r="C272" s="1">
        <v>39</v>
      </c>
      <c r="D272" s="1" t="s">
        <v>573</v>
      </c>
      <c r="E272" s="1" t="s">
        <v>489</v>
      </c>
      <c r="F272" s="1" t="s">
        <v>53</v>
      </c>
      <c r="G272" s="1" t="s">
        <v>889</v>
      </c>
      <c r="H272" s="1"/>
      <c r="I272" s="1"/>
      <c r="J272" s="1"/>
      <c r="K272" s="1" t="s">
        <v>889</v>
      </c>
      <c r="L272" s="1" t="str" cm="1">
        <f t="array" ref="L272">_xlfn.REGEXEXTRACT(B272,"(?&lt;=//)[^/]+")</f>
        <v>hcbdsm.com</v>
      </c>
      <c r="M272" s="1" t="s">
        <v>457</v>
      </c>
      <c r="N272" s="1" t="s">
        <v>1740</v>
      </c>
      <c r="O272" s="1" t="str" cm="1">
        <f t="array" ref="O272">IF(N272&lt;&gt;"NtApp",_xlfn.REGEXEXTRACT(N272,"\d+(?=p)"),"NtApp")</f>
        <v>NtApp</v>
      </c>
      <c r="P272" s="1" t="s">
        <v>1740</v>
      </c>
      <c r="Q272" s="1" t="b">
        <f>ISNUMBER(SEARCH(",",E272))</f>
        <v>0</v>
      </c>
      <c r="R272" s="1" t="s">
        <v>1655</v>
      </c>
      <c r="S272" s="1" t="s">
        <v>1654</v>
      </c>
      <c r="T272" s="1">
        <v>0</v>
      </c>
    </row>
    <row r="273" spans="1:20" x14ac:dyDescent="0.25">
      <c r="A273" s="1" t="str">
        <f t="shared" si="8"/>
        <v>Pending</v>
      </c>
      <c r="B273" s="1" t="s">
        <v>2338</v>
      </c>
      <c r="C273" s="1">
        <v>40</v>
      </c>
      <c r="D273" s="1" t="s">
        <v>567</v>
      </c>
      <c r="E273" s="1" t="s">
        <v>2339</v>
      </c>
      <c r="F273" s="1" t="s">
        <v>63</v>
      </c>
      <c r="G273" s="1"/>
      <c r="H273" s="1"/>
      <c r="I273" s="1"/>
      <c r="J273" s="1"/>
      <c r="K273" s="1"/>
      <c r="L273" s="1" t="str" cm="1">
        <f t="array" ref="L273">_xlfn.REGEXEXTRACT(B273,"(?&lt;=//)[^/]+")</f>
        <v>www.kink.com</v>
      </c>
      <c r="M273" s="1"/>
      <c r="N273" s="1"/>
      <c r="O273" s="1"/>
      <c r="P273" s="1"/>
      <c r="Q273" s="1"/>
      <c r="R273" s="1" t="s">
        <v>2345</v>
      </c>
      <c r="S273" s="1" t="s">
        <v>2345</v>
      </c>
      <c r="T273" s="1">
        <v>7</v>
      </c>
    </row>
    <row r="274" spans="1:20" x14ac:dyDescent="0.25">
      <c r="A274" s="1" t="str">
        <f t="shared" si="8"/>
        <v>Pending</v>
      </c>
      <c r="B274" s="1" t="s">
        <v>2340</v>
      </c>
      <c r="C274" s="1">
        <v>40</v>
      </c>
      <c r="D274" s="1" t="s">
        <v>567</v>
      </c>
      <c r="E274" s="1" t="s">
        <v>2339</v>
      </c>
      <c r="F274" s="1" t="s">
        <v>63</v>
      </c>
      <c r="G274" s="1" t="s">
        <v>2341</v>
      </c>
      <c r="H274" s="1"/>
      <c r="I274" s="1"/>
      <c r="J274" s="1"/>
      <c r="K274" s="1"/>
      <c r="L274" s="1" t="str" cm="1">
        <f t="array" ref="L274">_xlfn.REGEXEXTRACT(B274,"(?&lt;=//)[^/]+")</f>
        <v>www.kink.com</v>
      </c>
      <c r="M274" s="1"/>
      <c r="N274" s="1"/>
      <c r="O274" s="1"/>
      <c r="P274" s="1"/>
      <c r="Q274" s="1"/>
      <c r="R274" s="1" t="s">
        <v>2346</v>
      </c>
      <c r="S274" s="1" t="s">
        <v>2346</v>
      </c>
      <c r="T274" s="1">
        <v>8</v>
      </c>
    </row>
    <row r="275" spans="1:20" x14ac:dyDescent="0.25">
      <c r="A275" s="1" t="str">
        <f t="shared" si="8"/>
        <v>Pending</v>
      </c>
      <c r="B275" s="1" t="s">
        <v>1046</v>
      </c>
      <c r="C275" s="1">
        <v>40</v>
      </c>
      <c r="D275" s="1" t="s">
        <v>573</v>
      </c>
      <c r="E275" s="1" t="s">
        <v>1047</v>
      </c>
      <c r="F275" s="1" t="s">
        <v>53</v>
      </c>
      <c r="G275" s="1" t="s">
        <v>1048</v>
      </c>
      <c r="H275" s="1"/>
      <c r="I275" s="1"/>
      <c r="J275" s="1"/>
      <c r="K275" s="1"/>
      <c r="L275" s="1" t="str" cm="1">
        <f t="array" ref="L275">_xlfn.REGEXEXTRACT(B275,"(?&lt;=//)[^/]+")</f>
        <v>www.kink.com</v>
      </c>
      <c r="M275" s="1" t="s">
        <v>457</v>
      </c>
      <c r="N275" s="1" t="s">
        <v>1740</v>
      </c>
      <c r="O275" s="1" t="str" cm="1">
        <f t="array" ref="O275">IF(N275&lt;&gt;"NtApp",_xlfn.REGEXEXTRACT(N275,"\d+(?=p)"),"NtApp")</f>
        <v>NtApp</v>
      </c>
      <c r="P275" s="1" t="s">
        <v>1740</v>
      </c>
      <c r="Q275" s="1" t="b">
        <f t="shared" ref="Q275:Q281" si="10">ISNUMBER(SEARCH(",",E275))</f>
        <v>0</v>
      </c>
      <c r="R275" s="1" t="s">
        <v>1160</v>
      </c>
      <c r="S275" s="1" t="s">
        <v>1160</v>
      </c>
      <c r="T275" s="1">
        <v>5</v>
      </c>
    </row>
    <row r="276" spans="1:20" ht="30" x14ac:dyDescent="0.25">
      <c r="A276" s="1" t="str">
        <f t="shared" si="8"/>
        <v>Pending</v>
      </c>
      <c r="B276" s="1" t="s">
        <v>1103</v>
      </c>
      <c r="C276" s="1">
        <v>40</v>
      </c>
      <c r="D276" s="1" t="s">
        <v>1290</v>
      </c>
      <c r="E276" s="1" t="s">
        <v>1104</v>
      </c>
      <c r="F276" s="1" t="s">
        <v>53</v>
      </c>
      <c r="G276" s="1" t="s">
        <v>793</v>
      </c>
      <c r="H276" s="1"/>
      <c r="I276" s="1"/>
      <c r="J276" s="1"/>
      <c r="K276" s="1"/>
      <c r="L276" s="1" t="str" cm="1">
        <f t="array" ref="L276">_xlfn.REGEXEXTRACT(B276,"(?&lt;=//)[^/]+")</f>
        <v>bdsmstreak.com</v>
      </c>
      <c r="M276" s="1" t="s">
        <v>457</v>
      </c>
      <c r="N276" s="1" t="s">
        <v>1740</v>
      </c>
      <c r="O276" s="1" t="str" cm="1">
        <f t="array" ref="O276">IF(N276&lt;&gt;"NtApp",_xlfn.REGEXEXTRACT(N276,"\d+(?=p)"),"NtApp")</f>
        <v>NtApp</v>
      </c>
      <c r="P276" s="1" t="s">
        <v>1740</v>
      </c>
      <c r="Q276" s="1" t="b">
        <f t="shared" si="10"/>
        <v>1</v>
      </c>
      <c r="R276" s="1" t="s">
        <v>1457</v>
      </c>
      <c r="S276" s="1" t="s">
        <v>1458</v>
      </c>
      <c r="T276" s="1">
        <v>1</v>
      </c>
    </row>
    <row r="277" spans="1:20" ht="45" x14ac:dyDescent="0.25">
      <c r="A277" s="1" t="str">
        <f t="shared" si="8"/>
        <v>Pending</v>
      </c>
      <c r="B277" s="1" t="s">
        <v>678</v>
      </c>
      <c r="C277" s="1">
        <v>40</v>
      </c>
      <c r="D277" s="1" t="s">
        <v>577</v>
      </c>
      <c r="E277" s="1" t="s">
        <v>708</v>
      </c>
      <c r="F277" s="1" t="s">
        <v>54</v>
      </c>
      <c r="G277" s="1" t="s">
        <v>803</v>
      </c>
      <c r="H277" s="1"/>
      <c r="I277" s="1"/>
      <c r="J277" s="1"/>
      <c r="K277" s="1" t="s">
        <v>889</v>
      </c>
      <c r="L277" s="1" t="str" cm="1">
        <f t="array" ref="L277">_xlfn.REGEXEXTRACT(B277,"(?&lt;=//)[^/]+")</f>
        <v>bdsmstreak.com</v>
      </c>
      <c r="M277" s="1" t="s">
        <v>457</v>
      </c>
      <c r="N277" s="1" t="s">
        <v>1740</v>
      </c>
      <c r="O277" s="1" t="str" cm="1">
        <f t="array" ref="O277">IF(N277&lt;&gt;"NtApp",_xlfn.REGEXEXTRACT(N277,"\d+(?=p)"),"NtApp")</f>
        <v>NtApp</v>
      </c>
      <c r="P277" s="1" t="s">
        <v>1740</v>
      </c>
      <c r="Q277" s="1" t="b">
        <f t="shared" si="10"/>
        <v>1</v>
      </c>
      <c r="R277" s="1" t="s">
        <v>1859</v>
      </c>
      <c r="S277" s="1" t="s">
        <v>1859</v>
      </c>
      <c r="T277" s="1">
        <v>0</v>
      </c>
    </row>
    <row r="278" spans="1:20" ht="30" x14ac:dyDescent="0.25">
      <c r="A278" s="1" t="str">
        <f t="shared" si="8"/>
        <v>Pending</v>
      </c>
      <c r="B278" s="1" t="s">
        <v>1002</v>
      </c>
      <c r="C278" s="1">
        <v>41</v>
      </c>
      <c r="D278" s="1" t="s">
        <v>577</v>
      </c>
      <c r="E278" s="1" t="s">
        <v>1003</v>
      </c>
      <c r="F278" s="1" t="s">
        <v>53</v>
      </c>
      <c r="G278" s="1"/>
      <c r="H278" s="1" t="s">
        <v>1965</v>
      </c>
      <c r="I278" s="1"/>
      <c r="J278" s="1"/>
      <c r="K278" s="1"/>
      <c r="L278" s="1" t="str" cm="1">
        <f t="array" ref="L278">_xlfn.REGEXEXTRACT(B278,"(?&lt;=//)[^/]+")</f>
        <v>hcbdsm.com</v>
      </c>
      <c r="M278" s="1" t="s">
        <v>457</v>
      </c>
      <c r="N278" s="1" t="s">
        <v>1740</v>
      </c>
      <c r="O278" s="1" t="str" cm="1">
        <f t="array" ref="O278">IF(N278&lt;&gt;"NtApp",_xlfn.REGEXEXTRACT(N278,"\d+(?=p)"),"NtApp")</f>
        <v>NtApp</v>
      </c>
      <c r="P278" s="1" t="s">
        <v>1740</v>
      </c>
      <c r="Q278" s="1" t="b">
        <f t="shared" si="10"/>
        <v>0</v>
      </c>
      <c r="R278" s="1" t="s">
        <v>1532</v>
      </c>
      <c r="S278" s="1" t="s">
        <v>1531</v>
      </c>
      <c r="T278" s="1">
        <v>6</v>
      </c>
    </row>
    <row r="279" spans="1:20" ht="45" x14ac:dyDescent="0.25">
      <c r="A279" s="1" t="str">
        <f t="shared" si="8"/>
        <v>Pending</v>
      </c>
      <c r="B279" s="1" t="s">
        <v>926</v>
      </c>
      <c r="C279" s="1">
        <v>41</v>
      </c>
      <c r="D279" s="1" t="s">
        <v>577</v>
      </c>
      <c r="E279" s="1" t="s">
        <v>927</v>
      </c>
      <c r="F279" s="1" t="s">
        <v>53</v>
      </c>
      <c r="G279" s="1"/>
      <c r="H279" s="1" t="s">
        <v>776</v>
      </c>
      <c r="I279" s="1"/>
      <c r="J279" s="1"/>
      <c r="K279" s="1"/>
      <c r="L279" s="1" t="str" cm="1">
        <f t="array" ref="L279">_xlfn.REGEXEXTRACT(B279,"(?&lt;=//)[^/]+")</f>
        <v>bdsmstreak.com</v>
      </c>
      <c r="M279" s="1" t="s">
        <v>457</v>
      </c>
      <c r="N279" s="1" t="s">
        <v>1740</v>
      </c>
      <c r="O279" s="1" t="str" cm="1">
        <f t="array" ref="O279">IF(N279&lt;&gt;"NtApp",_xlfn.REGEXEXTRACT(N279,"\d+(?=p)"),"NtApp")</f>
        <v>NtApp</v>
      </c>
      <c r="P279" s="1" t="s">
        <v>1740</v>
      </c>
      <c r="Q279" s="1" t="b">
        <f t="shared" si="10"/>
        <v>1</v>
      </c>
      <c r="R279" s="1" t="s">
        <v>1866</v>
      </c>
      <c r="S279" s="1" t="s">
        <v>1867</v>
      </c>
      <c r="T279" s="1">
        <v>3</v>
      </c>
    </row>
    <row r="280" spans="1:20" ht="30" x14ac:dyDescent="0.25">
      <c r="A280" s="1" t="str">
        <f t="shared" si="8"/>
        <v>Pending</v>
      </c>
      <c r="B280" s="1" t="s">
        <v>1098</v>
      </c>
      <c r="C280" s="1">
        <v>41</v>
      </c>
      <c r="D280" s="1" t="s">
        <v>1099</v>
      </c>
      <c r="E280" s="1" t="s">
        <v>1100</v>
      </c>
      <c r="F280" s="1" t="s">
        <v>53</v>
      </c>
      <c r="G280" s="1" t="s">
        <v>803</v>
      </c>
      <c r="H280" s="1"/>
      <c r="I280" s="1"/>
      <c r="J280" s="1"/>
      <c r="K280" s="1"/>
      <c r="L280" s="1" t="str" cm="1">
        <f t="array" ref="L280">_xlfn.REGEXEXTRACT(B280,"(?&lt;=//)[^/]+")</f>
        <v>heavyfetish.com</v>
      </c>
      <c r="M280" s="1" t="s">
        <v>457</v>
      </c>
      <c r="N280" s="1" t="s">
        <v>1740</v>
      </c>
      <c r="O280" s="1" t="str" cm="1">
        <f t="array" ref="O280">IF(N280&lt;&gt;"NtApp",_xlfn.REGEXEXTRACT(N280,"\d+(?=p)"),"NtApp")</f>
        <v>NtApp</v>
      </c>
      <c r="P280" s="1" t="s">
        <v>1740</v>
      </c>
      <c r="Q280" s="1" t="b">
        <f t="shared" si="10"/>
        <v>1</v>
      </c>
      <c r="R280" s="1" t="s">
        <v>1852</v>
      </c>
      <c r="S280" s="1" t="s">
        <v>1853</v>
      </c>
      <c r="T280" s="1">
        <v>1</v>
      </c>
    </row>
    <row r="281" spans="1:20" ht="30" x14ac:dyDescent="0.25">
      <c r="A281" s="1" t="str">
        <f t="shared" si="8"/>
        <v>Pending</v>
      </c>
      <c r="B281" s="1" t="s">
        <v>588</v>
      </c>
      <c r="C281" s="1">
        <v>41</v>
      </c>
      <c r="D281" s="1" t="s">
        <v>1289</v>
      </c>
      <c r="E281" s="1" t="s">
        <v>589</v>
      </c>
      <c r="F281" s="1" t="s">
        <v>53</v>
      </c>
      <c r="G281" s="1"/>
      <c r="H281" s="1"/>
      <c r="I281" s="1"/>
      <c r="J281" s="1"/>
      <c r="K281" s="1"/>
      <c r="L281" s="1" t="str" cm="1">
        <f t="array" ref="L281">_xlfn.REGEXEXTRACT(B281,"(?&lt;=//)[^/]+")</f>
        <v>bdsmstreak.com</v>
      </c>
      <c r="M281" s="1" t="s">
        <v>457</v>
      </c>
      <c r="N281" s="1" t="s">
        <v>1740</v>
      </c>
      <c r="O281" s="1" t="str" cm="1">
        <f t="array" ref="O281">IF(N281&lt;&gt;"NtApp",_xlfn.REGEXEXTRACT(N281,"\d+(?=p)"),"NtApp")</f>
        <v>NtApp</v>
      </c>
      <c r="P281" s="1" t="s">
        <v>1740</v>
      </c>
      <c r="Q281" s="1" t="b">
        <f t="shared" si="10"/>
        <v>0</v>
      </c>
      <c r="R281" s="1" t="s">
        <v>1451</v>
      </c>
      <c r="S281" s="1" t="s">
        <v>1450</v>
      </c>
      <c r="T281" s="1">
        <v>0</v>
      </c>
    </row>
    <row r="282" spans="1:20" x14ac:dyDescent="0.25">
      <c r="A282" s="1" t="str">
        <f t="shared" si="8"/>
        <v>Pending</v>
      </c>
      <c r="B282" s="1" t="s">
        <v>2335</v>
      </c>
      <c r="C282" s="1">
        <v>42</v>
      </c>
      <c r="D282" s="1" t="s">
        <v>567</v>
      </c>
      <c r="E282" s="1" t="s">
        <v>2336</v>
      </c>
      <c r="F282" s="1" t="s">
        <v>63</v>
      </c>
      <c r="G282" s="1" t="s">
        <v>2337</v>
      </c>
      <c r="H282" s="1"/>
      <c r="I282" s="1"/>
      <c r="J282" s="1"/>
      <c r="K282" s="1"/>
      <c r="L282" s="1" t="str" cm="1">
        <f t="array" ref="L282">_xlfn.REGEXEXTRACT(B282,"(?&lt;=//)[^/]+")</f>
        <v>www.kink.com</v>
      </c>
      <c r="M282" s="1"/>
      <c r="N282" s="1"/>
      <c r="O282" s="1"/>
      <c r="P282" s="1"/>
      <c r="Q282" s="1"/>
      <c r="R282" s="1" t="s">
        <v>2344</v>
      </c>
      <c r="S282" s="1" t="s">
        <v>2344</v>
      </c>
      <c r="T282" s="1">
        <v>8</v>
      </c>
    </row>
    <row r="283" spans="1:20" ht="45" x14ac:dyDescent="0.25">
      <c r="A283" s="1" t="str">
        <f t="shared" si="8"/>
        <v>Pending</v>
      </c>
      <c r="B283" s="1" t="s">
        <v>1115</v>
      </c>
      <c r="C283" s="1">
        <v>42</v>
      </c>
      <c r="D283" s="1" t="s">
        <v>577</v>
      </c>
      <c r="E283" s="1" t="s">
        <v>1116</v>
      </c>
      <c r="F283" s="1" t="s">
        <v>53</v>
      </c>
      <c r="G283" s="1" t="s">
        <v>2176</v>
      </c>
      <c r="H283" s="1" t="s">
        <v>2031</v>
      </c>
      <c r="I283" s="1"/>
      <c r="J283" s="1"/>
      <c r="K283" s="1"/>
      <c r="L283" s="1" t="str" cm="1">
        <f t="array" ref="L283">_xlfn.REGEXEXTRACT(B283,"(?&lt;=//)[^/]+")</f>
        <v>bdsmstreak.com</v>
      </c>
      <c r="M283" s="1" t="s">
        <v>457</v>
      </c>
      <c r="N283" s="1" t="s">
        <v>1740</v>
      </c>
      <c r="O283" s="1" t="str" cm="1">
        <f t="array" ref="O283">IF(N283&lt;&gt;"NtApp",_xlfn.REGEXEXTRACT(N283,"\d+(?=p)"),"NtApp")</f>
        <v>NtApp</v>
      </c>
      <c r="P283" s="1" t="s">
        <v>1740</v>
      </c>
      <c r="Q283" s="1" t="b">
        <f t="shared" ref="Q283:Q314" si="11">ISNUMBER(SEARCH(",",E283))</f>
        <v>0</v>
      </c>
      <c r="R283" s="1" t="s">
        <v>1518</v>
      </c>
      <c r="S283" s="1" t="s">
        <v>1518</v>
      </c>
      <c r="T283" s="1">
        <v>6</v>
      </c>
    </row>
    <row r="284" spans="1:20" x14ac:dyDescent="0.25">
      <c r="A284" s="1" t="str">
        <f t="shared" si="8"/>
        <v>Pending</v>
      </c>
      <c r="B284" s="1" t="s">
        <v>668</v>
      </c>
      <c r="C284" s="1">
        <v>42</v>
      </c>
      <c r="D284" s="1" t="s">
        <v>569</v>
      </c>
      <c r="E284" s="1" t="s">
        <v>480</v>
      </c>
      <c r="F284" s="1" t="s">
        <v>52</v>
      </c>
      <c r="G284" s="1"/>
      <c r="H284" s="1"/>
      <c r="I284" s="1"/>
      <c r="J284" s="1"/>
      <c r="K284" s="1"/>
      <c r="L284" s="1" t="str" cm="1">
        <f t="array" ref="L284">_xlfn.REGEXEXTRACT(B284,"(?&lt;=//)[^/]+")</f>
        <v>bdsmmansion.com</v>
      </c>
      <c r="M284" s="1" t="s">
        <v>457</v>
      </c>
      <c r="N284" s="1" t="s">
        <v>1740</v>
      </c>
      <c r="O284" s="1" t="str" cm="1">
        <f t="array" ref="O284">IF(N284&lt;&gt;"NtApp",_xlfn.REGEXEXTRACT(N284,"\d+(?=p)"),"NtApp")</f>
        <v>NtApp</v>
      </c>
      <c r="P284" s="1" t="s">
        <v>1740</v>
      </c>
      <c r="Q284" s="1" t="b">
        <f t="shared" si="11"/>
        <v>0</v>
      </c>
      <c r="R284" s="1" t="s">
        <v>1443</v>
      </c>
      <c r="S284" s="1" t="s">
        <v>1443</v>
      </c>
      <c r="T284" s="1">
        <v>0</v>
      </c>
    </row>
    <row r="285" spans="1:20" x14ac:dyDescent="0.25">
      <c r="A285" s="1" t="str">
        <f t="shared" si="8"/>
        <v>Pending</v>
      </c>
      <c r="B285" s="1" t="s">
        <v>931</v>
      </c>
      <c r="C285" s="1">
        <v>43</v>
      </c>
      <c r="D285" s="1" t="s">
        <v>573</v>
      </c>
      <c r="E285" s="1" t="s">
        <v>186</v>
      </c>
      <c r="F285" s="1" t="s">
        <v>53</v>
      </c>
      <c r="G285" s="1" t="s">
        <v>2069</v>
      </c>
      <c r="H285" s="1"/>
      <c r="I285" s="1"/>
      <c r="J285" s="1"/>
      <c r="K285" s="1"/>
      <c r="L285" s="1" t="str" cm="1">
        <f t="array" ref="L285">_xlfn.REGEXEXTRACT(B285,"(?&lt;=//)[^/]+")</f>
        <v>www.kink.com</v>
      </c>
      <c r="M285" s="1" t="s">
        <v>457</v>
      </c>
      <c r="N285" s="1" t="s">
        <v>1740</v>
      </c>
      <c r="O285" s="1" t="str" cm="1">
        <f t="array" ref="O285">IF(N285&lt;&gt;"NtApp",_xlfn.REGEXEXTRACT(N285,"\d+(?=p)"),"NtApp")</f>
        <v>NtApp</v>
      </c>
      <c r="P285" s="1" t="s">
        <v>1740</v>
      </c>
      <c r="Q285" s="1" t="b">
        <f t="shared" si="11"/>
        <v>0</v>
      </c>
      <c r="R285" s="1" t="s">
        <v>1161</v>
      </c>
      <c r="S285" s="1" t="s">
        <v>1161</v>
      </c>
      <c r="T285" s="1">
        <v>5</v>
      </c>
    </row>
    <row r="286" spans="1:20" ht="45" x14ac:dyDescent="0.25">
      <c r="A286" s="1" t="str">
        <f t="shared" si="8"/>
        <v>Pending</v>
      </c>
      <c r="B286" s="1" t="s">
        <v>595</v>
      </c>
      <c r="C286" s="1">
        <v>43</v>
      </c>
      <c r="D286" s="1" t="s">
        <v>577</v>
      </c>
      <c r="E286" s="1" t="s">
        <v>186</v>
      </c>
      <c r="F286" s="1" t="s">
        <v>53</v>
      </c>
      <c r="G286" s="1"/>
      <c r="H286" s="1"/>
      <c r="I286" s="1"/>
      <c r="J286" s="1"/>
      <c r="K286" s="1" t="s">
        <v>598</v>
      </c>
      <c r="L286" s="1" t="str" cm="1">
        <f t="array" ref="L286">_xlfn.REGEXEXTRACT(B286,"(?&lt;=//)[^/]+")</f>
        <v>bdsmstreak.com</v>
      </c>
      <c r="M286" s="1" t="s">
        <v>457</v>
      </c>
      <c r="N286" s="1" t="s">
        <v>1740</v>
      </c>
      <c r="O286" s="1" t="str" cm="1">
        <f t="array" ref="O286">IF(N286&lt;&gt;"NtApp",_xlfn.REGEXEXTRACT(N286,"\d+(?=p)"),"NtApp")</f>
        <v>NtApp</v>
      </c>
      <c r="P286" s="1" t="s">
        <v>1740</v>
      </c>
      <c r="Q286" s="1" t="b">
        <f t="shared" si="11"/>
        <v>0</v>
      </c>
      <c r="R286" s="1" t="s">
        <v>1868</v>
      </c>
      <c r="S286" s="1" t="s">
        <v>1869</v>
      </c>
      <c r="T286" s="1">
        <v>0</v>
      </c>
    </row>
    <row r="287" spans="1:20" ht="30" x14ac:dyDescent="0.25">
      <c r="A287" s="1" t="str">
        <f t="shared" si="8"/>
        <v>Pending</v>
      </c>
      <c r="B287" s="1" t="s">
        <v>679</v>
      </c>
      <c r="C287" s="1">
        <v>43</v>
      </c>
      <c r="D287" s="1" t="s">
        <v>577</v>
      </c>
      <c r="E287" s="1" t="s">
        <v>709</v>
      </c>
      <c r="F287" s="1" t="s">
        <v>53</v>
      </c>
      <c r="G287" s="1"/>
      <c r="H287" s="1"/>
      <c r="I287" s="1"/>
      <c r="J287" s="1"/>
      <c r="K287" s="1"/>
      <c r="L287" s="1" t="str" cm="1">
        <f t="array" ref="L287">_xlfn.REGEXEXTRACT(B287,"(?&lt;=//)[^/]+")</f>
        <v>bdsmstreak.com</v>
      </c>
      <c r="M287" s="1" t="s">
        <v>457</v>
      </c>
      <c r="N287" s="1" t="s">
        <v>1740</v>
      </c>
      <c r="O287" s="1" t="str" cm="1">
        <f t="array" ref="O287">IF(N287&lt;&gt;"NtApp",_xlfn.REGEXEXTRACT(N287,"\d+(?=p)"),"NtApp")</f>
        <v>NtApp</v>
      </c>
      <c r="P287" s="1" t="s">
        <v>1740</v>
      </c>
      <c r="Q287" s="1" t="b">
        <f t="shared" si="11"/>
        <v>0</v>
      </c>
      <c r="R287" s="1" t="s">
        <v>1534</v>
      </c>
      <c r="S287" s="1" t="s">
        <v>1533</v>
      </c>
      <c r="T287" s="1">
        <v>0</v>
      </c>
    </row>
    <row r="288" spans="1:20" ht="45" x14ac:dyDescent="0.25">
      <c r="A288" s="1" t="str">
        <f t="shared" si="8"/>
        <v>Pending</v>
      </c>
      <c r="B288" s="1" t="s">
        <v>870</v>
      </c>
      <c r="C288" s="1">
        <v>44</v>
      </c>
      <c r="D288" s="1" t="s">
        <v>571</v>
      </c>
      <c r="E288" s="1" t="s">
        <v>871</v>
      </c>
      <c r="F288" s="1" t="s">
        <v>54</v>
      </c>
      <c r="G288" s="1" t="s">
        <v>1555</v>
      </c>
      <c r="H288" s="1"/>
      <c r="I288" s="1"/>
      <c r="J288" s="1"/>
      <c r="K288" s="1"/>
      <c r="L288" s="1" t="str" cm="1">
        <f t="array" ref="L288">_xlfn.REGEXEXTRACT(B288,"(?&lt;=//)[^/]+")</f>
        <v>bdsmstreak.com</v>
      </c>
      <c r="M288" s="1" t="s">
        <v>457</v>
      </c>
      <c r="N288" s="1" t="s">
        <v>1740</v>
      </c>
      <c r="O288" s="1" t="str" cm="1">
        <f t="array" ref="O288">IF(N288&lt;&gt;"NtApp",_xlfn.REGEXEXTRACT(N288,"\d+(?=p)"),"NtApp")</f>
        <v>NtApp</v>
      </c>
      <c r="P288" s="1" t="s">
        <v>1740</v>
      </c>
      <c r="Q288" s="1" t="b">
        <f t="shared" si="11"/>
        <v>1</v>
      </c>
      <c r="R288" s="1" t="s">
        <v>1554</v>
      </c>
      <c r="S288" s="1" t="s">
        <v>1554</v>
      </c>
      <c r="T288" s="1">
        <v>6</v>
      </c>
    </row>
    <row r="289" spans="1:20" x14ac:dyDescent="0.25">
      <c r="A289" s="1" t="str">
        <f t="shared" si="8"/>
        <v>Pending</v>
      </c>
      <c r="B289" s="1" t="s">
        <v>1101</v>
      </c>
      <c r="C289" s="1">
        <v>44</v>
      </c>
      <c r="D289" s="1" t="s">
        <v>572</v>
      </c>
      <c r="E289" s="1" t="s">
        <v>1102</v>
      </c>
      <c r="F289" s="1" t="s">
        <v>54</v>
      </c>
      <c r="G289" s="1" t="s">
        <v>802</v>
      </c>
      <c r="H289" s="1"/>
      <c r="I289" s="1"/>
      <c r="J289" s="1"/>
      <c r="K289" s="1"/>
      <c r="L289" s="1" t="str" cm="1">
        <f t="array" ref="L289">_xlfn.REGEXEXTRACT(B289,"(?&lt;=//)[^/]+")</f>
        <v>www.kink.com</v>
      </c>
      <c r="M289" s="1" t="s">
        <v>457</v>
      </c>
      <c r="N289" s="1" t="s">
        <v>1740</v>
      </c>
      <c r="O289" s="1" t="str" cm="1">
        <f t="array" ref="O289">IF(N289&lt;&gt;"NtApp",_xlfn.REGEXEXTRACT(N289,"\d+(?=p)"),"NtApp")</f>
        <v>NtApp</v>
      </c>
      <c r="P289" s="1" t="s">
        <v>1740</v>
      </c>
      <c r="Q289" s="1" t="b">
        <f t="shared" si="11"/>
        <v>1</v>
      </c>
      <c r="R289" s="1" t="s">
        <v>1162</v>
      </c>
      <c r="S289" s="1" t="s">
        <v>1162</v>
      </c>
      <c r="T289" s="1">
        <v>1</v>
      </c>
    </row>
    <row r="290" spans="1:20" ht="30" x14ac:dyDescent="0.25">
      <c r="A290" s="1" t="str">
        <f t="shared" si="8"/>
        <v>Pending</v>
      </c>
      <c r="B290" s="1" t="s">
        <v>760</v>
      </c>
      <c r="C290" s="1">
        <v>44</v>
      </c>
      <c r="D290" s="1" t="s">
        <v>577</v>
      </c>
      <c r="E290" s="1" t="s">
        <v>1772</v>
      </c>
      <c r="F290" s="1" t="s">
        <v>54</v>
      </c>
      <c r="G290" s="1" t="s">
        <v>802</v>
      </c>
      <c r="H290" s="1"/>
      <c r="I290" s="1"/>
      <c r="J290" s="1"/>
      <c r="K290" s="1" t="s">
        <v>732</v>
      </c>
      <c r="L290" s="1" t="str" cm="1">
        <f t="array" ref="L290">_xlfn.REGEXEXTRACT(B290,"(?&lt;=//)[^/]+")</f>
        <v>hcbdsm.com</v>
      </c>
      <c r="M290" s="1" t="s">
        <v>457</v>
      </c>
      <c r="N290" s="1" t="s">
        <v>1740</v>
      </c>
      <c r="O290" s="1" t="str" cm="1">
        <f t="array" ref="O290">IF(N290&lt;&gt;"NtApp",_xlfn.REGEXEXTRACT(N290,"\d+(?=p)"),"NtApp")</f>
        <v>NtApp</v>
      </c>
      <c r="P290" s="1" t="s">
        <v>1740</v>
      </c>
      <c r="Q290" s="1" t="b">
        <f t="shared" si="11"/>
        <v>1</v>
      </c>
      <c r="R290" s="1" t="s">
        <v>1511</v>
      </c>
      <c r="S290" s="1" t="s">
        <v>1510</v>
      </c>
      <c r="T290" s="1">
        <v>0</v>
      </c>
    </row>
    <row r="291" spans="1:20" ht="30" x14ac:dyDescent="0.25">
      <c r="A291" s="1" t="str">
        <f t="shared" si="8"/>
        <v>Pending</v>
      </c>
      <c r="B291" s="1" t="s">
        <v>915</v>
      </c>
      <c r="C291" s="1">
        <v>44</v>
      </c>
      <c r="D291" s="1" t="s">
        <v>577</v>
      </c>
      <c r="E291" s="1" t="s">
        <v>916</v>
      </c>
      <c r="F291" s="1" t="s">
        <v>53</v>
      </c>
      <c r="G291" s="1"/>
      <c r="H291" s="1"/>
      <c r="I291" s="1"/>
      <c r="J291" s="1"/>
      <c r="K291" s="1"/>
      <c r="L291" s="1" t="str" cm="1">
        <f t="array" ref="L291">_xlfn.REGEXEXTRACT(B291,"(?&lt;=//)[^/]+")</f>
        <v>bdsmstreak.com</v>
      </c>
      <c r="M291" s="1" t="s">
        <v>457</v>
      </c>
      <c r="N291" s="1" t="s">
        <v>1740</v>
      </c>
      <c r="O291" s="1" t="str" cm="1">
        <f t="array" ref="O291">IF(N291&lt;&gt;"NtApp",_xlfn.REGEXEXTRACT(N291,"\d+(?=p)"),"NtApp")</f>
        <v>NtApp</v>
      </c>
      <c r="P291" s="1" t="s">
        <v>1740</v>
      </c>
      <c r="Q291" s="1" t="b">
        <f t="shared" si="11"/>
        <v>0</v>
      </c>
      <c r="R291" s="1" t="s">
        <v>1594</v>
      </c>
      <c r="S291" s="1" t="s">
        <v>1594</v>
      </c>
      <c r="T291" s="1">
        <v>0</v>
      </c>
    </row>
    <row r="292" spans="1:20" ht="30" x14ac:dyDescent="0.25">
      <c r="A292" s="1" t="str">
        <f t="shared" si="8"/>
        <v>Pending</v>
      </c>
      <c r="B292" s="1" t="s">
        <v>1012</v>
      </c>
      <c r="C292" s="1">
        <v>44</v>
      </c>
      <c r="D292" s="1" t="s">
        <v>577</v>
      </c>
      <c r="E292" s="1" t="s">
        <v>1013</v>
      </c>
      <c r="F292" s="1" t="s">
        <v>53</v>
      </c>
      <c r="G292" s="1"/>
      <c r="H292" s="1"/>
      <c r="I292" s="1"/>
      <c r="J292" s="1"/>
      <c r="K292" s="1"/>
      <c r="L292" s="1" t="str" cm="1">
        <f t="array" ref="L292">_xlfn.REGEXEXTRACT(B292,"(?&lt;=//)[^/]+")</f>
        <v>hcbdsm.com</v>
      </c>
      <c r="M292" s="1" t="s">
        <v>457</v>
      </c>
      <c r="N292" s="1" t="s">
        <v>1740</v>
      </c>
      <c r="O292" s="1" t="str" cm="1">
        <f t="array" ref="O292">IF(N292&lt;&gt;"NtApp",_xlfn.REGEXEXTRACT(N292,"\d+(?=p)"),"NtApp")</f>
        <v>NtApp</v>
      </c>
      <c r="P292" s="1" t="s">
        <v>1740</v>
      </c>
      <c r="Q292" s="1" t="b">
        <f t="shared" si="11"/>
        <v>0</v>
      </c>
      <c r="R292" s="1" t="s">
        <v>1872</v>
      </c>
      <c r="S292" s="1" t="s">
        <v>1872</v>
      </c>
      <c r="T292" s="1">
        <v>0</v>
      </c>
    </row>
    <row r="293" spans="1:20" ht="30" x14ac:dyDescent="0.25">
      <c r="A293" s="1" t="str">
        <f t="shared" si="8"/>
        <v>Pending</v>
      </c>
      <c r="B293" s="1" t="s">
        <v>783</v>
      </c>
      <c r="C293" s="1">
        <v>44</v>
      </c>
      <c r="D293" s="1" t="s">
        <v>784</v>
      </c>
      <c r="E293" s="1" t="s">
        <v>785</v>
      </c>
      <c r="F293" s="1" t="s">
        <v>53</v>
      </c>
      <c r="G293" s="1"/>
      <c r="H293" s="1"/>
      <c r="I293" s="1"/>
      <c r="J293" s="1"/>
      <c r="K293" s="1" t="s">
        <v>786</v>
      </c>
      <c r="L293" s="1" t="str" cm="1">
        <f t="array" ref="L293">_xlfn.REGEXEXTRACT(B293,"(?&lt;=//)[^/]+")</f>
        <v>www.twistedfactory.com</v>
      </c>
      <c r="M293" s="1" t="s">
        <v>457</v>
      </c>
      <c r="N293" s="1" t="s">
        <v>1740</v>
      </c>
      <c r="O293" s="1" t="str" cm="1">
        <f t="array" ref="O293">IF(N293&lt;&gt;"NtApp",_xlfn.REGEXEXTRACT(N293,"\d+(?=p)"),"NtApp")</f>
        <v>NtApp</v>
      </c>
      <c r="P293" s="1" t="s">
        <v>1740</v>
      </c>
      <c r="Q293" s="1" t="b">
        <f t="shared" si="11"/>
        <v>0</v>
      </c>
      <c r="R293" s="1" t="s">
        <v>1163</v>
      </c>
      <c r="S293" s="1" t="s">
        <v>1163</v>
      </c>
      <c r="T293" s="1">
        <v>0</v>
      </c>
    </row>
    <row r="294" spans="1:20" x14ac:dyDescent="0.25">
      <c r="A294" s="1" t="str">
        <f t="shared" si="8"/>
        <v>Pending</v>
      </c>
      <c r="B294" s="1" t="s">
        <v>1131</v>
      </c>
      <c r="C294" s="1">
        <v>44</v>
      </c>
      <c r="D294" s="1" t="s">
        <v>572</v>
      </c>
      <c r="E294" s="1" t="s">
        <v>67</v>
      </c>
      <c r="F294" s="1" t="s">
        <v>54</v>
      </c>
      <c r="G294" s="1"/>
      <c r="H294" s="1"/>
      <c r="I294" s="1"/>
      <c r="J294" s="1"/>
      <c r="K294" s="1"/>
      <c r="L294" s="1" t="str" cm="1">
        <f t="array" ref="L294">_xlfn.REGEXEXTRACT(B294,"(?&lt;=//)[^/]+")</f>
        <v>www.kink.com</v>
      </c>
      <c r="M294" s="1" t="s">
        <v>457</v>
      </c>
      <c r="N294" s="1" t="s">
        <v>1740</v>
      </c>
      <c r="O294" s="1" t="str" cm="1">
        <f t="array" ref="O294">IF(N294&lt;&gt;"NtApp",_xlfn.REGEXEXTRACT(N294,"\d+(?=p)"),"NtApp")</f>
        <v>NtApp</v>
      </c>
      <c r="P294" s="1" t="s">
        <v>1740</v>
      </c>
      <c r="Q294" s="1" t="b">
        <f t="shared" si="11"/>
        <v>0</v>
      </c>
      <c r="R294" s="1" t="s">
        <v>1164</v>
      </c>
      <c r="S294" s="1" t="s">
        <v>1164</v>
      </c>
      <c r="T294" s="1">
        <v>0</v>
      </c>
    </row>
    <row r="295" spans="1:20" ht="30" x14ac:dyDescent="0.25">
      <c r="A295" s="1" t="str">
        <f t="shared" si="8"/>
        <v>Pending</v>
      </c>
      <c r="B295" s="1" t="s">
        <v>876</v>
      </c>
      <c r="C295" s="1">
        <v>45</v>
      </c>
      <c r="D295" s="1" t="s">
        <v>577</v>
      </c>
      <c r="E295" s="1" t="s">
        <v>877</v>
      </c>
      <c r="F295" s="1" t="s">
        <v>53</v>
      </c>
      <c r="G295" s="1" t="s">
        <v>961</v>
      </c>
      <c r="H295" s="1" t="s">
        <v>2029</v>
      </c>
      <c r="I295" s="1"/>
      <c r="J295" s="1"/>
      <c r="K295" s="1"/>
      <c r="L295" s="1" t="str" cm="1">
        <f t="array" ref="L295">_xlfn.REGEXEXTRACT(B295,"(?&lt;=//)[^/]+")</f>
        <v>bdsmstreak.com</v>
      </c>
      <c r="M295" s="1" t="s">
        <v>457</v>
      </c>
      <c r="N295" s="1" t="s">
        <v>1740</v>
      </c>
      <c r="O295" s="1" t="str" cm="1">
        <f t="array" ref="O295">IF(N295&lt;&gt;"NtApp",_xlfn.REGEXEXTRACT(N295,"\d+(?=p)"),"NtApp")</f>
        <v>NtApp</v>
      </c>
      <c r="P295" s="1" t="s">
        <v>1740</v>
      </c>
      <c r="Q295" s="1" t="b">
        <f t="shared" si="11"/>
        <v>0</v>
      </c>
      <c r="R295" s="1" t="s">
        <v>1597</v>
      </c>
      <c r="S295" s="1" t="s">
        <v>1597</v>
      </c>
      <c r="T295" s="1">
        <v>3</v>
      </c>
    </row>
    <row r="296" spans="1:20" ht="30" x14ac:dyDescent="0.25">
      <c r="A296" s="1" t="str">
        <f t="shared" si="8"/>
        <v>Pending</v>
      </c>
      <c r="B296" s="1" t="s">
        <v>1051</v>
      </c>
      <c r="C296" s="1">
        <v>45</v>
      </c>
      <c r="D296" s="1" t="s">
        <v>703</v>
      </c>
      <c r="E296" s="1" t="s">
        <v>1052</v>
      </c>
      <c r="F296" s="1" t="s">
        <v>53</v>
      </c>
      <c r="G296" s="1" t="s">
        <v>1053</v>
      </c>
      <c r="H296" s="1"/>
      <c r="I296" s="1"/>
      <c r="J296" s="1"/>
      <c r="K296" s="1"/>
      <c r="L296" s="1" t="str" cm="1">
        <f t="array" ref="L296">_xlfn.REGEXEXTRACT(B296,"(?&lt;=//)[^/]+")</f>
        <v>hcbdsm.com</v>
      </c>
      <c r="M296" s="1" t="s">
        <v>457</v>
      </c>
      <c r="N296" s="1" t="s">
        <v>1740</v>
      </c>
      <c r="O296" s="1" t="str" cm="1">
        <f t="array" ref="O296">IF(N296&lt;&gt;"NtApp",_xlfn.REGEXEXTRACT(N296,"\d+(?=p)"),"NtApp")</f>
        <v>NtApp</v>
      </c>
      <c r="P296" s="1" t="s">
        <v>1740</v>
      </c>
      <c r="Q296" s="1" t="b">
        <f t="shared" si="11"/>
        <v>1</v>
      </c>
      <c r="R296" s="1" t="s">
        <v>1725</v>
      </c>
      <c r="S296" s="1" t="s">
        <v>1725</v>
      </c>
      <c r="T296" s="1">
        <v>3</v>
      </c>
    </row>
    <row r="297" spans="1:20" ht="30" x14ac:dyDescent="0.25">
      <c r="A297" s="1" t="str">
        <f t="shared" si="8"/>
        <v>Pending</v>
      </c>
      <c r="B297" s="1" t="s">
        <v>680</v>
      </c>
      <c r="C297" s="1">
        <v>45</v>
      </c>
      <c r="D297" s="1" t="s">
        <v>577</v>
      </c>
      <c r="E297" s="1" t="s">
        <v>705</v>
      </c>
      <c r="F297" s="1" t="s">
        <v>53</v>
      </c>
      <c r="G297" s="1"/>
      <c r="H297" s="1" t="s">
        <v>776</v>
      </c>
      <c r="I297" s="1"/>
      <c r="J297" s="1"/>
      <c r="K297" s="1"/>
      <c r="L297" s="1" t="str" cm="1">
        <f t="array" ref="L297">_xlfn.REGEXEXTRACT(B297,"(?&lt;=//)[^/]+")</f>
        <v>hcbdsm.com</v>
      </c>
      <c r="M297" s="1" t="s">
        <v>457</v>
      </c>
      <c r="N297" s="1" t="s">
        <v>1740</v>
      </c>
      <c r="O297" s="1" t="str" cm="1">
        <f t="array" ref="O297">IF(N297&lt;&gt;"NtApp",_xlfn.REGEXEXTRACT(N297,"\d+(?=p)"),"NtApp")</f>
        <v>NtApp</v>
      </c>
      <c r="P297" s="1" t="s">
        <v>1740</v>
      </c>
      <c r="Q297" s="1" t="b">
        <f t="shared" si="11"/>
        <v>0</v>
      </c>
      <c r="R297" s="1" t="s">
        <v>1596</v>
      </c>
      <c r="S297" s="1" t="s">
        <v>1595</v>
      </c>
      <c r="T297" s="1">
        <v>1</v>
      </c>
    </row>
    <row r="298" spans="1:20" ht="30" x14ac:dyDescent="0.25">
      <c r="A298" s="1" t="str">
        <f t="shared" si="8"/>
        <v>Pending</v>
      </c>
      <c r="B298" s="1" t="s">
        <v>1007</v>
      </c>
      <c r="C298" s="1">
        <v>45</v>
      </c>
      <c r="D298" s="1" t="s">
        <v>873</v>
      </c>
      <c r="E298" s="1" t="s">
        <v>1008</v>
      </c>
      <c r="F298" s="1" t="s">
        <v>53</v>
      </c>
      <c r="G298" s="1"/>
      <c r="H298" s="1"/>
      <c r="I298" s="1"/>
      <c r="J298" s="1"/>
      <c r="K298" s="1"/>
      <c r="L298" s="1" t="str" cm="1">
        <f t="array" ref="L298">_xlfn.REGEXEXTRACT(B298,"(?&lt;=//)[^/]+")</f>
        <v>www.twistedfactory.com</v>
      </c>
      <c r="M298" s="1" t="s">
        <v>457</v>
      </c>
      <c r="N298" s="1" t="s">
        <v>1740</v>
      </c>
      <c r="O298" s="1" t="str" cm="1">
        <f t="array" ref="O298">IF(N298&lt;&gt;"NtApp",_xlfn.REGEXEXTRACT(N298,"\d+(?=p)"),"NtApp")</f>
        <v>NtApp</v>
      </c>
      <c r="P298" s="1" t="s">
        <v>1740</v>
      </c>
      <c r="Q298" s="1" t="b">
        <f t="shared" si="11"/>
        <v>0</v>
      </c>
      <c r="R298" s="1" t="s">
        <v>1166</v>
      </c>
      <c r="S298" s="1" t="s">
        <v>1166</v>
      </c>
      <c r="T298" s="1">
        <v>0</v>
      </c>
    </row>
    <row r="299" spans="1:20" ht="30" x14ac:dyDescent="0.25">
      <c r="A299" s="1" t="str">
        <f t="shared" si="8"/>
        <v>Pending</v>
      </c>
      <c r="B299" s="1" t="s">
        <v>942</v>
      </c>
      <c r="C299" s="1">
        <v>45</v>
      </c>
      <c r="D299" s="1" t="s">
        <v>573</v>
      </c>
      <c r="E299" s="1" t="s">
        <v>943</v>
      </c>
      <c r="F299" s="1" t="s">
        <v>53</v>
      </c>
      <c r="G299" s="1" t="s">
        <v>2144</v>
      </c>
      <c r="H299" s="1"/>
      <c r="I299" s="1"/>
      <c r="J299" s="1"/>
      <c r="K299" s="1"/>
      <c r="L299" s="1" t="str" cm="1">
        <f t="array" ref="L299">_xlfn.REGEXEXTRACT(B299,"(?&lt;=//)[^/]+")</f>
        <v>hcbdsm.com</v>
      </c>
      <c r="M299" s="1" t="s">
        <v>457</v>
      </c>
      <c r="N299" s="1" t="s">
        <v>1740</v>
      </c>
      <c r="O299" s="1" t="str" cm="1">
        <f t="array" ref="O299">IF(N299&lt;&gt;"NtApp",_xlfn.REGEXEXTRACT(N299,"\d+(?=p)"),"NtApp")</f>
        <v>NtApp</v>
      </c>
      <c r="P299" s="1" t="s">
        <v>1740</v>
      </c>
      <c r="Q299" s="1" t="b">
        <f t="shared" si="11"/>
        <v>0</v>
      </c>
      <c r="R299" s="1" t="s">
        <v>1660</v>
      </c>
      <c r="S299" s="1" t="s">
        <v>1660</v>
      </c>
      <c r="T299" s="1">
        <v>0</v>
      </c>
    </row>
    <row r="300" spans="1:20" ht="45" x14ac:dyDescent="0.25">
      <c r="A300" s="1" t="str">
        <f t="shared" si="8"/>
        <v>Pending</v>
      </c>
      <c r="B300" s="1" t="s">
        <v>1039</v>
      </c>
      <c r="C300" s="1">
        <v>45</v>
      </c>
      <c r="D300" s="1" t="s">
        <v>573</v>
      </c>
      <c r="E300" s="1" t="s">
        <v>62</v>
      </c>
      <c r="F300" s="1" t="s">
        <v>53</v>
      </c>
      <c r="G300" s="1"/>
      <c r="H300" s="1"/>
      <c r="I300" s="1"/>
      <c r="J300" s="1"/>
      <c r="K300" s="1"/>
      <c r="L300" s="1" t="str" cm="1">
        <f t="array" ref="L300">_xlfn.REGEXEXTRACT(B300,"(?&lt;=//)[^/]+")</f>
        <v>bdsmmansion.com</v>
      </c>
      <c r="M300" s="1" t="s">
        <v>457</v>
      </c>
      <c r="N300" s="1" t="s">
        <v>1740</v>
      </c>
      <c r="O300" s="1" t="str" cm="1">
        <f t="array" ref="O300">IF(N300&lt;&gt;"NtApp",_xlfn.REGEXEXTRACT(N300,"\d+(?=p)"),"NtApp")</f>
        <v>NtApp</v>
      </c>
      <c r="P300" s="1" t="s">
        <v>1740</v>
      </c>
      <c r="Q300" s="1" t="b">
        <f t="shared" si="11"/>
        <v>0</v>
      </c>
      <c r="R300" s="1" t="s">
        <v>1662</v>
      </c>
      <c r="S300" s="1" t="s">
        <v>1661</v>
      </c>
      <c r="T300" s="1">
        <v>0</v>
      </c>
    </row>
    <row r="301" spans="1:20" ht="30" x14ac:dyDescent="0.25">
      <c r="A301" s="1" t="str">
        <f t="shared" si="8"/>
        <v>Pending</v>
      </c>
      <c r="B301" s="1" t="s">
        <v>884</v>
      </c>
      <c r="C301" s="1">
        <v>45</v>
      </c>
      <c r="D301" s="1" t="s">
        <v>784</v>
      </c>
      <c r="E301" s="1" t="s">
        <v>885</v>
      </c>
      <c r="F301" s="1" t="s">
        <v>53</v>
      </c>
      <c r="G301" s="1"/>
      <c r="H301" s="1"/>
      <c r="I301" s="1"/>
      <c r="J301" s="1"/>
      <c r="K301" s="1"/>
      <c r="L301" s="1" t="str" cm="1">
        <f t="array" ref="L301">_xlfn.REGEXEXTRACT(B301,"(?&lt;=//)[^/]+")</f>
        <v>www.twistedfactory.com</v>
      </c>
      <c r="M301" s="1" t="s">
        <v>457</v>
      </c>
      <c r="N301" s="1" t="s">
        <v>1740</v>
      </c>
      <c r="O301" s="1" t="str" cm="1">
        <f t="array" ref="O301">IF(N301&lt;&gt;"NtApp",_xlfn.REGEXEXTRACT(N301,"\d+(?=p)"),"NtApp")</f>
        <v>NtApp</v>
      </c>
      <c r="P301" s="1" t="s">
        <v>1740</v>
      </c>
      <c r="Q301" s="1" t="b">
        <f t="shared" si="11"/>
        <v>1</v>
      </c>
      <c r="R301" s="1" t="s">
        <v>1165</v>
      </c>
      <c r="S301" s="1" t="s">
        <v>1165</v>
      </c>
      <c r="T301" s="1">
        <v>0</v>
      </c>
    </row>
    <row r="302" spans="1:20" x14ac:dyDescent="0.25">
      <c r="A302" s="1" t="str">
        <f t="shared" si="8"/>
        <v>Pending</v>
      </c>
      <c r="B302" s="1" t="s">
        <v>1030</v>
      </c>
      <c r="C302" s="1">
        <v>46</v>
      </c>
      <c r="D302" s="1" t="s">
        <v>1021</v>
      </c>
      <c r="E302" s="1" t="s">
        <v>1031</v>
      </c>
      <c r="F302" s="1" t="s">
        <v>53</v>
      </c>
      <c r="G302" s="1" t="s">
        <v>1032</v>
      </c>
      <c r="H302" s="1"/>
      <c r="I302" s="1"/>
      <c r="J302" s="1"/>
      <c r="K302" s="1"/>
      <c r="L302" s="1" t="str" cm="1">
        <f t="array" ref="L302">_xlfn.REGEXEXTRACT(B302,"(?&lt;=//)[^/]+")</f>
        <v>hcbdsm.com</v>
      </c>
      <c r="M302" s="1" t="s">
        <v>457</v>
      </c>
      <c r="N302" s="1" t="s">
        <v>1740</v>
      </c>
      <c r="O302" s="1" t="str" cm="1">
        <f t="array" ref="O302">IF(N302&lt;&gt;"NtApp",_xlfn.REGEXEXTRACT(N302,"\d+(?=p)"),"NtApp")</f>
        <v>NtApp</v>
      </c>
      <c r="P302" s="1" t="s">
        <v>1740</v>
      </c>
      <c r="Q302" s="1" t="b">
        <f t="shared" si="11"/>
        <v>0</v>
      </c>
      <c r="R302" s="1" t="s">
        <v>1469</v>
      </c>
      <c r="S302" s="1" t="s">
        <v>1469</v>
      </c>
      <c r="T302" s="1">
        <v>1</v>
      </c>
    </row>
    <row r="303" spans="1:20" ht="30" x14ac:dyDescent="0.25">
      <c r="A303" s="1" t="str">
        <f t="shared" si="8"/>
        <v>Pending</v>
      </c>
      <c r="B303" s="1" t="s">
        <v>811</v>
      </c>
      <c r="C303" s="1">
        <v>46</v>
      </c>
      <c r="D303" s="1" t="s">
        <v>577</v>
      </c>
      <c r="E303" s="1" t="s">
        <v>790</v>
      </c>
      <c r="F303" s="1" t="s">
        <v>54</v>
      </c>
      <c r="G303" s="1" t="s">
        <v>793</v>
      </c>
      <c r="H303" s="1"/>
      <c r="I303" s="1"/>
      <c r="J303" s="1"/>
      <c r="K303" s="1" t="s">
        <v>2360</v>
      </c>
      <c r="L303" s="1" t="str" cm="1">
        <f t="array" ref="L303">_xlfn.REGEXEXTRACT(B303,"(?&lt;=//)[^/]+")</f>
        <v>bdsmstreak.com</v>
      </c>
      <c r="M303" s="1" t="s">
        <v>457</v>
      </c>
      <c r="N303" s="1" t="s">
        <v>1740</v>
      </c>
      <c r="O303" s="1" t="str" cm="1">
        <f t="array" ref="O303">IF(N303&lt;&gt;"NtApp",_xlfn.REGEXEXTRACT(N303,"\d+(?=p)"),"NtApp")</f>
        <v>NtApp</v>
      </c>
      <c r="P303" s="1" t="s">
        <v>1740</v>
      </c>
      <c r="Q303" s="1" t="b">
        <f t="shared" si="11"/>
        <v>1</v>
      </c>
      <c r="R303" s="1" t="s">
        <v>1861</v>
      </c>
      <c r="S303" s="1" t="s">
        <v>1862</v>
      </c>
      <c r="T303" s="1">
        <v>0</v>
      </c>
    </row>
    <row r="304" spans="1:20" ht="30" x14ac:dyDescent="0.25">
      <c r="A304" s="1" t="str">
        <f t="shared" si="8"/>
        <v>Pending</v>
      </c>
      <c r="B304" s="1" t="s">
        <v>1598</v>
      </c>
      <c r="C304" s="1">
        <v>46</v>
      </c>
      <c r="D304" s="1" t="s">
        <v>577</v>
      </c>
      <c r="E304" s="1" t="s">
        <v>974</v>
      </c>
      <c r="F304" s="1" t="s">
        <v>53</v>
      </c>
      <c r="G304" s="1" t="s">
        <v>803</v>
      </c>
      <c r="H304" s="1"/>
      <c r="I304" s="1"/>
      <c r="J304" s="1"/>
      <c r="K304" s="1" t="s">
        <v>889</v>
      </c>
      <c r="L304" s="1" t="str" cm="1">
        <f t="array" ref="L304">_xlfn.REGEXEXTRACT(B304,"(?&lt;=//)[^/]+")</f>
        <v>bdsmstreak.com</v>
      </c>
      <c r="M304" s="1" t="s">
        <v>457</v>
      </c>
      <c r="N304" s="1" t="s">
        <v>1740</v>
      </c>
      <c r="O304" s="1" t="str" cm="1">
        <f t="array" ref="O304">IF(N304&lt;&gt;"NtApp",_xlfn.REGEXEXTRACT(N304,"\d+(?=p)"),"NtApp")</f>
        <v>NtApp</v>
      </c>
      <c r="P304" s="1" t="s">
        <v>1740</v>
      </c>
      <c r="Q304" s="1" t="b">
        <f t="shared" si="11"/>
        <v>1</v>
      </c>
      <c r="R304" s="1" t="s">
        <v>1873</v>
      </c>
      <c r="S304" s="1" t="s">
        <v>1873</v>
      </c>
      <c r="T304" s="1">
        <v>0</v>
      </c>
    </row>
    <row r="305" spans="1:20" ht="30" x14ac:dyDescent="0.25">
      <c r="A305" s="1" t="str">
        <f t="shared" si="8"/>
        <v>Pending</v>
      </c>
      <c r="B305" s="1" t="s">
        <v>847</v>
      </c>
      <c r="C305" s="1">
        <v>46</v>
      </c>
      <c r="D305" s="1" t="s">
        <v>784</v>
      </c>
      <c r="E305" s="1" t="s">
        <v>141</v>
      </c>
      <c r="F305" s="1" t="s">
        <v>53</v>
      </c>
      <c r="G305" s="1"/>
      <c r="H305" s="1"/>
      <c r="I305" s="1"/>
      <c r="J305" s="1"/>
      <c r="K305" s="1"/>
      <c r="L305" s="1" t="str" cm="1">
        <f t="array" ref="L305">_xlfn.REGEXEXTRACT(B305,"(?&lt;=//)[^/]+")</f>
        <v>www.twistedfactory.com</v>
      </c>
      <c r="M305" s="1" t="s">
        <v>457</v>
      </c>
      <c r="N305" s="1" t="s">
        <v>1740</v>
      </c>
      <c r="O305" s="1" t="str" cm="1">
        <f t="array" ref="O305">IF(N305&lt;&gt;"NtApp",_xlfn.REGEXEXTRACT(N305,"\d+(?=p)"),"NtApp")</f>
        <v>NtApp</v>
      </c>
      <c r="P305" s="1" t="s">
        <v>1740</v>
      </c>
      <c r="Q305" s="1" t="b">
        <f t="shared" si="11"/>
        <v>0</v>
      </c>
      <c r="R305" s="1" t="s">
        <v>1167</v>
      </c>
      <c r="S305" s="1" t="s">
        <v>1167</v>
      </c>
      <c r="T305" s="1">
        <v>0</v>
      </c>
    </row>
    <row r="306" spans="1:20" ht="30" x14ac:dyDescent="0.25">
      <c r="A306" s="1" t="str">
        <f t="shared" si="8"/>
        <v>Pending</v>
      </c>
      <c r="B306" s="1" t="s">
        <v>682</v>
      </c>
      <c r="C306" s="1">
        <v>47</v>
      </c>
      <c r="D306" s="1" t="s">
        <v>573</v>
      </c>
      <c r="E306" s="1" t="s">
        <v>711</v>
      </c>
      <c r="F306" s="1" t="s">
        <v>53</v>
      </c>
      <c r="G306" s="1" t="s">
        <v>1665</v>
      </c>
      <c r="H306" s="1"/>
      <c r="I306" s="1"/>
      <c r="J306" s="1"/>
      <c r="K306" s="1" t="s">
        <v>733</v>
      </c>
      <c r="L306" s="1" t="str" cm="1">
        <f t="array" ref="L306">_xlfn.REGEXEXTRACT(B306,"(?&lt;=//)[^/]+")</f>
        <v>hcbdsm.com</v>
      </c>
      <c r="M306" s="1" t="s">
        <v>457</v>
      </c>
      <c r="N306" s="1" t="s">
        <v>1740</v>
      </c>
      <c r="O306" s="1" t="str" cm="1">
        <f t="array" ref="O306">IF(N306&lt;&gt;"NtApp",_xlfn.REGEXEXTRACT(N306,"\d+(?=p)"),"NtApp")</f>
        <v>NtApp</v>
      </c>
      <c r="P306" s="1" t="s">
        <v>1740</v>
      </c>
      <c r="Q306" s="1" t="b">
        <f t="shared" si="11"/>
        <v>0</v>
      </c>
      <c r="R306" s="1" t="s">
        <v>1664</v>
      </c>
      <c r="S306" s="1" t="s">
        <v>1663</v>
      </c>
      <c r="T306" s="1">
        <v>6</v>
      </c>
    </row>
    <row r="307" spans="1:20" ht="45" x14ac:dyDescent="0.25">
      <c r="A307" s="1" t="str">
        <f t="shared" si="8"/>
        <v>Pending</v>
      </c>
      <c r="B307" s="1" t="s">
        <v>2067</v>
      </c>
      <c r="C307" s="1">
        <v>47</v>
      </c>
      <c r="D307" s="1" t="s">
        <v>573</v>
      </c>
      <c r="E307" s="1" t="s">
        <v>348</v>
      </c>
      <c r="F307" s="1" t="s">
        <v>53</v>
      </c>
      <c r="G307" s="1" t="s">
        <v>735</v>
      </c>
      <c r="H307" s="1"/>
      <c r="I307" s="1"/>
      <c r="J307" s="1"/>
      <c r="K307" s="1"/>
      <c r="L307" s="1" t="str" cm="1">
        <f t="array" ref="L307">_xlfn.REGEXEXTRACT(B307,"(?&lt;=//)[^/]+")</f>
        <v>hcbdsm.com</v>
      </c>
      <c r="M307" s="1" t="s">
        <v>457</v>
      </c>
      <c r="N307" s="1" t="s">
        <v>1740</v>
      </c>
      <c r="O307" s="1" t="str" cm="1">
        <f t="array" ref="O307">IF(N307&lt;&gt;"NtApp",_xlfn.REGEXEXTRACT(N307,"\d+(?=p)"),"NtApp")</f>
        <v>NtApp</v>
      </c>
      <c r="P307" s="1" t="s">
        <v>1740</v>
      </c>
      <c r="Q307" s="1" t="b">
        <f t="shared" si="11"/>
        <v>0</v>
      </c>
      <c r="R307" s="1" t="s">
        <v>1903</v>
      </c>
      <c r="S307" s="1" t="s">
        <v>1904</v>
      </c>
      <c r="T307" s="1">
        <v>4</v>
      </c>
    </row>
    <row r="308" spans="1:20" ht="30" x14ac:dyDescent="0.25">
      <c r="A308" s="1" t="str">
        <f t="shared" si="8"/>
        <v>Pending</v>
      </c>
      <c r="B308" s="1" t="s">
        <v>1075</v>
      </c>
      <c r="C308" s="1">
        <v>47</v>
      </c>
      <c r="D308" s="1" t="s">
        <v>577</v>
      </c>
      <c r="E308" s="1" t="s">
        <v>1076</v>
      </c>
      <c r="F308" s="1" t="s">
        <v>53</v>
      </c>
      <c r="G308" s="1"/>
      <c r="H308" s="1" t="s">
        <v>2007</v>
      </c>
      <c r="I308" s="1"/>
      <c r="J308" s="1"/>
      <c r="K308" s="1"/>
      <c r="L308" s="1" t="str" cm="1">
        <f t="array" ref="L308">_xlfn.REGEXEXTRACT(B308,"(?&lt;=//)[^/]+")</f>
        <v>bdsmstreak.com</v>
      </c>
      <c r="M308" s="1" t="s">
        <v>457</v>
      </c>
      <c r="N308" s="1" t="s">
        <v>1740</v>
      </c>
      <c r="O308" s="1" t="str" cm="1">
        <f t="array" ref="O308">IF(N308&lt;&gt;"NtApp",_xlfn.REGEXEXTRACT(N308,"\d+(?=p)"),"NtApp")</f>
        <v>NtApp</v>
      </c>
      <c r="P308" s="1" t="s">
        <v>1740</v>
      </c>
      <c r="Q308" s="1" t="b">
        <f t="shared" si="11"/>
        <v>0</v>
      </c>
      <c r="R308" s="1" t="s">
        <v>1600</v>
      </c>
      <c r="S308" s="1" t="s">
        <v>1599</v>
      </c>
      <c r="T308" s="1">
        <v>3</v>
      </c>
    </row>
    <row r="309" spans="1:20" ht="60" x14ac:dyDescent="0.25">
      <c r="A309" s="1" t="str">
        <f t="shared" si="8"/>
        <v>Pending</v>
      </c>
      <c r="B309" s="1" t="s">
        <v>920</v>
      </c>
      <c r="C309" s="1">
        <v>47</v>
      </c>
      <c r="D309" s="1" t="s">
        <v>1297</v>
      </c>
      <c r="E309" s="1" t="s">
        <v>921</v>
      </c>
      <c r="F309" s="1" t="s">
        <v>53</v>
      </c>
      <c r="G309" s="1" t="s">
        <v>733</v>
      </c>
      <c r="H309" s="1" t="s">
        <v>55</v>
      </c>
      <c r="I309" s="1"/>
      <c r="J309" s="1"/>
      <c r="K309" s="1"/>
      <c r="L309" s="1" t="str" cm="1">
        <f t="array" ref="L309">_xlfn.REGEXEXTRACT(B309,"(?&lt;=//)[^/]+")</f>
        <v>bdsmstreak.com</v>
      </c>
      <c r="M309" s="1" t="s">
        <v>457</v>
      </c>
      <c r="N309" s="1" t="s">
        <v>1740</v>
      </c>
      <c r="O309" s="1" t="str" cm="1">
        <f t="array" ref="O309">IF(N309&lt;&gt;"NtApp",_xlfn.REGEXEXTRACT(N309,"\d+(?=p)"),"NtApp")</f>
        <v>NtApp</v>
      </c>
      <c r="P309" s="1" t="s">
        <v>1740</v>
      </c>
      <c r="Q309" s="1" t="b">
        <f t="shared" si="11"/>
        <v>0</v>
      </c>
      <c r="R309" s="1" t="s">
        <v>1465</v>
      </c>
      <c r="S309" s="1" t="s">
        <v>1463</v>
      </c>
      <c r="T309" s="1">
        <v>1</v>
      </c>
    </row>
    <row r="310" spans="1:20" ht="30" x14ac:dyDescent="0.25">
      <c r="A310" s="1" t="str">
        <f t="shared" si="8"/>
        <v>Pending</v>
      </c>
      <c r="B310" s="1" t="s">
        <v>1371</v>
      </c>
      <c r="C310" s="1">
        <v>47</v>
      </c>
      <c r="D310" s="1" t="s">
        <v>569</v>
      </c>
      <c r="E310" s="1" t="s">
        <v>113</v>
      </c>
      <c r="F310" s="1" t="s">
        <v>53</v>
      </c>
      <c r="G310" s="1" t="s">
        <v>2230</v>
      </c>
      <c r="H310" s="1" t="s">
        <v>2046</v>
      </c>
      <c r="I310" s="1"/>
      <c r="J310" s="1"/>
      <c r="K310" s="1" t="s">
        <v>548</v>
      </c>
      <c r="L310" s="1" t="str" cm="1">
        <f t="array" ref="L310">_xlfn.REGEXEXTRACT(B310,"(?&lt;=//)[^/]+")</f>
        <v>bdsmstreak.com</v>
      </c>
      <c r="M310" s="1" t="s">
        <v>457</v>
      </c>
      <c r="N310" s="1" t="s">
        <v>1740</v>
      </c>
      <c r="O310" s="1" t="str" cm="1">
        <f t="array" ref="O310">IF(N310&lt;&gt;"NtApp",_xlfn.REGEXEXTRACT(N310,"\d+(?=p)"),"NtApp")</f>
        <v>NtApp</v>
      </c>
      <c r="P310" s="1" t="s">
        <v>1740</v>
      </c>
      <c r="Q310" s="1" t="b">
        <f t="shared" si="11"/>
        <v>0</v>
      </c>
      <c r="R310" s="1" t="s">
        <v>1370</v>
      </c>
      <c r="S310" s="1" t="s">
        <v>1372</v>
      </c>
      <c r="T310" s="1">
        <v>0</v>
      </c>
    </row>
    <row r="311" spans="1:20" ht="45" x14ac:dyDescent="0.25">
      <c r="A311" s="1" t="str">
        <f t="shared" si="8"/>
        <v>Pending</v>
      </c>
      <c r="B311" s="1" t="s">
        <v>753</v>
      </c>
      <c r="C311" s="1">
        <v>47</v>
      </c>
      <c r="D311" s="1" t="s">
        <v>1290</v>
      </c>
      <c r="E311" s="1" t="s">
        <v>766</v>
      </c>
      <c r="F311" s="1" t="s">
        <v>53</v>
      </c>
      <c r="G311" s="1"/>
      <c r="H311" s="1"/>
      <c r="I311" s="1"/>
      <c r="J311" s="1"/>
      <c r="K311" s="1" t="s">
        <v>772</v>
      </c>
      <c r="L311" s="1" t="str" cm="1">
        <f t="array" ref="L311">_xlfn.REGEXEXTRACT(B311,"(?&lt;=//)[^/]+")</f>
        <v>x-x-x.tube</v>
      </c>
      <c r="M311" s="1" t="s">
        <v>457</v>
      </c>
      <c r="N311" s="1" t="s">
        <v>1740</v>
      </c>
      <c r="O311" s="1" t="str" cm="1">
        <f t="array" ref="O311">IF(N311&lt;&gt;"NtApp",_xlfn.REGEXEXTRACT(N311,"\d+(?=p)"),"NtApp")</f>
        <v>NtApp</v>
      </c>
      <c r="P311" s="1" t="s">
        <v>1740</v>
      </c>
      <c r="Q311" s="1" t="b">
        <f t="shared" si="11"/>
        <v>0</v>
      </c>
      <c r="R311" s="1" t="s">
        <v>1456</v>
      </c>
      <c r="S311" s="1" t="s">
        <v>1854</v>
      </c>
      <c r="T311" s="1">
        <v>0</v>
      </c>
    </row>
    <row r="312" spans="1:20" ht="30" x14ac:dyDescent="0.25">
      <c r="A312" s="1" t="str">
        <f t="shared" si="8"/>
        <v>Pending</v>
      </c>
      <c r="B312" s="1" t="s">
        <v>681</v>
      </c>
      <c r="C312" s="1">
        <v>47</v>
      </c>
      <c r="D312" s="1" t="s">
        <v>702</v>
      </c>
      <c r="E312" s="1" t="s">
        <v>710</v>
      </c>
      <c r="F312" s="1" t="s">
        <v>53</v>
      </c>
      <c r="G312" s="1"/>
      <c r="H312" s="1"/>
      <c r="I312" s="1"/>
      <c r="J312" s="1"/>
      <c r="K312" s="1"/>
      <c r="L312" s="1" t="str" cm="1">
        <f t="array" ref="L312">_xlfn.REGEXEXTRACT(B312,"(?&lt;=//)[^/]+")</f>
        <v>bdsmstreak.com</v>
      </c>
      <c r="M312" s="1" t="s">
        <v>457</v>
      </c>
      <c r="N312" s="1" t="s">
        <v>1740</v>
      </c>
      <c r="O312" s="1" t="str" cm="1">
        <f t="array" ref="O312">IF(N312&lt;&gt;"NtApp",_xlfn.REGEXEXTRACT(N312,"\d+(?=p)"),"NtApp")</f>
        <v>NtApp</v>
      </c>
      <c r="P312" s="1" t="s">
        <v>1740</v>
      </c>
      <c r="Q312" s="1" t="b">
        <f t="shared" si="11"/>
        <v>0</v>
      </c>
      <c r="R312" s="1" t="s">
        <v>1642</v>
      </c>
      <c r="S312" s="1" t="s">
        <v>1641</v>
      </c>
      <c r="T312" s="1">
        <v>0</v>
      </c>
    </row>
    <row r="313" spans="1:20" ht="45" x14ac:dyDescent="0.25">
      <c r="A313" s="1" t="str">
        <f t="shared" si="8"/>
        <v>Pending</v>
      </c>
      <c r="B313" s="1" t="s">
        <v>683</v>
      </c>
      <c r="C313" s="1">
        <v>47</v>
      </c>
      <c r="D313" s="1" t="s">
        <v>573</v>
      </c>
      <c r="E313" s="1" t="s">
        <v>712</v>
      </c>
      <c r="F313" s="1" t="s">
        <v>53</v>
      </c>
      <c r="G313" s="1"/>
      <c r="H313" s="1"/>
      <c r="I313" s="1"/>
      <c r="J313" s="1"/>
      <c r="K313" s="1" t="s">
        <v>582</v>
      </c>
      <c r="L313" s="1" t="str" cm="1">
        <f t="array" ref="L313">_xlfn.REGEXEXTRACT(B313,"(?&lt;=//)[^/]+")</f>
        <v>hcbdsm.com</v>
      </c>
      <c r="M313" s="1" t="s">
        <v>457</v>
      </c>
      <c r="N313" s="1" t="s">
        <v>1740</v>
      </c>
      <c r="O313" s="1" t="str" cm="1">
        <f t="array" ref="O313">IF(N313&lt;&gt;"NtApp",_xlfn.REGEXEXTRACT(N313,"\d+(?=p)"),"NtApp")</f>
        <v>NtApp</v>
      </c>
      <c r="P313" s="1" t="s">
        <v>1740</v>
      </c>
      <c r="Q313" s="1" t="b">
        <f t="shared" si="11"/>
        <v>0</v>
      </c>
      <c r="R313" s="1" t="s">
        <v>1901</v>
      </c>
      <c r="S313" s="1" t="s">
        <v>1902</v>
      </c>
      <c r="T313" s="1">
        <v>0</v>
      </c>
    </row>
    <row r="314" spans="1:20" ht="30" x14ac:dyDescent="0.25">
      <c r="A314" s="1" t="str">
        <f t="shared" si="8"/>
        <v>Pending</v>
      </c>
      <c r="B314" s="1" t="s">
        <v>841</v>
      </c>
      <c r="C314" s="1">
        <v>47</v>
      </c>
      <c r="D314" s="1" t="s">
        <v>573</v>
      </c>
      <c r="E314" s="1" t="s">
        <v>842</v>
      </c>
      <c r="F314" s="1" t="s">
        <v>53</v>
      </c>
      <c r="G314" s="1" t="s">
        <v>2144</v>
      </c>
      <c r="H314" s="1"/>
      <c r="I314" s="1"/>
      <c r="J314" s="1"/>
      <c r="K314" s="1" t="s">
        <v>843</v>
      </c>
      <c r="L314" s="1" t="str" cm="1">
        <f t="array" ref="L314">_xlfn.REGEXEXTRACT(B314,"(?&lt;=//)[^/]+")</f>
        <v>bdsmstreak.com</v>
      </c>
      <c r="M314" s="1" t="s">
        <v>457</v>
      </c>
      <c r="N314" s="1" t="s">
        <v>1740</v>
      </c>
      <c r="O314" s="1" t="str" cm="1">
        <f t="array" ref="O314">IF(N314&lt;&gt;"NtApp",_xlfn.REGEXEXTRACT(N314,"\d+(?=p)"),"NtApp")</f>
        <v>NtApp</v>
      </c>
      <c r="P314" s="1" t="s">
        <v>1740</v>
      </c>
      <c r="Q314" s="1" t="b">
        <f t="shared" si="11"/>
        <v>0</v>
      </c>
      <c r="R314" s="1" t="s">
        <v>1666</v>
      </c>
      <c r="S314" s="1" t="s">
        <v>1666</v>
      </c>
      <c r="T314" s="1">
        <v>0</v>
      </c>
    </row>
    <row r="315" spans="1:20" x14ac:dyDescent="0.25">
      <c r="A315" s="1" t="str">
        <f t="shared" si="8"/>
        <v>Pending</v>
      </c>
      <c r="B315" s="1" t="s">
        <v>944</v>
      </c>
      <c r="C315" s="1">
        <v>47</v>
      </c>
      <c r="D315" s="1" t="s">
        <v>571</v>
      </c>
      <c r="E315" s="1" t="s">
        <v>945</v>
      </c>
      <c r="F315" s="1" t="s">
        <v>54</v>
      </c>
      <c r="G315" s="1"/>
      <c r="H315" s="1"/>
      <c r="I315" s="1"/>
      <c r="J315" s="1"/>
      <c r="K315" s="1"/>
      <c r="L315" s="1" t="str" cm="1">
        <f t="array" ref="L315">_xlfn.REGEXEXTRACT(B315,"(?&lt;=//)[^/]+")</f>
        <v>www.kink.com</v>
      </c>
      <c r="M315" s="1" t="s">
        <v>457</v>
      </c>
      <c r="N315" s="1" t="s">
        <v>1740</v>
      </c>
      <c r="O315" s="1" t="str" cm="1">
        <f t="array" ref="O315">IF(N315&lt;&gt;"NtApp",_xlfn.REGEXEXTRACT(N315,"\d+(?=p)"),"NtApp")</f>
        <v>NtApp</v>
      </c>
      <c r="P315" s="1" t="s">
        <v>1740</v>
      </c>
      <c r="Q315" s="1" t="b">
        <f t="shared" ref="Q315:Q337" si="12">ISNUMBER(SEARCH(",",E315))</f>
        <v>1</v>
      </c>
      <c r="R315" s="1" t="s">
        <v>1159</v>
      </c>
      <c r="S315" s="1" t="s">
        <v>1159</v>
      </c>
      <c r="T315" s="1">
        <v>0</v>
      </c>
    </row>
    <row r="316" spans="1:20" ht="30" x14ac:dyDescent="0.25">
      <c r="A316" s="1" t="str">
        <f t="shared" si="8"/>
        <v>Pending</v>
      </c>
      <c r="B316" s="1" t="s">
        <v>1024</v>
      </c>
      <c r="C316" s="1">
        <v>48</v>
      </c>
      <c r="D316" s="1" t="s">
        <v>577</v>
      </c>
      <c r="E316" s="1" t="s">
        <v>1025</v>
      </c>
      <c r="F316" s="1" t="s">
        <v>53</v>
      </c>
      <c r="G316" s="1" t="s">
        <v>793</v>
      </c>
      <c r="H316" s="1" t="s">
        <v>1767</v>
      </c>
      <c r="I316" s="1"/>
      <c r="J316" s="1"/>
      <c r="K316" s="1"/>
      <c r="L316" s="1" t="str" cm="1">
        <f t="array" ref="L316">_xlfn.REGEXEXTRACT(B316,"(?&lt;=//)[^/]+")</f>
        <v>hcbdsm.com</v>
      </c>
      <c r="M316" s="1" t="s">
        <v>457</v>
      </c>
      <c r="N316" s="1" t="s">
        <v>1740</v>
      </c>
      <c r="O316" s="1" t="str" cm="1">
        <f t="array" ref="O316">IF(N316&lt;&gt;"NtApp",_xlfn.REGEXEXTRACT(N316,"\d+(?=p)"),"NtApp")</f>
        <v>NtApp</v>
      </c>
      <c r="P316" s="1" t="s">
        <v>1740</v>
      </c>
      <c r="Q316" s="1" t="b">
        <f t="shared" si="12"/>
        <v>1</v>
      </c>
      <c r="R316" s="1" t="s">
        <v>1603</v>
      </c>
      <c r="S316" s="1" t="s">
        <v>1603</v>
      </c>
      <c r="T316" s="1">
        <v>2</v>
      </c>
    </row>
    <row r="317" spans="1:20" x14ac:dyDescent="0.25">
      <c r="A317" s="1" t="str">
        <f t="shared" si="8"/>
        <v>Pending</v>
      </c>
      <c r="B317" s="1" t="s">
        <v>1092</v>
      </c>
      <c r="C317" s="1">
        <v>48</v>
      </c>
      <c r="D317" s="1" t="s">
        <v>577</v>
      </c>
      <c r="E317" s="1" t="s">
        <v>562</v>
      </c>
      <c r="F317" s="1" t="s">
        <v>53</v>
      </c>
      <c r="G317" s="1"/>
      <c r="H317" s="1" t="s">
        <v>734</v>
      </c>
      <c r="I317" s="1"/>
      <c r="J317" s="1"/>
      <c r="K317" s="1"/>
      <c r="L317" s="1" t="str" cm="1">
        <f t="array" ref="L317">_xlfn.REGEXEXTRACT(B317,"(?&lt;=//)[^/]+")</f>
        <v>bdsmstreak.com</v>
      </c>
      <c r="M317" s="1" t="s">
        <v>457</v>
      </c>
      <c r="N317" s="1" t="s">
        <v>1740</v>
      </c>
      <c r="O317" s="1" t="str" cm="1">
        <f t="array" ref="O317">IF(N317&lt;&gt;"NtApp",_xlfn.REGEXEXTRACT(N317,"\d+(?=p)"),"NtApp")</f>
        <v>NtApp</v>
      </c>
      <c r="P317" s="1" t="s">
        <v>1740</v>
      </c>
      <c r="Q317" s="1" t="b">
        <f t="shared" si="12"/>
        <v>0</v>
      </c>
      <c r="R317" s="1" t="s">
        <v>1604</v>
      </c>
      <c r="S317" s="1" t="s">
        <v>1491</v>
      </c>
      <c r="T317" s="1">
        <v>2</v>
      </c>
    </row>
    <row r="318" spans="1:20" ht="45" x14ac:dyDescent="0.25">
      <c r="A318" s="1" t="str">
        <f t="shared" si="8"/>
        <v>Pending</v>
      </c>
      <c r="B318" s="1" t="s">
        <v>603</v>
      </c>
      <c r="C318" s="1">
        <v>48</v>
      </c>
      <c r="D318" s="1" t="s">
        <v>577</v>
      </c>
      <c r="E318" s="1" t="s">
        <v>604</v>
      </c>
      <c r="F318" s="1" t="s">
        <v>53</v>
      </c>
      <c r="G318" s="1"/>
      <c r="H318" s="1"/>
      <c r="I318" s="1"/>
      <c r="J318" s="1"/>
      <c r="K318" s="1" t="s">
        <v>605</v>
      </c>
      <c r="L318" s="1" t="str" cm="1">
        <f t="array" ref="L318">_xlfn.REGEXEXTRACT(B318,"(?&lt;=//)[^/]+")</f>
        <v>bdsmstreak.com</v>
      </c>
      <c r="M318" s="1" t="s">
        <v>457</v>
      </c>
      <c r="N318" s="1" t="s">
        <v>1740</v>
      </c>
      <c r="O318" s="1" t="str" cm="1">
        <f t="array" ref="O318">IF(N318&lt;&gt;"NtApp",_xlfn.REGEXEXTRACT(N318,"\d+(?=p)"),"NtApp")</f>
        <v>NtApp</v>
      </c>
      <c r="P318" s="1" t="s">
        <v>1740</v>
      </c>
      <c r="Q318" s="1" t="b">
        <f t="shared" si="12"/>
        <v>0</v>
      </c>
      <c r="R318" s="1" t="s">
        <v>1602</v>
      </c>
      <c r="S318" s="1" t="s">
        <v>1601</v>
      </c>
      <c r="T318" s="1">
        <v>0</v>
      </c>
    </row>
    <row r="319" spans="1:20" ht="30" x14ac:dyDescent="0.25">
      <c r="A319" s="1" t="str">
        <f t="shared" si="8"/>
        <v>Pending</v>
      </c>
      <c r="B319" s="1" t="s">
        <v>1054</v>
      </c>
      <c r="C319" s="1">
        <v>48</v>
      </c>
      <c r="D319" s="1" t="s">
        <v>577</v>
      </c>
      <c r="E319" s="1" t="s">
        <v>1055</v>
      </c>
      <c r="F319" s="1" t="s">
        <v>53</v>
      </c>
      <c r="G319" s="1"/>
      <c r="H319" s="1"/>
      <c r="I319" s="1"/>
      <c r="J319" s="1"/>
      <c r="K319" s="1"/>
      <c r="L319" s="1" t="str" cm="1">
        <f t="array" ref="L319">_xlfn.REGEXEXTRACT(B319,"(?&lt;=//)[^/]+")</f>
        <v>bdsmstreak.com</v>
      </c>
      <c r="M319" s="1" t="s">
        <v>457</v>
      </c>
      <c r="N319" s="1" t="s">
        <v>1740</v>
      </c>
      <c r="O319" s="1" t="str" cm="1">
        <f t="array" ref="O319">IF(N319&lt;&gt;"NtApp",_xlfn.REGEXEXTRACT(N319,"\d+(?=p)"),"NtApp")</f>
        <v>NtApp</v>
      </c>
      <c r="P319" s="1" t="s">
        <v>1740</v>
      </c>
      <c r="Q319" s="1" t="b">
        <f t="shared" si="12"/>
        <v>0</v>
      </c>
      <c r="R319" s="1" t="s">
        <v>1605</v>
      </c>
      <c r="S319" s="1" t="s">
        <v>1605</v>
      </c>
      <c r="T319" s="1">
        <v>0</v>
      </c>
    </row>
    <row r="320" spans="1:20" ht="30" x14ac:dyDescent="0.25">
      <c r="A320" s="1" t="str">
        <f t="shared" si="8"/>
        <v>Pending</v>
      </c>
      <c r="B320" s="1" t="s">
        <v>1016</v>
      </c>
      <c r="C320" s="1">
        <v>48</v>
      </c>
      <c r="D320" s="1" t="s">
        <v>571</v>
      </c>
      <c r="E320" s="1" t="s">
        <v>1770</v>
      </c>
      <c r="F320" s="1" t="s">
        <v>54</v>
      </c>
      <c r="G320" s="1" t="s">
        <v>802</v>
      </c>
      <c r="H320" s="1"/>
      <c r="I320" s="1"/>
      <c r="J320" s="1"/>
      <c r="K320" s="1"/>
      <c r="L320" s="1" t="str" cm="1">
        <f t="array" ref="L320">_xlfn.REGEXEXTRACT(B320,"(?&lt;=//)[^/]+")</f>
        <v>bdsmstreak.com</v>
      </c>
      <c r="M320" s="1" t="s">
        <v>457</v>
      </c>
      <c r="N320" s="1" t="s">
        <v>1740</v>
      </c>
      <c r="O320" s="1" t="str" cm="1">
        <f t="array" ref="O320">IF(N320&lt;&gt;"NtApp",_xlfn.REGEXEXTRACT(N320,"\d+(?=p)"),"NtApp")</f>
        <v>NtApp</v>
      </c>
      <c r="P320" s="1" t="s">
        <v>1740</v>
      </c>
      <c r="Q320" s="1" t="b">
        <f t="shared" si="12"/>
        <v>1</v>
      </c>
      <c r="R320" s="1" t="s">
        <v>1556</v>
      </c>
      <c r="S320" s="1" t="s">
        <v>1556</v>
      </c>
      <c r="T320" s="1">
        <v>0</v>
      </c>
    </row>
    <row r="321" spans="1:20" ht="30" x14ac:dyDescent="0.25">
      <c r="A321" s="1" t="str">
        <f t="shared" si="8"/>
        <v>Pending</v>
      </c>
      <c r="B321" s="1" t="s">
        <v>684</v>
      </c>
      <c r="C321" s="1">
        <v>48</v>
      </c>
      <c r="D321" s="1" t="s">
        <v>572</v>
      </c>
      <c r="E321" s="1" t="s">
        <v>713</v>
      </c>
      <c r="F321" s="1" t="s">
        <v>54</v>
      </c>
      <c r="G321" s="1" t="s">
        <v>802</v>
      </c>
      <c r="H321" s="1"/>
      <c r="I321" s="1"/>
      <c r="J321" s="1"/>
      <c r="K321" s="1" t="s">
        <v>733</v>
      </c>
      <c r="L321" s="1" t="str" cm="1">
        <f t="array" ref="L321">_xlfn.REGEXEXTRACT(B321,"(?&lt;=//)[^/]+")</f>
        <v>hcbdsm.com</v>
      </c>
      <c r="M321" s="1" t="s">
        <v>457</v>
      </c>
      <c r="N321" s="1" t="s">
        <v>1740</v>
      </c>
      <c r="O321" s="1" t="str" cm="1">
        <f t="array" ref="O321">IF(N321&lt;&gt;"NtApp",_xlfn.REGEXEXTRACT(N321,"\d+(?=p)"),"NtApp")</f>
        <v>NtApp</v>
      </c>
      <c r="P321" s="1" t="s">
        <v>1740</v>
      </c>
      <c r="Q321" s="1" t="b">
        <f t="shared" si="12"/>
        <v>1</v>
      </c>
      <c r="R321" s="1" t="s">
        <v>1571</v>
      </c>
      <c r="S321" s="1" t="s">
        <v>1571</v>
      </c>
      <c r="T321" s="1">
        <v>0</v>
      </c>
    </row>
    <row r="322" spans="1:20" ht="30" x14ac:dyDescent="0.25">
      <c r="A322" s="1" t="str">
        <f t="shared" ref="A322:A385" si="13">IF(ISBLANK(I322)=TRUE,"Pending","Done")</f>
        <v>Pending</v>
      </c>
      <c r="B322" s="1" t="s">
        <v>1606</v>
      </c>
      <c r="C322" s="1">
        <v>49</v>
      </c>
      <c r="D322" s="1" t="s">
        <v>577</v>
      </c>
      <c r="E322" s="1" t="s">
        <v>714</v>
      </c>
      <c r="F322" s="1" t="s">
        <v>53</v>
      </c>
      <c r="G322" s="1"/>
      <c r="H322" s="1"/>
      <c r="I322" s="1"/>
      <c r="J322" s="1"/>
      <c r="K322" s="1"/>
      <c r="L322" s="1" t="str" cm="1">
        <f t="array" ref="L322">_xlfn.REGEXEXTRACT(B322,"(?&lt;=//)[^/]+")</f>
        <v>bdsmstreak.com</v>
      </c>
      <c r="M322" s="1" t="s">
        <v>457</v>
      </c>
      <c r="N322" s="1" t="s">
        <v>1740</v>
      </c>
      <c r="O322" s="1" t="str" cm="1">
        <f t="array" ref="O322">IF(N322&lt;&gt;"NtApp",_xlfn.REGEXEXTRACT(N322,"\d+(?=p)"),"NtApp")</f>
        <v>NtApp</v>
      </c>
      <c r="P322" s="1" t="s">
        <v>1740</v>
      </c>
      <c r="Q322" s="1" t="b">
        <f t="shared" si="12"/>
        <v>0</v>
      </c>
      <c r="R322" s="1" t="s">
        <v>1608</v>
      </c>
      <c r="S322" s="1" t="s">
        <v>1607</v>
      </c>
      <c r="T322" s="1">
        <v>0</v>
      </c>
    </row>
    <row r="323" spans="1:20" ht="30" x14ac:dyDescent="0.25">
      <c r="A323" s="1" t="str">
        <f t="shared" si="13"/>
        <v>Pending</v>
      </c>
      <c r="B323" s="1" t="s">
        <v>685</v>
      </c>
      <c r="C323" s="1">
        <v>49</v>
      </c>
      <c r="D323" s="1" t="s">
        <v>577</v>
      </c>
      <c r="E323" s="1" t="s">
        <v>707</v>
      </c>
      <c r="F323" s="1" t="s">
        <v>53</v>
      </c>
      <c r="G323" s="1"/>
      <c r="H323" s="1"/>
      <c r="I323" s="1"/>
      <c r="J323" s="1"/>
      <c r="K323" s="1"/>
      <c r="L323" s="1" t="str" cm="1">
        <f t="array" ref="L323">_xlfn.REGEXEXTRACT(B323,"(?&lt;=//)[^/]+")</f>
        <v>hcbdsm.com</v>
      </c>
      <c r="M323" s="1" t="s">
        <v>457</v>
      </c>
      <c r="N323" s="1" t="s">
        <v>1740</v>
      </c>
      <c r="O323" s="1" t="str" cm="1">
        <f t="array" ref="O323">IF(N323&lt;&gt;"NtApp",_xlfn.REGEXEXTRACT(N323,"\d+(?=p)"),"NtApp")</f>
        <v>NtApp</v>
      </c>
      <c r="P323" s="1" t="s">
        <v>1740</v>
      </c>
      <c r="Q323" s="1" t="b">
        <f t="shared" si="12"/>
        <v>0</v>
      </c>
      <c r="R323" s="1" t="s">
        <v>1609</v>
      </c>
      <c r="S323" s="1" t="s">
        <v>1609</v>
      </c>
      <c r="T323" s="1">
        <v>0</v>
      </c>
    </row>
    <row r="324" spans="1:20" ht="45" x14ac:dyDescent="0.25">
      <c r="A324" s="1" t="str">
        <f t="shared" si="13"/>
        <v>Pending</v>
      </c>
      <c r="B324" s="1" t="s">
        <v>686</v>
      </c>
      <c r="C324" s="1">
        <v>49</v>
      </c>
      <c r="D324" s="1" t="s">
        <v>573</v>
      </c>
      <c r="E324" s="1" t="s">
        <v>62</v>
      </c>
      <c r="F324" s="1" t="s">
        <v>53</v>
      </c>
      <c r="G324" s="1"/>
      <c r="H324" s="1"/>
      <c r="I324" s="1"/>
      <c r="J324" s="1"/>
      <c r="K324" s="1" t="s">
        <v>734</v>
      </c>
      <c r="L324" s="1" t="str" cm="1">
        <f t="array" ref="L324">_xlfn.REGEXEXTRACT(B324,"(?&lt;=//)[^/]+")</f>
        <v>hcbdsm.com</v>
      </c>
      <c r="M324" s="1" t="s">
        <v>457</v>
      </c>
      <c r="N324" s="1" t="s">
        <v>1740</v>
      </c>
      <c r="O324" s="1" t="str" cm="1">
        <f t="array" ref="O324">IF(N324&lt;&gt;"NtApp",_xlfn.REGEXEXTRACT(N324,"\d+(?=p)"),"NtApp")</f>
        <v>NtApp</v>
      </c>
      <c r="P324" s="1" t="s">
        <v>1740</v>
      </c>
      <c r="Q324" s="1" t="b">
        <f t="shared" si="12"/>
        <v>0</v>
      </c>
      <c r="R324" s="1" t="s">
        <v>1668</v>
      </c>
      <c r="S324" s="1" t="s">
        <v>1667</v>
      </c>
      <c r="T324" s="1">
        <v>0</v>
      </c>
    </row>
    <row r="325" spans="1:20" ht="30" x14ac:dyDescent="0.25">
      <c r="A325" s="1" t="str">
        <f t="shared" si="13"/>
        <v>Pending</v>
      </c>
      <c r="B325" s="1" t="s">
        <v>606</v>
      </c>
      <c r="C325" s="1">
        <v>49</v>
      </c>
      <c r="D325" s="1" t="s">
        <v>569</v>
      </c>
      <c r="E325" s="1" t="s">
        <v>607</v>
      </c>
      <c r="F325" s="1" t="s">
        <v>52</v>
      </c>
      <c r="G325" s="1"/>
      <c r="H325" s="1"/>
      <c r="I325" s="1"/>
      <c r="J325" s="1"/>
      <c r="K325" s="1" t="s">
        <v>608</v>
      </c>
      <c r="L325" s="1" t="str" cm="1">
        <f t="array" ref="L325">_xlfn.REGEXEXTRACT(B325,"(?&lt;=//)[^/]+")</f>
        <v>bdsmstreak.com</v>
      </c>
      <c r="M325" s="1" t="s">
        <v>457</v>
      </c>
      <c r="N325" s="1" t="s">
        <v>1740</v>
      </c>
      <c r="O325" s="1" t="str" cm="1">
        <f t="array" ref="O325">IF(N325&lt;&gt;"NtApp",_xlfn.REGEXEXTRACT(N325,"\d+(?=p)"),"NtApp")</f>
        <v>NtApp</v>
      </c>
      <c r="P325" s="1" t="s">
        <v>1740</v>
      </c>
      <c r="Q325" s="1" t="b">
        <f t="shared" si="12"/>
        <v>0</v>
      </c>
      <c r="R325" s="1" t="s">
        <v>1445</v>
      </c>
      <c r="S325" s="1" t="s">
        <v>1444</v>
      </c>
      <c r="T325" s="1">
        <v>0</v>
      </c>
    </row>
    <row r="326" spans="1:20" ht="30" x14ac:dyDescent="0.25">
      <c r="A326" s="1" t="str">
        <f t="shared" si="13"/>
        <v>Pending</v>
      </c>
      <c r="B326" s="1" t="s">
        <v>922</v>
      </c>
      <c r="C326" s="1">
        <v>50</v>
      </c>
      <c r="D326" s="1" t="s">
        <v>846</v>
      </c>
      <c r="E326" s="1" t="s">
        <v>1888</v>
      </c>
      <c r="F326" s="1" t="s">
        <v>54</v>
      </c>
      <c r="G326" s="1" t="s">
        <v>802</v>
      </c>
      <c r="H326" s="1" t="s">
        <v>1944</v>
      </c>
      <c r="I326" s="1"/>
      <c r="J326" s="1"/>
      <c r="K326" s="1"/>
      <c r="L326" s="1" t="str" cm="1">
        <f t="array" ref="L326">_xlfn.REGEXEXTRACT(B326,"(?&lt;=//)[^/]+")</f>
        <v>www.kink.com</v>
      </c>
      <c r="M326" s="1" t="s">
        <v>457</v>
      </c>
      <c r="N326" s="1" t="s">
        <v>1740</v>
      </c>
      <c r="O326" s="1" t="str" cm="1">
        <f t="array" ref="O326">IF(N326&lt;&gt;"NtApp",_xlfn.REGEXEXTRACT(N326,"\d+(?=p)"),"NtApp")</f>
        <v>NtApp</v>
      </c>
      <c r="P326" s="1" t="s">
        <v>1740</v>
      </c>
      <c r="Q326" s="1" t="b">
        <f t="shared" si="12"/>
        <v>1</v>
      </c>
      <c r="R326" s="1" t="s">
        <v>1168</v>
      </c>
      <c r="S326" s="1" t="s">
        <v>1168</v>
      </c>
      <c r="T326" s="1">
        <v>8</v>
      </c>
    </row>
    <row r="327" spans="1:20" ht="30" x14ac:dyDescent="0.25">
      <c r="A327" s="1" t="str">
        <f t="shared" si="13"/>
        <v>Pending</v>
      </c>
      <c r="B327" s="1" t="s">
        <v>1612</v>
      </c>
      <c r="C327" s="1">
        <v>50</v>
      </c>
      <c r="D327" s="1" t="s">
        <v>577</v>
      </c>
      <c r="E327" s="1" t="s">
        <v>919</v>
      </c>
      <c r="F327" s="1" t="s">
        <v>53</v>
      </c>
      <c r="G327" s="1" t="s">
        <v>1755</v>
      </c>
      <c r="H327" s="1" t="s">
        <v>1758</v>
      </c>
      <c r="I327" s="1"/>
      <c r="J327" s="1"/>
      <c r="K327" s="1"/>
      <c r="L327" s="1" t="str" cm="1">
        <f t="array" ref="L327">_xlfn.REGEXEXTRACT(B327,"(?&lt;=//)[^/]+")</f>
        <v>bdsmstreak.com</v>
      </c>
      <c r="M327" s="1" t="s">
        <v>457</v>
      </c>
      <c r="N327" s="1" t="s">
        <v>1740</v>
      </c>
      <c r="O327" s="1" t="str" cm="1">
        <f t="array" ref="O327">IF(N327&lt;&gt;"NtApp",_xlfn.REGEXEXTRACT(N327,"\d+(?=p)"),"NtApp")</f>
        <v>NtApp</v>
      </c>
      <c r="P327" s="1" t="s">
        <v>1740</v>
      </c>
      <c r="Q327" s="1" t="b">
        <f t="shared" si="12"/>
        <v>0</v>
      </c>
      <c r="R327" s="1" t="s">
        <v>1613</v>
      </c>
      <c r="S327" s="1" t="s">
        <v>1614</v>
      </c>
      <c r="T327" s="1">
        <v>6</v>
      </c>
    </row>
    <row r="328" spans="1:20" ht="30" x14ac:dyDescent="0.25">
      <c r="A328" s="1" t="str">
        <f t="shared" si="13"/>
        <v>Pending</v>
      </c>
      <c r="B328" s="1" t="s">
        <v>946</v>
      </c>
      <c r="C328" s="1">
        <v>50</v>
      </c>
      <c r="D328" s="1" t="s">
        <v>577</v>
      </c>
      <c r="E328" s="1" t="s">
        <v>198</v>
      </c>
      <c r="F328" s="1" t="s">
        <v>53</v>
      </c>
      <c r="G328" s="1"/>
      <c r="H328" s="1" t="s">
        <v>1955</v>
      </c>
      <c r="I328" s="1"/>
      <c r="J328" s="1"/>
      <c r="K328" s="1"/>
      <c r="L328" s="1" t="str" cm="1">
        <f t="array" ref="L328">_xlfn.REGEXEXTRACT(B328,"(?&lt;=//)[^/]+")</f>
        <v>hcbdsm.com</v>
      </c>
      <c r="M328" s="1" t="s">
        <v>457</v>
      </c>
      <c r="N328" s="1" t="s">
        <v>1740</v>
      </c>
      <c r="O328" s="1" t="str" cm="1">
        <f t="array" ref="O328">IF(N328&lt;&gt;"NtApp",_xlfn.REGEXEXTRACT(N328,"\d+(?=p)"),"NtApp")</f>
        <v>NtApp</v>
      </c>
      <c r="P328" s="1" t="s">
        <v>1740</v>
      </c>
      <c r="Q328" s="1" t="b">
        <f t="shared" si="12"/>
        <v>0</v>
      </c>
      <c r="R328" s="1" t="s">
        <v>1615</v>
      </c>
      <c r="S328" s="1" t="s">
        <v>1615</v>
      </c>
      <c r="T328" s="1">
        <v>2</v>
      </c>
    </row>
    <row r="329" spans="1:20" ht="30" x14ac:dyDescent="0.25">
      <c r="A329" s="1" t="str">
        <f t="shared" si="13"/>
        <v>Pending</v>
      </c>
      <c r="B329" s="1" t="s">
        <v>687</v>
      </c>
      <c r="C329" s="1">
        <v>50</v>
      </c>
      <c r="D329" s="1" t="s">
        <v>577</v>
      </c>
      <c r="E329" s="1" t="s">
        <v>145</v>
      </c>
      <c r="F329" s="1" t="s">
        <v>53</v>
      </c>
      <c r="G329" s="1"/>
      <c r="H329" s="1"/>
      <c r="I329" s="1"/>
      <c r="J329" s="1"/>
      <c r="K329" s="1"/>
      <c r="L329" s="1" t="str" cm="1">
        <f t="array" ref="L329">_xlfn.REGEXEXTRACT(B329,"(?&lt;=//)[^/]+")</f>
        <v>bdsmstreak.com</v>
      </c>
      <c r="M329" s="1" t="s">
        <v>457</v>
      </c>
      <c r="N329" s="1" t="s">
        <v>1740</v>
      </c>
      <c r="O329" s="1" t="str" cm="1">
        <f t="array" ref="O329">IF(N329&lt;&gt;"NtApp",_xlfn.REGEXEXTRACT(N329,"\d+(?=p)"),"NtApp")</f>
        <v>NtApp</v>
      </c>
      <c r="P329" s="1" t="s">
        <v>1740</v>
      </c>
      <c r="Q329" s="1" t="b">
        <f t="shared" si="12"/>
        <v>0</v>
      </c>
      <c r="R329" s="1" t="s">
        <v>1611</v>
      </c>
      <c r="S329" s="1" t="s">
        <v>1611</v>
      </c>
      <c r="T329" s="1">
        <v>0</v>
      </c>
    </row>
    <row r="330" spans="1:20" ht="30" x14ac:dyDescent="0.25">
      <c r="A330" s="1" t="str">
        <f t="shared" si="13"/>
        <v>Pending</v>
      </c>
      <c r="B330" s="1" t="s">
        <v>1111</v>
      </c>
      <c r="C330" s="1">
        <v>50</v>
      </c>
      <c r="D330" s="1" t="s">
        <v>702</v>
      </c>
      <c r="E330" s="1" t="s">
        <v>1112</v>
      </c>
      <c r="F330" s="1" t="s">
        <v>53</v>
      </c>
      <c r="G330" s="1"/>
      <c r="H330" s="1"/>
      <c r="I330" s="1"/>
      <c r="J330" s="1"/>
      <c r="K330" s="1"/>
      <c r="L330" s="1" t="str" cm="1">
        <f t="array" ref="L330">_xlfn.REGEXEXTRACT(B330,"(?&lt;=//)[^/]+")</f>
        <v>bdsmstreak.com</v>
      </c>
      <c r="M330" s="1" t="s">
        <v>457</v>
      </c>
      <c r="N330" s="1" t="s">
        <v>1740</v>
      </c>
      <c r="O330" s="1" t="str" cm="1">
        <f t="array" ref="O330">IF(N330&lt;&gt;"NtApp",_xlfn.REGEXEXTRACT(N330,"\d+(?=p)"),"NtApp")</f>
        <v>NtApp</v>
      </c>
      <c r="P330" s="1" t="s">
        <v>1740</v>
      </c>
      <c r="Q330" s="1" t="b">
        <f t="shared" si="12"/>
        <v>0</v>
      </c>
      <c r="R330" s="1" t="s">
        <v>1467</v>
      </c>
      <c r="S330" s="1" t="s">
        <v>1467</v>
      </c>
      <c r="T330" s="1">
        <v>0</v>
      </c>
    </row>
    <row r="331" spans="1:20" ht="30" x14ac:dyDescent="0.25">
      <c r="A331" s="1" t="str">
        <f t="shared" si="13"/>
        <v>Pending</v>
      </c>
      <c r="B331" s="1" t="s">
        <v>881</v>
      </c>
      <c r="C331" s="1">
        <v>50</v>
      </c>
      <c r="D331" s="1" t="s">
        <v>573</v>
      </c>
      <c r="E331" s="1" t="s">
        <v>882</v>
      </c>
      <c r="F331" s="1" t="s">
        <v>53</v>
      </c>
      <c r="G331" s="1"/>
      <c r="H331" s="1"/>
      <c r="I331" s="1"/>
      <c r="J331" s="1"/>
      <c r="K331" s="1"/>
      <c r="L331" s="1" t="str" cm="1">
        <f t="array" ref="L331">_xlfn.REGEXEXTRACT(B331,"(?&lt;=//)[^/]+")</f>
        <v>hcbdsm.com</v>
      </c>
      <c r="M331" s="1" t="s">
        <v>457</v>
      </c>
      <c r="N331" s="1" t="s">
        <v>1740</v>
      </c>
      <c r="O331" s="1" t="str" cm="1">
        <f t="array" ref="O331">IF(N331&lt;&gt;"NtApp",_xlfn.REGEXEXTRACT(N331,"\d+(?=p)"),"NtApp")</f>
        <v>NtApp</v>
      </c>
      <c r="P331" s="1" t="s">
        <v>1740</v>
      </c>
      <c r="Q331" s="1" t="b">
        <f t="shared" si="12"/>
        <v>0</v>
      </c>
      <c r="R331" s="1" t="s">
        <v>1671</v>
      </c>
      <c r="S331" s="1" t="s">
        <v>1671</v>
      </c>
      <c r="T331" s="1">
        <v>0</v>
      </c>
    </row>
    <row r="332" spans="1:20" ht="30" x14ac:dyDescent="0.25">
      <c r="A332" s="1" t="str">
        <f t="shared" si="13"/>
        <v>Pending</v>
      </c>
      <c r="B332" s="1" t="s">
        <v>1670</v>
      </c>
      <c r="C332" s="1">
        <v>50</v>
      </c>
      <c r="D332" s="1" t="s">
        <v>573</v>
      </c>
      <c r="E332" s="1" t="s">
        <v>933</v>
      </c>
      <c r="F332" s="1" t="s">
        <v>53</v>
      </c>
      <c r="G332" s="1" t="s">
        <v>793</v>
      </c>
      <c r="H332" s="1"/>
      <c r="I332" s="1"/>
      <c r="J332" s="1"/>
      <c r="K332" s="1"/>
      <c r="L332" s="1" t="str" cm="1">
        <f t="array" ref="L332">_xlfn.REGEXEXTRACT(B332,"(?&lt;=//)[^/]+")</f>
        <v>bdsmstreak.com</v>
      </c>
      <c r="M332" s="1" t="s">
        <v>457</v>
      </c>
      <c r="N332" s="1" t="s">
        <v>1740</v>
      </c>
      <c r="O332" s="1" t="str" cm="1">
        <f t="array" ref="O332">IF(N332&lt;&gt;"NtApp",_xlfn.REGEXEXTRACT(N332,"\d+(?=p)"),"NtApp")</f>
        <v>NtApp</v>
      </c>
      <c r="P332" s="1" t="s">
        <v>1740</v>
      </c>
      <c r="Q332" s="1" t="b">
        <f t="shared" si="12"/>
        <v>1</v>
      </c>
      <c r="R332" s="1" t="s">
        <v>1669</v>
      </c>
      <c r="S332" s="1" t="s">
        <v>1669</v>
      </c>
      <c r="T332" s="1">
        <v>0</v>
      </c>
    </row>
    <row r="333" spans="1:20" ht="30" x14ac:dyDescent="0.25">
      <c r="A333" s="1" t="str">
        <f t="shared" si="13"/>
        <v>Pending</v>
      </c>
      <c r="B333" s="1" t="s">
        <v>865</v>
      </c>
      <c r="C333" s="1">
        <v>50</v>
      </c>
      <c r="D333" s="1" t="s">
        <v>569</v>
      </c>
      <c r="E333" s="1" t="s">
        <v>866</v>
      </c>
      <c r="F333" s="1" t="s">
        <v>53</v>
      </c>
      <c r="G333" s="1"/>
      <c r="H333" s="1"/>
      <c r="I333" s="1"/>
      <c r="J333" s="1"/>
      <c r="K333" s="1"/>
      <c r="L333" s="1" t="str" cm="1">
        <f t="array" ref="L333">_xlfn.REGEXEXTRACT(B333,"(?&lt;=//)[^/]+")</f>
        <v>bdsmstreak.com</v>
      </c>
      <c r="M333" s="1" t="s">
        <v>457</v>
      </c>
      <c r="N333" s="1" t="s">
        <v>1740</v>
      </c>
      <c r="O333" s="1" t="str" cm="1">
        <f t="array" ref="O333">IF(N333&lt;&gt;"NtApp",_xlfn.REGEXEXTRACT(N333,"\d+(?=p)"),"NtApp")</f>
        <v>NtApp</v>
      </c>
      <c r="P333" s="1" t="s">
        <v>1740</v>
      </c>
      <c r="Q333" s="1" t="b">
        <f t="shared" si="12"/>
        <v>0</v>
      </c>
      <c r="R333" s="1" t="s">
        <v>1697</v>
      </c>
      <c r="S333" s="1" t="s">
        <v>1697</v>
      </c>
      <c r="T333" s="1">
        <v>0</v>
      </c>
    </row>
    <row r="334" spans="1:20" ht="30" x14ac:dyDescent="0.25">
      <c r="A334" s="1" t="str">
        <f t="shared" si="13"/>
        <v>Pending</v>
      </c>
      <c r="B334" s="1" t="s">
        <v>610</v>
      </c>
      <c r="C334" s="1">
        <v>50</v>
      </c>
      <c r="D334" s="1" t="s">
        <v>572</v>
      </c>
      <c r="E334" s="1" t="s">
        <v>1932</v>
      </c>
      <c r="F334" s="1" t="s">
        <v>54</v>
      </c>
      <c r="G334" s="1" t="s">
        <v>808</v>
      </c>
      <c r="H334" s="1"/>
      <c r="I334" s="1"/>
      <c r="J334" s="1"/>
      <c r="K334" s="1" t="s">
        <v>609</v>
      </c>
      <c r="L334" s="1" t="str" cm="1">
        <f t="array" ref="L334">_xlfn.REGEXEXTRACT(B334,"(?&lt;=//)[^/]+")</f>
        <v>bdsmstreak.com</v>
      </c>
      <c r="M334" s="1" t="s">
        <v>457</v>
      </c>
      <c r="N334" s="1" t="s">
        <v>1740</v>
      </c>
      <c r="O334" s="1" t="str" cm="1">
        <f t="array" ref="O334">IF(N334&lt;&gt;"NtApp",_xlfn.REGEXEXTRACT(N334,"\d+(?=p)"),"NtApp")</f>
        <v>NtApp</v>
      </c>
      <c r="P334" s="1" t="s">
        <v>1740</v>
      </c>
      <c r="Q334" s="1" t="b">
        <f t="shared" si="12"/>
        <v>1</v>
      </c>
      <c r="R334" s="1" t="s">
        <v>1572</v>
      </c>
      <c r="S334" s="1" t="s">
        <v>1572</v>
      </c>
      <c r="T334" s="1">
        <v>0</v>
      </c>
    </row>
    <row r="335" spans="1:20" ht="30" x14ac:dyDescent="0.25">
      <c r="A335" s="1" t="str">
        <f t="shared" si="13"/>
        <v>Pending</v>
      </c>
      <c r="B335" s="1" t="s">
        <v>938</v>
      </c>
      <c r="C335" s="1">
        <v>51</v>
      </c>
      <c r="D335" s="1" t="s">
        <v>577</v>
      </c>
      <c r="E335" s="1" t="s">
        <v>939</v>
      </c>
      <c r="F335" s="1" t="s">
        <v>53</v>
      </c>
      <c r="G335" s="1" t="s">
        <v>940</v>
      </c>
      <c r="H335" s="1"/>
      <c r="I335" s="1"/>
      <c r="J335" s="1"/>
      <c r="K335" s="1"/>
      <c r="L335" s="1" t="str" cm="1">
        <f t="array" ref="L335">_xlfn.REGEXEXTRACT(B335,"(?&lt;=//)[^/]+")</f>
        <v>hcbdsm.com</v>
      </c>
      <c r="M335" s="1" t="s">
        <v>457</v>
      </c>
      <c r="N335" s="1" t="s">
        <v>1740</v>
      </c>
      <c r="O335" s="1" t="str" cm="1">
        <f t="array" ref="O335">IF(N335&lt;&gt;"NtApp",_xlfn.REGEXEXTRACT(N335,"\d+(?=p)"),"NtApp")</f>
        <v>NtApp</v>
      </c>
      <c r="P335" s="1" t="s">
        <v>1740</v>
      </c>
      <c r="Q335" s="1" t="b">
        <f t="shared" si="12"/>
        <v>0</v>
      </c>
      <c r="R335" s="1" t="s">
        <v>1616</v>
      </c>
      <c r="S335" s="1" t="s">
        <v>1616</v>
      </c>
      <c r="T335" s="1">
        <v>6</v>
      </c>
    </row>
    <row r="336" spans="1:20" ht="30" x14ac:dyDescent="0.25">
      <c r="A336" s="1" t="str">
        <f t="shared" si="13"/>
        <v>Pending</v>
      </c>
      <c r="B336" s="1" t="s">
        <v>755</v>
      </c>
      <c r="C336" s="1">
        <v>51</v>
      </c>
      <c r="D336" s="1" t="s">
        <v>573</v>
      </c>
      <c r="E336" s="1" t="s">
        <v>145</v>
      </c>
      <c r="F336" s="1" t="s">
        <v>53</v>
      </c>
      <c r="G336" s="1"/>
      <c r="H336" s="1" t="s">
        <v>1950</v>
      </c>
      <c r="I336" s="1"/>
      <c r="J336" s="1"/>
      <c r="K336" s="1"/>
      <c r="L336" s="1" t="str" cm="1">
        <f t="array" ref="L336">_xlfn.REGEXEXTRACT(B336,"(?&lt;=//)[^/]+")</f>
        <v>bdsmstreak.com</v>
      </c>
      <c r="M336" s="1" t="s">
        <v>457</v>
      </c>
      <c r="N336" s="1" t="s">
        <v>1740</v>
      </c>
      <c r="O336" s="1" t="str" cm="1">
        <f t="array" ref="O336">IF(N336&lt;&gt;"NtApp",_xlfn.REGEXEXTRACT(N336,"\d+(?=p)"),"NtApp")</f>
        <v>NtApp</v>
      </c>
      <c r="P336" s="1" t="s">
        <v>1740</v>
      </c>
      <c r="Q336" s="1" t="b">
        <f t="shared" si="12"/>
        <v>0</v>
      </c>
      <c r="R336" s="1" t="s">
        <v>1673</v>
      </c>
      <c r="S336" s="1" t="s">
        <v>1672</v>
      </c>
      <c r="T336" s="1">
        <v>6</v>
      </c>
    </row>
    <row r="337" spans="1:20" ht="45" x14ac:dyDescent="0.25">
      <c r="A337" s="1" t="str">
        <f t="shared" si="13"/>
        <v>Pending</v>
      </c>
      <c r="B337" s="1" t="s">
        <v>688</v>
      </c>
      <c r="C337" s="1">
        <v>51</v>
      </c>
      <c r="D337" s="1" t="s">
        <v>577</v>
      </c>
      <c r="E337" s="1" t="s">
        <v>715</v>
      </c>
      <c r="F337" s="1" t="s">
        <v>54</v>
      </c>
      <c r="G337" s="1" t="s">
        <v>803</v>
      </c>
      <c r="H337" s="1"/>
      <c r="I337" s="1"/>
      <c r="J337" s="1"/>
      <c r="K337" s="1" t="s">
        <v>2361</v>
      </c>
      <c r="L337" s="1" t="str" cm="1">
        <f t="array" ref="L337">_xlfn.REGEXEXTRACT(B337,"(?&lt;=//)[^/]+")</f>
        <v>v3.bdsmstreak.com</v>
      </c>
      <c r="M337" s="1" t="s">
        <v>457</v>
      </c>
      <c r="N337" s="1" t="s">
        <v>1740</v>
      </c>
      <c r="O337" s="1" t="str" cm="1">
        <f t="array" ref="O337">IF(N337&lt;&gt;"NtApp",_xlfn.REGEXEXTRACT(N337,"\d+(?=p)"),"NtApp")</f>
        <v>NtApp</v>
      </c>
      <c r="P337" s="1" t="s">
        <v>1740</v>
      </c>
      <c r="Q337" s="1" t="b">
        <f t="shared" si="12"/>
        <v>1</v>
      </c>
      <c r="R337" s="1" t="s">
        <v>1860</v>
      </c>
      <c r="S337" s="1" t="s">
        <v>1860</v>
      </c>
      <c r="T337" s="1">
        <v>0</v>
      </c>
    </row>
    <row r="338" spans="1:20" x14ac:dyDescent="0.25">
      <c r="A338" s="1" t="str">
        <f t="shared" si="13"/>
        <v>Pending</v>
      </c>
      <c r="B338" s="1" t="s">
        <v>2334</v>
      </c>
      <c r="C338" s="1">
        <v>52</v>
      </c>
      <c r="D338" s="1" t="s">
        <v>567</v>
      </c>
      <c r="E338" s="1" t="s">
        <v>778</v>
      </c>
      <c r="F338" s="1" t="s">
        <v>63</v>
      </c>
      <c r="G338" s="1"/>
      <c r="H338" s="1"/>
      <c r="I338" s="1"/>
      <c r="J338" s="1"/>
      <c r="K338" s="1"/>
      <c r="L338" s="1" t="str" cm="1">
        <f t="array" ref="L338">_xlfn.REGEXEXTRACT(B338,"(?&lt;=//)[^/]+")</f>
        <v>www.kink.com</v>
      </c>
      <c r="M338" s="1"/>
      <c r="N338" s="1"/>
      <c r="O338" s="1"/>
      <c r="P338" s="1"/>
      <c r="Q338" s="1"/>
      <c r="R338" s="1" t="s">
        <v>2343</v>
      </c>
      <c r="S338" s="1" t="s">
        <v>2343</v>
      </c>
      <c r="T338" s="1">
        <v>6</v>
      </c>
    </row>
    <row r="339" spans="1:20" x14ac:dyDescent="0.25">
      <c r="A339" s="1" t="str">
        <f t="shared" si="13"/>
        <v>Pending</v>
      </c>
      <c r="B339" s="1" t="s">
        <v>863</v>
      </c>
      <c r="C339" s="1">
        <v>52</v>
      </c>
      <c r="D339" s="1" t="s">
        <v>577</v>
      </c>
      <c r="E339" s="1" t="s">
        <v>864</v>
      </c>
      <c r="F339" s="1" t="s">
        <v>53</v>
      </c>
      <c r="G339" s="1" t="s">
        <v>1756</v>
      </c>
      <c r="H339" s="1" t="s">
        <v>1147</v>
      </c>
      <c r="I339" s="1"/>
      <c r="J339" s="1"/>
      <c r="K339" s="1"/>
      <c r="L339" s="1" t="str" cm="1">
        <f t="array" ref="L339">_xlfn.REGEXEXTRACT(B339,"(?&lt;=//)[^/]+")</f>
        <v>bdsmstreak.com</v>
      </c>
      <c r="M339" s="1" t="s">
        <v>457</v>
      </c>
      <c r="N339" s="1" t="s">
        <v>1740</v>
      </c>
      <c r="O339" s="1" t="str" cm="1">
        <f t="array" ref="O339">IF(N339&lt;&gt;"NtApp",_xlfn.REGEXEXTRACT(N339,"\d+(?=p)"),"NtApp")</f>
        <v>NtApp</v>
      </c>
      <c r="P339" s="1" t="s">
        <v>1740</v>
      </c>
      <c r="Q339" s="1" t="b">
        <f t="shared" ref="Q339:Q354" si="14">ISNUMBER(SEARCH(",",E339))</f>
        <v>0</v>
      </c>
      <c r="R339" s="1" t="s">
        <v>1617</v>
      </c>
      <c r="S339" s="1" t="s">
        <v>1617</v>
      </c>
      <c r="T339" s="1">
        <v>4</v>
      </c>
    </row>
    <row r="340" spans="1:20" ht="30" x14ac:dyDescent="0.25">
      <c r="A340" s="1" t="str">
        <f t="shared" si="13"/>
        <v>Pending</v>
      </c>
      <c r="B340" s="1" t="s">
        <v>910</v>
      </c>
      <c r="C340" s="1">
        <v>52</v>
      </c>
      <c r="D340" s="1" t="s">
        <v>911</v>
      </c>
      <c r="E340" s="1" t="s">
        <v>912</v>
      </c>
      <c r="F340" s="1" t="s">
        <v>54</v>
      </c>
      <c r="G340" s="1" t="s">
        <v>2065</v>
      </c>
      <c r="H340" s="1"/>
      <c r="I340" s="1"/>
      <c r="J340" s="1"/>
      <c r="K340" s="1"/>
      <c r="L340" s="1" t="str" cm="1">
        <f t="array" ref="L340">_xlfn.REGEXEXTRACT(B340,"(?&lt;=//)[^/]+")</f>
        <v>www.twistedfactory.com</v>
      </c>
      <c r="M340" s="1" t="s">
        <v>457</v>
      </c>
      <c r="N340" s="1" t="s">
        <v>1740</v>
      </c>
      <c r="O340" s="1" t="str" cm="1">
        <f t="array" ref="O340">IF(N340&lt;&gt;"NtApp",_xlfn.REGEXEXTRACT(N340,"\d+(?=p)"),"NtApp")</f>
        <v>NtApp</v>
      </c>
      <c r="P340" s="1" t="s">
        <v>1740</v>
      </c>
      <c r="Q340" s="1" t="b">
        <f t="shared" si="14"/>
        <v>1</v>
      </c>
      <c r="R340" s="1" t="s">
        <v>1169</v>
      </c>
      <c r="S340" s="1" t="s">
        <v>1169</v>
      </c>
      <c r="T340" s="1">
        <v>3</v>
      </c>
    </row>
    <row r="341" spans="1:20" ht="30" x14ac:dyDescent="0.25">
      <c r="A341" s="1" t="str">
        <f t="shared" si="13"/>
        <v>Pending</v>
      </c>
      <c r="B341" s="1" t="s">
        <v>947</v>
      </c>
      <c r="C341" s="1">
        <v>52</v>
      </c>
      <c r="D341" s="1" t="s">
        <v>846</v>
      </c>
      <c r="E341" s="1" t="s">
        <v>1889</v>
      </c>
      <c r="F341" s="1" t="s">
        <v>54</v>
      </c>
      <c r="G341" s="1" t="s">
        <v>948</v>
      </c>
      <c r="H341" s="1"/>
      <c r="I341" s="1"/>
      <c r="J341" s="1"/>
      <c r="K341" s="1"/>
      <c r="L341" s="1" t="str" cm="1">
        <f t="array" ref="L341">_xlfn.REGEXEXTRACT(B341,"(?&lt;=//)[^/]+")</f>
        <v>www.kink.com</v>
      </c>
      <c r="M341" s="1" t="s">
        <v>457</v>
      </c>
      <c r="N341" s="1" t="s">
        <v>1740</v>
      </c>
      <c r="O341" s="1" t="str" cm="1">
        <f t="array" ref="O341">IF(N341&lt;&gt;"NtApp",_xlfn.REGEXEXTRACT(N341,"\d+(?=p)"),"NtApp")</f>
        <v>NtApp</v>
      </c>
      <c r="P341" s="1" t="s">
        <v>1740</v>
      </c>
      <c r="Q341" s="1" t="b">
        <f t="shared" si="14"/>
        <v>1</v>
      </c>
      <c r="R341" s="1" t="s">
        <v>1170</v>
      </c>
      <c r="S341" s="1" t="s">
        <v>1170</v>
      </c>
      <c r="T341" s="1">
        <v>3</v>
      </c>
    </row>
    <row r="342" spans="1:20" ht="30" x14ac:dyDescent="0.25">
      <c r="A342" s="1" t="str">
        <f t="shared" si="13"/>
        <v>Pending</v>
      </c>
      <c r="B342" s="1" t="s">
        <v>1095</v>
      </c>
      <c r="C342" s="1">
        <v>52</v>
      </c>
      <c r="D342" s="1" t="s">
        <v>891</v>
      </c>
      <c r="E342" s="1" t="s">
        <v>1096</v>
      </c>
      <c r="F342" s="1" t="s">
        <v>53</v>
      </c>
      <c r="G342" s="1" t="s">
        <v>1097</v>
      </c>
      <c r="H342" s="1"/>
      <c r="I342" s="1"/>
      <c r="J342" s="1"/>
      <c r="K342" s="1"/>
      <c r="L342" s="1" t="str" cm="1">
        <f t="array" ref="L342">_xlfn.REGEXEXTRACT(B342,"(?&lt;=//)[^/]+")</f>
        <v>bdsmstreak.com</v>
      </c>
      <c r="M342" s="1" t="s">
        <v>457</v>
      </c>
      <c r="N342" s="1" t="s">
        <v>1740</v>
      </c>
      <c r="O342" s="1" t="str" cm="1">
        <f t="array" ref="O342">IF(N342&lt;&gt;"NtApp",_xlfn.REGEXEXTRACT(N342,"\d+(?=p)"),"NtApp")</f>
        <v>NtApp</v>
      </c>
      <c r="P342" s="1" t="s">
        <v>1740</v>
      </c>
      <c r="Q342" s="1" t="b">
        <f t="shared" si="14"/>
        <v>0</v>
      </c>
      <c r="R342" s="1" t="s">
        <v>1728</v>
      </c>
      <c r="S342" s="1" t="s">
        <v>1727</v>
      </c>
      <c r="T342" s="1">
        <v>3</v>
      </c>
    </row>
    <row r="343" spans="1:20" ht="30" x14ac:dyDescent="0.25">
      <c r="A343" s="1" t="str">
        <f t="shared" si="13"/>
        <v>Pending</v>
      </c>
      <c r="B343" s="1" t="s">
        <v>1088</v>
      </c>
      <c r="C343" s="1">
        <v>52</v>
      </c>
      <c r="D343" s="1" t="s">
        <v>572</v>
      </c>
      <c r="E343" s="1" t="s">
        <v>1931</v>
      </c>
      <c r="F343" s="1" t="s">
        <v>54</v>
      </c>
      <c r="G343" s="1" t="s">
        <v>808</v>
      </c>
      <c r="H343" s="1"/>
      <c r="I343" s="1"/>
      <c r="J343" s="1"/>
      <c r="K343" s="1"/>
      <c r="L343" s="1" t="str" cm="1">
        <f t="array" ref="L343">_xlfn.REGEXEXTRACT(B343,"(?&lt;=//)[^/]+")</f>
        <v>www.kink.com</v>
      </c>
      <c r="M343" s="1" t="s">
        <v>457</v>
      </c>
      <c r="N343" s="1" t="s">
        <v>1740</v>
      </c>
      <c r="O343" s="1" t="str" cm="1">
        <f t="array" ref="O343">IF(N343&lt;&gt;"NtApp",_xlfn.REGEXEXTRACT(N343,"\d+(?=p)"),"NtApp")</f>
        <v>NtApp</v>
      </c>
      <c r="P343" s="1" t="s">
        <v>1740</v>
      </c>
      <c r="Q343" s="1" t="b">
        <f t="shared" si="14"/>
        <v>1</v>
      </c>
      <c r="R343" s="1" t="s">
        <v>1171</v>
      </c>
      <c r="S343" s="1" t="s">
        <v>1171</v>
      </c>
      <c r="T343" s="1">
        <v>1</v>
      </c>
    </row>
    <row r="344" spans="1:20" ht="30" x14ac:dyDescent="0.25">
      <c r="A344" s="1" t="str">
        <f t="shared" si="13"/>
        <v>Pending</v>
      </c>
      <c r="B344" s="1" t="s">
        <v>970</v>
      </c>
      <c r="C344" s="1">
        <v>53</v>
      </c>
      <c r="D344" s="1" t="s">
        <v>569</v>
      </c>
      <c r="E344" s="1" t="s">
        <v>971</v>
      </c>
      <c r="F344" s="1" t="s">
        <v>53</v>
      </c>
      <c r="G344" s="1" t="s">
        <v>850</v>
      </c>
      <c r="H344" s="1"/>
      <c r="I344" s="1"/>
      <c r="J344" s="1"/>
      <c r="K344" s="1"/>
      <c r="L344" s="1" t="str" cm="1">
        <f t="array" ref="L344">_xlfn.REGEXEXTRACT(B344,"(?&lt;=//)[^/]+")</f>
        <v>bdsmmansion.com</v>
      </c>
      <c r="M344" s="1" t="s">
        <v>457</v>
      </c>
      <c r="N344" s="1" t="s">
        <v>1740</v>
      </c>
      <c r="O344" s="1" t="str" cm="1">
        <f t="array" ref="O344">IF(N344&lt;&gt;"NtApp",_xlfn.REGEXEXTRACT(N344,"\d+(?=p)"),"NtApp")</f>
        <v>NtApp</v>
      </c>
      <c r="P344" s="1" t="s">
        <v>1740</v>
      </c>
      <c r="Q344" s="1" t="b">
        <f t="shared" si="14"/>
        <v>0</v>
      </c>
      <c r="R344" s="1" t="s">
        <v>1713</v>
      </c>
      <c r="S344" s="1" t="s">
        <v>1713</v>
      </c>
      <c r="T344" s="1">
        <v>2</v>
      </c>
    </row>
    <row r="345" spans="1:20" ht="30" x14ac:dyDescent="0.25">
      <c r="A345" s="1" t="str">
        <f t="shared" si="13"/>
        <v>Pending</v>
      </c>
      <c r="B345" s="1" t="s">
        <v>779</v>
      </c>
      <c r="C345" s="1">
        <v>53</v>
      </c>
      <c r="D345" s="1" t="s">
        <v>573</v>
      </c>
      <c r="E345" s="1" t="s">
        <v>780</v>
      </c>
      <c r="F345" s="1" t="s">
        <v>53</v>
      </c>
      <c r="G345" s="1"/>
      <c r="H345" s="1"/>
      <c r="I345" s="1"/>
      <c r="J345" s="1"/>
      <c r="K345" s="1" t="s">
        <v>781</v>
      </c>
      <c r="L345" s="1" t="str" cm="1">
        <f t="array" ref="L345">_xlfn.REGEXEXTRACT(B345,"(?&lt;=//)[^/]+")</f>
        <v>bdsmstreak.com</v>
      </c>
      <c r="M345" s="1" t="s">
        <v>457</v>
      </c>
      <c r="N345" s="1" t="s">
        <v>1740</v>
      </c>
      <c r="O345" s="1" t="str" cm="1">
        <f t="array" ref="O345">IF(N345&lt;&gt;"NtApp",_xlfn.REGEXEXTRACT(N345,"\d+(?=p)"),"NtApp")</f>
        <v>NtApp</v>
      </c>
      <c r="P345" s="1" t="s">
        <v>1740</v>
      </c>
      <c r="Q345" s="1" t="b">
        <f t="shared" si="14"/>
        <v>0</v>
      </c>
      <c r="R345" s="1" t="s">
        <v>1675</v>
      </c>
      <c r="S345" s="1" t="s">
        <v>1674</v>
      </c>
      <c r="T345" s="1">
        <v>0</v>
      </c>
    </row>
    <row r="346" spans="1:20" x14ac:dyDescent="0.25">
      <c r="A346" s="1" t="str">
        <f t="shared" si="13"/>
        <v>Pending</v>
      </c>
      <c r="B346" s="1" t="s">
        <v>689</v>
      </c>
      <c r="C346" s="1">
        <v>53</v>
      </c>
      <c r="D346" s="1" t="s">
        <v>703</v>
      </c>
      <c r="E346" s="1" t="s">
        <v>716</v>
      </c>
      <c r="F346" s="1" t="s">
        <v>53</v>
      </c>
      <c r="G346" s="1" t="s">
        <v>821</v>
      </c>
      <c r="H346" s="1"/>
      <c r="I346" s="1"/>
      <c r="J346" s="1"/>
      <c r="K346" s="1"/>
      <c r="L346" s="1" t="str" cm="1">
        <f t="array" ref="L346">_xlfn.REGEXEXTRACT(B346,"(?&lt;=//)[^/]+")</f>
        <v>www.kink.com</v>
      </c>
      <c r="M346" s="1" t="s">
        <v>457</v>
      </c>
      <c r="N346" s="1" t="s">
        <v>1740</v>
      </c>
      <c r="O346" s="1" t="str" cm="1">
        <f t="array" ref="O346">IF(N346&lt;&gt;"NtApp",_xlfn.REGEXEXTRACT(N346,"\d+(?=p)"),"NtApp")</f>
        <v>NtApp</v>
      </c>
      <c r="P346" s="1" t="s">
        <v>1740</v>
      </c>
      <c r="Q346" s="1" t="b">
        <f t="shared" si="14"/>
        <v>1</v>
      </c>
      <c r="R346" s="1" t="s">
        <v>1172</v>
      </c>
      <c r="S346" s="1" t="s">
        <v>1172</v>
      </c>
      <c r="T346" s="1">
        <v>0</v>
      </c>
    </row>
    <row r="347" spans="1:20" ht="30" x14ac:dyDescent="0.25">
      <c r="A347" s="1" t="str">
        <f t="shared" si="13"/>
        <v>Pending</v>
      </c>
      <c r="B347" s="1" t="s">
        <v>959</v>
      </c>
      <c r="C347" s="1">
        <v>54</v>
      </c>
      <c r="D347" s="1" t="s">
        <v>911</v>
      </c>
      <c r="E347" s="1" t="s">
        <v>960</v>
      </c>
      <c r="F347" s="1" t="s">
        <v>54</v>
      </c>
      <c r="G347" s="1" t="s">
        <v>1742</v>
      </c>
      <c r="H347" s="1"/>
      <c r="I347" s="1"/>
      <c r="J347" s="1"/>
      <c r="K347" s="1"/>
      <c r="L347" s="1" t="str" cm="1">
        <f t="array" ref="L347">_xlfn.REGEXEXTRACT(B347,"(?&lt;=//)[^/]+")</f>
        <v>pornzog.com</v>
      </c>
      <c r="M347" s="1" t="s">
        <v>457</v>
      </c>
      <c r="N347" s="1" t="s">
        <v>1740</v>
      </c>
      <c r="O347" s="1" t="str" cm="1">
        <f t="array" ref="O347">IF(N347&lt;&gt;"NtApp",_xlfn.REGEXEXTRACT(N347,"\d+(?=p)"),"NtApp")</f>
        <v>NtApp</v>
      </c>
      <c r="P347" s="1" t="s">
        <v>1740</v>
      </c>
      <c r="Q347" s="1" t="b">
        <f t="shared" si="14"/>
        <v>1</v>
      </c>
      <c r="R347" s="1" t="s">
        <v>1508</v>
      </c>
      <c r="S347" s="1" t="s">
        <v>1858</v>
      </c>
      <c r="T347" s="1">
        <v>3</v>
      </c>
    </row>
    <row r="348" spans="1:20" ht="30" x14ac:dyDescent="0.25">
      <c r="A348" s="1" t="str">
        <f t="shared" si="13"/>
        <v>Pending</v>
      </c>
      <c r="B348" s="1" t="s">
        <v>893</v>
      </c>
      <c r="C348" s="1">
        <v>54</v>
      </c>
      <c r="D348" s="1" t="s">
        <v>575</v>
      </c>
      <c r="E348" s="1" t="s">
        <v>1774</v>
      </c>
      <c r="F348" s="1" t="s">
        <v>54</v>
      </c>
      <c r="G348" s="1" t="s">
        <v>1086</v>
      </c>
      <c r="H348" s="1"/>
      <c r="I348" s="1"/>
      <c r="J348" s="1"/>
      <c r="K348" s="1"/>
      <c r="L348" s="1" t="str" cm="1">
        <f t="array" ref="L348">_xlfn.REGEXEXTRACT(B348,"(?&lt;=//)[^/]+")</f>
        <v>www.kink.com</v>
      </c>
      <c r="M348" s="1" t="s">
        <v>457</v>
      </c>
      <c r="N348" s="1" t="s">
        <v>1740</v>
      </c>
      <c r="O348" s="1" t="str" cm="1">
        <f t="array" ref="O348">IF(N348&lt;&gt;"NtApp",_xlfn.REGEXEXTRACT(N348,"\d+(?=p)"),"NtApp")</f>
        <v>NtApp</v>
      </c>
      <c r="P348" s="1" t="s">
        <v>1740</v>
      </c>
      <c r="Q348" s="1" t="b">
        <f t="shared" si="14"/>
        <v>1</v>
      </c>
      <c r="R348" s="1" t="s">
        <v>1173</v>
      </c>
      <c r="S348" s="1" t="s">
        <v>1173</v>
      </c>
      <c r="T348" s="1">
        <v>3</v>
      </c>
    </row>
    <row r="349" spans="1:20" ht="45" x14ac:dyDescent="0.25">
      <c r="A349" s="1" t="str">
        <f t="shared" si="13"/>
        <v>Pending</v>
      </c>
      <c r="B349" s="1" t="s">
        <v>1033</v>
      </c>
      <c r="C349" s="1">
        <v>54</v>
      </c>
      <c r="D349" s="1" t="s">
        <v>577</v>
      </c>
      <c r="E349" s="1" t="s">
        <v>1034</v>
      </c>
      <c r="F349" s="1" t="s">
        <v>53</v>
      </c>
      <c r="G349" s="1"/>
      <c r="H349" s="1" t="s">
        <v>2041</v>
      </c>
      <c r="I349" s="1"/>
      <c r="J349" s="1"/>
      <c r="K349" s="1"/>
      <c r="L349" s="1" t="str" cm="1">
        <f t="array" ref="L349">_xlfn.REGEXEXTRACT(B349,"(?&lt;=//)[^/]+")</f>
        <v>bdsmstreak.com</v>
      </c>
      <c r="M349" s="1" t="s">
        <v>457</v>
      </c>
      <c r="N349" s="1" t="s">
        <v>1740</v>
      </c>
      <c r="O349" s="1" t="str" cm="1">
        <f t="array" ref="O349">IF(N349&lt;&gt;"NtApp",_xlfn.REGEXEXTRACT(N349,"\d+(?=p)"),"NtApp")</f>
        <v>NtApp</v>
      </c>
      <c r="P349" s="1" t="s">
        <v>1740</v>
      </c>
      <c r="Q349" s="1" t="b">
        <f t="shared" si="14"/>
        <v>0</v>
      </c>
      <c r="R349" s="1" t="s">
        <v>1621</v>
      </c>
      <c r="S349" s="1" t="s">
        <v>1621</v>
      </c>
      <c r="T349" s="1">
        <v>2</v>
      </c>
    </row>
    <row r="350" spans="1:20" ht="30" x14ac:dyDescent="0.25">
      <c r="A350" s="1" t="str">
        <f t="shared" si="13"/>
        <v>Pending</v>
      </c>
      <c r="B350" s="1" t="s">
        <v>879</v>
      </c>
      <c r="C350" s="1">
        <v>54</v>
      </c>
      <c r="D350" s="1" t="s">
        <v>784</v>
      </c>
      <c r="E350" s="1" t="s">
        <v>880</v>
      </c>
      <c r="F350" s="1" t="s">
        <v>53</v>
      </c>
      <c r="G350" s="1"/>
      <c r="H350" s="1"/>
      <c r="I350" s="1"/>
      <c r="J350" s="1"/>
      <c r="K350" s="1" t="s">
        <v>1763</v>
      </c>
      <c r="L350" s="1" t="str" cm="1">
        <f t="array" ref="L350">_xlfn.REGEXEXTRACT(B350,"(?&lt;=//)[^/]+")</f>
        <v>www.twistedfactory.com</v>
      </c>
      <c r="M350" s="1" t="s">
        <v>457</v>
      </c>
      <c r="N350" s="1" t="s">
        <v>1740</v>
      </c>
      <c r="O350" s="1" t="str" cm="1">
        <f t="array" ref="O350">IF(N350&lt;&gt;"NtApp",_xlfn.REGEXEXTRACT(N350,"\d+(?=p)"),"NtApp")</f>
        <v>NtApp</v>
      </c>
      <c r="P350" s="1" t="s">
        <v>1740</v>
      </c>
      <c r="Q350" s="1" t="b">
        <f t="shared" si="14"/>
        <v>0</v>
      </c>
      <c r="R350" s="1" t="s">
        <v>1175</v>
      </c>
      <c r="S350" s="1" t="s">
        <v>1175</v>
      </c>
      <c r="T350" s="1">
        <v>1</v>
      </c>
    </row>
    <row r="351" spans="1:20" ht="30" x14ac:dyDescent="0.25">
      <c r="A351" s="1" t="str">
        <f t="shared" si="13"/>
        <v>Pending</v>
      </c>
      <c r="B351" s="1" t="s">
        <v>1234</v>
      </c>
      <c r="C351" s="1">
        <v>54</v>
      </c>
      <c r="D351" s="1" t="s">
        <v>576</v>
      </c>
      <c r="E351" s="1" t="s">
        <v>174</v>
      </c>
      <c r="F351" s="1" t="s">
        <v>63</v>
      </c>
      <c r="G351" s="1"/>
      <c r="H351" s="1"/>
      <c r="I351" s="1"/>
      <c r="J351" s="1"/>
      <c r="K351" s="1"/>
      <c r="L351" s="1" t="str" cm="1">
        <f t="array" ref="L351">_xlfn.REGEXEXTRACT(B351,"(?&lt;=//)[^/]+")</f>
        <v>www.kink.com</v>
      </c>
      <c r="M351" s="1" t="s">
        <v>457</v>
      </c>
      <c r="N351" s="1" t="s">
        <v>1740</v>
      </c>
      <c r="O351" s="1" t="str" cm="1">
        <f t="array" ref="O351">IF(N351&lt;&gt;"NtApp",_xlfn.REGEXEXTRACT(N351,"\d+(?=p)"),"NtApp")</f>
        <v>NtApp</v>
      </c>
      <c r="P351" s="1" t="s">
        <v>1740</v>
      </c>
      <c r="Q351" s="1" t="b">
        <f t="shared" si="14"/>
        <v>0</v>
      </c>
      <c r="R351" s="1" t="s">
        <v>1387</v>
      </c>
      <c r="S351" s="1" t="s">
        <v>1388</v>
      </c>
      <c r="T351" s="1">
        <v>0</v>
      </c>
    </row>
    <row r="352" spans="1:20" ht="45" x14ac:dyDescent="0.25">
      <c r="A352" s="1" t="str">
        <f t="shared" si="13"/>
        <v>Pending</v>
      </c>
      <c r="B352" s="1" t="s">
        <v>601</v>
      </c>
      <c r="C352" s="1">
        <v>54</v>
      </c>
      <c r="D352" s="1" t="s">
        <v>577</v>
      </c>
      <c r="E352" s="1" t="s">
        <v>602</v>
      </c>
      <c r="F352" s="1" t="s">
        <v>53</v>
      </c>
      <c r="G352" s="1"/>
      <c r="H352" s="1"/>
      <c r="I352" s="1"/>
      <c r="J352" s="1"/>
      <c r="K352" s="1"/>
      <c r="L352" s="1" t="str" cm="1">
        <f t="array" ref="L352">_xlfn.REGEXEXTRACT(B352,"(?&lt;=//)[^/]+")</f>
        <v>bdsmstreak.com</v>
      </c>
      <c r="M352" s="1" t="s">
        <v>457</v>
      </c>
      <c r="N352" s="1" t="s">
        <v>1740</v>
      </c>
      <c r="O352" s="1" t="str" cm="1">
        <f t="array" ref="O352">IF(N352&lt;&gt;"NtApp",_xlfn.REGEXEXTRACT(N352,"\d+(?=p)"),"NtApp")</f>
        <v>NtApp</v>
      </c>
      <c r="P352" s="1" t="s">
        <v>1740</v>
      </c>
      <c r="Q352" s="1" t="b">
        <f t="shared" si="14"/>
        <v>0</v>
      </c>
      <c r="R352" s="1" t="s">
        <v>1874</v>
      </c>
      <c r="S352" s="1" t="s">
        <v>1875</v>
      </c>
      <c r="T352" s="1">
        <v>0</v>
      </c>
    </row>
    <row r="353" spans="1:20" x14ac:dyDescent="0.25">
      <c r="A353" s="1" t="str">
        <f t="shared" si="13"/>
        <v>Pending</v>
      </c>
      <c r="B353" s="1" t="s">
        <v>844</v>
      </c>
      <c r="C353" s="1">
        <v>54</v>
      </c>
      <c r="D353" s="1" t="s">
        <v>573</v>
      </c>
      <c r="E353" s="1" t="s">
        <v>845</v>
      </c>
      <c r="F353" s="1" t="s">
        <v>53</v>
      </c>
      <c r="G353" s="1"/>
      <c r="H353" s="1"/>
      <c r="I353" s="1"/>
      <c r="J353" s="1"/>
      <c r="K353" s="1"/>
      <c r="L353" s="1" t="str" cm="1">
        <f t="array" ref="L353">_xlfn.REGEXEXTRACT(B353,"(?&lt;=//)[^/]+")</f>
        <v>www.kink.com</v>
      </c>
      <c r="M353" s="1" t="s">
        <v>457</v>
      </c>
      <c r="N353" s="1" t="s">
        <v>1740</v>
      </c>
      <c r="O353" s="1" t="str" cm="1">
        <f t="array" ref="O353">IF(N353&lt;&gt;"NtApp",_xlfn.REGEXEXTRACT(N353,"\d+(?=p)"),"NtApp")</f>
        <v>NtApp</v>
      </c>
      <c r="P353" s="1" t="s">
        <v>1740</v>
      </c>
      <c r="Q353" s="1" t="b">
        <f t="shared" si="14"/>
        <v>0</v>
      </c>
      <c r="R353" s="1" t="s">
        <v>1174</v>
      </c>
      <c r="S353" s="1" t="s">
        <v>1174</v>
      </c>
      <c r="T353" s="1">
        <v>0</v>
      </c>
    </row>
    <row r="354" spans="1:20" x14ac:dyDescent="0.25">
      <c r="A354" s="1" t="str">
        <f t="shared" si="13"/>
        <v>Pending</v>
      </c>
      <c r="B354" s="1" t="s">
        <v>757</v>
      </c>
      <c r="C354" s="1">
        <v>54</v>
      </c>
      <c r="D354" s="1" t="s">
        <v>573</v>
      </c>
      <c r="E354" s="1" t="s">
        <v>583</v>
      </c>
      <c r="F354" s="1" t="s">
        <v>53</v>
      </c>
      <c r="G354" s="1"/>
      <c r="H354" s="1"/>
      <c r="I354" s="1"/>
      <c r="J354" s="1"/>
      <c r="K354" s="1" t="s">
        <v>733</v>
      </c>
      <c r="L354" s="1" t="str" cm="1">
        <f t="array" ref="L354">_xlfn.REGEXEXTRACT(B354,"(?&lt;=//)[^/]+")</f>
        <v>bdsmstreak.com</v>
      </c>
      <c r="M354" s="1" t="s">
        <v>457</v>
      </c>
      <c r="N354" s="1" t="s">
        <v>1740</v>
      </c>
      <c r="O354" s="1" t="str" cm="1">
        <f t="array" ref="O354">IF(N354&lt;&gt;"NtApp",_xlfn.REGEXEXTRACT(N354,"\d+(?=p)"),"NtApp")</f>
        <v>NtApp</v>
      </c>
      <c r="P354" s="1" t="s">
        <v>1740</v>
      </c>
      <c r="Q354" s="1" t="b">
        <f t="shared" si="14"/>
        <v>0</v>
      </c>
      <c r="R354" s="1" t="s">
        <v>1676</v>
      </c>
      <c r="S354" s="1" t="s">
        <v>1658</v>
      </c>
      <c r="T354" s="1">
        <v>0</v>
      </c>
    </row>
    <row r="355" spans="1:20" x14ac:dyDescent="0.25">
      <c r="A355" s="1" t="str">
        <f t="shared" si="13"/>
        <v>Pending</v>
      </c>
      <c r="B355" s="1" t="s">
        <v>2350</v>
      </c>
      <c r="C355" s="1">
        <v>55</v>
      </c>
      <c r="D355" s="1" t="s">
        <v>576</v>
      </c>
      <c r="E355" s="1" t="s">
        <v>2351</v>
      </c>
      <c r="F355" s="1" t="s">
        <v>63</v>
      </c>
      <c r="G355" s="1" t="s">
        <v>2352</v>
      </c>
      <c r="H355" s="1"/>
      <c r="I355" s="1"/>
      <c r="J355" s="1"/>
      <c r="K355" s="1"/>
      <c r="L355" s="1" t="str" cm="1">
        <f t="array" ref="L355">_xlfn.REGEXEXTRACT(B355,"(?&lt;=//)[^/]+")</f>
        <v>www.kink.com</v>
      </c>
      <c r="M355" s="1"/>
      <c r="N355" s="1"/>
      <c r="O355" s="1"/>
      <c r="P355" s="1"/>
      <c r="Q355" s="1"/>
      <c r="R355" s="1" t="s">
        <v>2353</v>
      </c>
      <c r="S355" s="1" t="s">
        <v>2353</v>
      </c>
      <c r="T355" s="1">
        <v>7</v>
      </c>
    </row>
    <row r="356" spans="1:20" ht="30" x14ac:dyDescent="0.25">
      <c r="A356" s="1" t="str">
        <f t="shared" si="13"/>
        <v>Pending</v>
      </c>
      <c r="B356" s="1" t="s">
        <v>1061</v>
      </c>
      <c r="C356" s="1">
        <v>55</v>
      </c>
      <c r="D356" s="1" t="s">
        <v>575</v>
      </c>
      <c r="E356" s="1" t="s">
        <v>1062</v>
      </c>
      <c r="F356" s="1" t="s">
        <v>54</v>
      </c>
      <c r="G356" s="1" t="s">
        <v>1748</v>
      </c>
      <c r="H356" s="1" t="s">
        <v>776</v>
      </c>
      <c r="I356" s="1"/>
      <c r="J356" s="1"/>
      <c r="K356" s="1"/>
      <c r="L356" s="1" t="str" cm="1">
        <f t="array" ref="L356">_xlfn.REGEXEXTRACT(B356,"(?&lt;=//)[^/]+")</f>
        <v>bdsmstreak.com</v>
      </c>
      <c r="M356" s="1" t="s">
        <v>457</v>
      </c>
      <c r="N356" s="1" t="s">
        <v>1740</v>
      </c>
      <c r="O356" s="1" t="str" cm="1">
        <f t="array" ref="O356">IF(N356&lt;&gt;"NtApp",_xlfn.REGEXEXTRACT(N356,"\d+(?=p)"),"NtApp")</f>
        <v>NtApp</v>
      </c>
      <c r="P356" s="1" t="s">
        <v>1740</v>
      </c>
      <c r="Q356" s="1" t="b">
        <f t="shared" ref="Q356:Q363" si="15">ISNUMBER(SEARCH(",",E356))</f>
        <v>1</v>
      </c>
      <c r="R356" s="1" t="s">
        <v>1545</v>
      </c>
      <c r="S356" s="1" t="s">
        <v>1545</v>
      </c>
      <c r="T356" s="1">
        <v>4</v>
      </c>
    </row>
    <row r="357" spans="1:20" ht="30" x14ac:dyDescent="0.25">
      <c r="A357" s="1" t="str">
        <f t="shared" si="13"/>
        <v>Pending</v>
      </c>
      <c r="B357" s="1" t="s">
        <v>1035</v>
      </c>
      <c r="C357" s="1">
        <v>55</v>
      </c>
      <c r="D357" s="1" t="s">
        <v>569</v>
      </c>
      <c r="E357" s="1" t="s">
        <v>589</v>
      </c>
      <c r="F357" s="1" t="s">
        <v>53</v>
      </c>
      <c r="G357" s="1" t="s">
        <v>850</v>
      </c>
      <c r="H357" s="1"/>
      <c r="I357" s="1"/>
      <c r="J357" s="1"/>
      <c r="K357" s="1"/>
      <c r="L357" s="1" t="str" cm="1">
        <f t="array" ref="L357">_xlfn.REGEXEXTRACT(B357,"(?&lt;=//)[^/]+")</f>
        <v>hcbdsm.com</v>
      </c>
      <c r="M357" s="1" t="s">
        <v>457</v>
      </c>
      <c r="N357" s="1" t="s">
        <v>1740</v>
      </c>
      <c r="O357" s="1" t="str" cm="1">
        <f t="array" ref="O357">IF(N357&lt;&gt;"NtApp",_xlfn.REGEXEXTRACT(N357,"\d+(?=p)"),"NtApp")</f>
        <v>NtApp</v>
      </c>
      <c r="P357" s="1" t="s">
        <v>1740</v>
      </c>
      <c r="Q357" s="1" t="b">
        <f t="shared" si="15"/>
        <v>0</v>
      </c>
      <c r="R357" s="1" t="s">
        <v>1715</v>
      </c>
      <c r="S357" s="1" t="s">
        <v>1714</v>
      </c>
      <c r="T357" s="1">
        <v>1</v>
      </c>
    </row>
    <row r="358" spans="1:20" ht="30" x14ac:dyDescent="0.25">
      <c r="A358" s="1" t="str">
        <f t="shared" si="13"/>
        <v>Pending</v>
      </c>
      <c r="B358" s="1" t="s">
        <v>690</v>
      </c>
      <c r="C358" s="1">
        <v>55</v>
      </c>
      <c r="D358" s="1" t="s">
        <v>573</v>
      </c>
      <c r="E358" s="1" t="s">
        <v>707</v>
      </c>
      <c r="F358" s="1" t="s">
        <v>53</v>
      </c>
      <c r="G358" s="1"/>
      <c r="H358" s="1"/>
      <c r="I358" s="1"/>
      <c r="J358" s="1"/>
      <c r="K358" s="1" t="s">
        <v>735</v>
      </c>
      <c r="L358" s="1" t="str" cm="1">
        <f t="array" ref="L358">_xlfn.REGEXEXTRACT(B358,"(?&lt;=//)[^/]+")</f>
        <v>bdsmstreak.com</v>
      </c>
      <c r="M358" s="1" t="s">
        <v>457</v>
      </c>
      <c r="N358" s="1" t="s">
        <v>1740</v>
      </c>
      <c r="O358" s="1" t="str" cm="1">
        <f t="array" ref="O358">IF(N358&lt;&gt;"NtApp",_xlfn.REGEXEXTRACT(N358,"\d+(?=p)"),"NtApp")</f>
        <v>NtApp</v>
      </c>
      <c r="P358" s="1" t="s">
        <v>1740</v>
      </c>
      <c r="Q358" s="1" t="b">
        <f t="shared" si="15"/>
        <v>0</v>
      </c>
      <c r="R358" s="1" t="s">
        <v>1905</v>
      </c>
      <c r="S358" s="1" t="s">
        <v>1906</v>
      </c>
      <c r="T358" s="1">
        <v>0</v>
      </c>
    </row>
    <row r="359" spans="1:20" ht="30" x14ac:dyDescent="0.25">
      <c r="A359" s="1" t="str">
        <f t="shared" si="13"/>
        <v>Pending</v>
      </c>
      <c r="B359" s="1" t="s">
        <v>941</v>
      </c>
      <c r="C359" s="1">
        <v>56</v>
      </c>
      <c r="D359" s="1" t="s">
        <v>573</v>
      </c>
      <c r="E359" s="1" t="s">
        <v>769</v>
      </c>
      <c r="F359" s="1" t="s">
        <v>53</v>
      </c>
      <c r="G359" s="1" t="s">
        <v>1677</v>
      </c>
      <c r="H359" s="1"/>
      <c r="I359" s="1"/>
      <c r="J359" s="1"/>
      <c r="K359" s="1"/>
      <c r="L359" s="1" t="str" cm="1">
        <f t="array" ref="L359">_xlfn.REGEXEXTRACT(B359,"(?&lt;=//)[^/]+")</f>
        <v>bdsmstreak.com</v>
      </c>
      <c r="M359" s="1" t="s">
        <v>457</v>
      </c>
      <c r="N359" s="1" t="s">
        <v>1740</v>
      </c>
      <c r="O359" s="1" t="str" cm="1">
        <f t="array" ref="O359">IF(N359&lt;&gt;"NtApp",_xlfn.REGEXEXTRACT(N359,"\d+(?=p)"),"NtApp")</f>
        <v>NtApp</v>
      </c>
      <c r="P359" s="1" t="s">
        <v>1740</v>
      </c>
      <c r="Q359" s="1" t="b">
        <f t="shared" si="15"/>
        <v>0</v>
      </c>
      <c r="R359" s="1" t="s">
        <v>1659</v>
      </c>
      <c r="S359" s="1" t="s">
        <v>1659</v>
      </c>
      <c r="T359" s="1">
        <v>6</v>
      </c>
    </row>
    <row r="360" spans="1:20" ht="30" x14ac:dyDescent="0.25">
      <c r="A360" s="1" t="str">
        <f t="shared" si="13"/>
        <v>Pending</v>
      </c>
      <c r="B360" s="1" t="s">
        <v>851</v>
      </c>
      <c r="C360" s="1">
        <v>56</v>
      </c>
      <c r="D360" s="1" t="s">
        <v>702</v>
      </c>
      <c r="E360" s="1" t="s">
        <v>852</v>
      </c>
      <c r="F360" s="1" t="s">
        <v>53</v>
      </c>
      <c r="G360" s="1"/>
      <c r="H360" s="1"/>
      <c r="I360" s="1"/>
      <c r="J360" s="1"/>
      <c r="K360" s="1"/>
      <c r="L360" s="1" t="str" cm="1">
        <f t="array" ref="L360">_xlfn.REGEXEXTRACT(B360,"(?&lt;=//)[^/]+")</f>
        <v>bdsmmansion.com</v>
      </c>
      <c r="M360" s="1" t="s">
        <v>457</v>
      </c>
      <c r="N360" s="1" t="s">
        <v>1740</v>
      </c>
      <c r="O360" s="1" t="str" cm="1">
        <f t="array" ref="O360">IF(N360&lt;&gt;"NtApp",_xlfn.REGEXEXTRACT(N360,"\d+(?=p)"),"NtApp")</f>
        <v>NtApp</v>
      </c>
      <c r="P360" s="1" t="s">
        <v>1740</v>
      </c>
      <c r="Q360" s="1" t="b">
        <f t="shared" si="15"/>
        <v>0</v>
      </c>
      <c r="R360" s="1" t="s">
        <v>1882</v>
      </c>
      <c r="S360" s="1" t="s">
        <v>1882</v>
      </c>
      <c r="T360" s="1">
        <v>0</v>
      </c>
    </row>
    <row r="361" spans="1:20" ht="30" x14ac:dyDescent="0.25">
      <c r="A361" s="1" t="str">
        <f t="shared" si="13"/>
        <v>Pending</v>
      </c>
      <c r="B361" s="1" t="s">
        <v>1078</v>
      </c>
      <c r="C361" s="1">
        <v>56</v>
      </c>
      <c r="D361" s="1" t="s">
        <v>784</v>
      </c>
      <c r="E361" s="1" t="s">
        <v>1079</v>
      </c>
      <c r="F361" s="1" t="s">
        <v>53</v>
      </c>
      <c r="G361" s="1"/>
      <c r="H361" s="1"/>
      <c r="I361" s="1"/>
      <c r="J361" s="1"/>
      <c r="K361" s="1"/>
      <c r="L361" s="1" t="str" cm="1">
        <f t="array" ref="L361">_xlfn.REGEXEXTRACT(B361,"(?&lt;=//)[^/]+")</f>
        <v>www.twistedfactory.com</v>
      </c>
      <c r="M361" s="1" t="s">
        <v>457</v>
      </c>
      <c r="N361" s="1" t="s">
        <v>1740</v>
      </c>
      <c r="O361" s="1" t="str" cm="1">
        <f t="array" ref="O361">IF(N361&lt;&gt;"NtApp",_xlfn.REGEXEXTRACT(N361,"\d+(?=p)"),"NtApp")</f>
        <v>NtApp</v>
      </c>
      <c r="P361" s="1" t="s">
        <v>1740</v>
      </c>
      <c r="Q361" s="1" t="b">
        <f t="shared" si="15"/>
        <v>0</v>
      </c>
      <c r="R361" s="1" t="s">
        <v>1176</v>
      </c>
      <c r="S361" s="1" t="s">
        <v>1176</v>
      </c>
      <c r="T361" s="1">
        <v>0</v>
      </c>
    </row>
    <row r="362" spans="1:20" ht="30" x14ac:dyDescent="0.25">
      <c r="A362" s="1" t="str">
        <f t="shared" si="13"/>
        <v>Pending</v>
      </c>
      <c r="B362" s="1" t="s">
        <v>749</v>
      </c>
      <c r="C362" s="1">
        <v>56</v>
      </c>
      <c r="D362" s="1" t="s">
        <v>571</v>
      </c>
      <c r="E362" s="1" t="s">
        <v>763</v>
      </c>
      <c r="F362" s="1" t="s">
        <v>54</v>
      </c>
      <c r="G362" s="1" t="s">
        <v>802</v>
      </c>
      <c r="H362" s="1"/>
      <c r="I362" s="1"/>
      <c r="J362" s="1"/>
      <c r="K362" s="1"/>
      <c r="L362" s="1" t="str" cm="1">
        <f t="array" ref="L362">_xlfn.REGEXEXTRACT(B362,"(?&lt;=//)[^/]+")</f>
        <v>bdsmstreak.com</v>
      </c>
      <c r="M362" s="1" t="s">
        <v>457</v>
      </c>
      <c r="N362" s="1" t="s">
        <v>1740</v>
      </c>
      <c r="O362" s="1" t="str" cm="1">
        <f t="array" ref="O362">IF(N362&lt;&gt;"NtApp",_xlfn.REGEXEXTRACT(N362,"\d+(?=p)"),"NtApp")</f>
        <v>NtApp</v>
      </c>
      <c r="P362" s="1" t="s">
        <v>1740</v>
      </c>
      <c r="Q362" s="1" t="b">
        <f t="shared" si="15"/>
        <v>1</v>
      </c>
      <c r="R362" s="1" t="s">
        <v>1919</v>
      </c>
      <c r="S362" s="1" t="s">
        <v>1919</v>
      </c>
      <c r="T362" s="1">
        <v>0</v>
      </c>
    </row>
    <row r="363" spans="1:20" ht="30" x14ac:dyDescent="0.25">
      <c r="A363" s="1" t="str">
        <f t="shared" si="13"/>
        <v>Pending</v>
      </c>
      <c r="B363" s="1" t="s">
        <v>1093</v>
      </c>
      <c r="C363" s="1">
        <v>57</v>
      </c>
      <c r="D363" s="1" t="s">
        <v>569</v>
      </c>
      <c r="E363" s="1" t="s">
        <v>348</v>
      </c>
      <c r="F363" s="1" t="s">
        <v>53</v>
      </c>
      <c r="G363" s="1" t="s">
        <v>1764</v>
      </c>
      <c r="H363" s="1"/>
      <c r="I363" s="1"/>
      <c r="J363" s="1"/>
      <c r="K363" s="1"/>
      <c r="L363" s="1" t="str" cm="1">
        <f t="array" ref="L363">_xlfn.REGEXEXTRACT(B363,"(?&lt;=//)[^/]+")</f>
        <v>bdsmstreak.com</v>
      </c>
      <c r="M363" s="1" t="s">
        <v>457</v>
      </c>
      <c r="N363" s="1" t="s">
        <v>1740</v>
      </c>
      <c r="O363" s="1" t="str" cm="1">
        <f t="array" ref="O363">IF(N363&lt;&gt;"NtApp",_xlfn.REGEXEXTRACT(N363,"\d+(?=p)"),"NtApp")</f>
        <v>NtApp</v>
      </c>
      <c r="P363" s="1" t="s">
        <v>1740</v>
      </c>
      <c r="Q363" s="1" t="b">
        <f t="shared" si="15"/>
        <v>0</v>
      </c>
      <c r="R363" s="1" t="s">
        <v>1717</v>
      </c>
      <c r="S363" s="1" t="s">
        <v>1716</v>
      </c>
      <c r="T363" s="1">
        <v>4</v>
      </c>
    </row>
    <row r="364" spans="1:20" x14ac:dyDescent="0.25">
      <c r="A364" s="1" t="str">
        <f t="shared" si="13"/>
        <v>Pending</v>
      </c>
      <c r="B364" s="1" t="s">
        <v>2355</v>
      </c>
      <c r="C364" s="1">
        <v>58</v>
      </c>
      <c r="D364" s="1" t="s">
        <v>576</v>
      </c>
      <c r="E364" s="1" t="s">
        <v>242</v>
      </c>
      <c r="F364" s="1" t="s">
        <v>63</v>
      </c>
      <c r="G364" s="1"/>
      <c r="H364" s="1"/>
      <c r="I364" s="1"/>
      <c r="J364" s="1"/>
      <c r="K364" s="1"/>
      <c r="L364" s="1" t="str" cm="1">
        <f t="array" ref="L364">_xlfn.REGEXEXTRACT(B364,"(?&lt;=//)[^/]+")</f>
        <v>www.kink.com</v>
      </c>
      <c r="M364" s="1"/>
      <c r="N364" s="1"/>
      <c r="O364" s="1"/>
      <c r="P364" s="1"/>
      <c r="Q364" s="1"/>
      <c r="R364" s="1" t="s">
        <v>2354</v>
      </c>
      <c r="S364" s="1" t="s">
        <v>2354</v>
      </c>
      <c r="T364" s="1">
        <v>5</v>
      </c>
    </row>
    <row r="365" spans="1:20" ht="45" x14ac:dyDescent="0.25">
      <c r="A365" s="1" t="str">
        <f t="shared" si="13"/>
        <v>Pending</v>
      </c>
      <c r="B365" s="1" t="s">
        <v>1038</v>
      </c>
      <c r="C365" s="1">
        <v>58</v>
      </c>
      <c r="D365" s="1" t="s">
        <v>577</v>
      </c>
      <c r="E365" s="1" t="s">
        <v>585</v>
      </c>
      <c r="F365" s="1" t="s">
        <v>53</v>
      </c>
      <c r="G365" s="1"/>
      <c r="H365" s="1"/>
      <c r="I365" s="1"/>
      <c r="J365" s="1"/>
      <c r="K365" s="1"/>
      <c r="L365" s="1" t="str" cm="1">
        <f t="array" ref="L365">_xlfn.REGEXEXTRACT(B365,"(?&lt;=//)[^/]+")</f>
        <v>bdsmstreak.com</v>
      </c>
      <c r="M365" s="1" t="s">
        <v>457</v>
      </c>
      <c r="N365" s="1" t="s">
        <v>1740</v>
      </c>
      <c r="O365" s="1" t="str" cm="1">
        <f t="array" ref="O365">IF(N365&lt;&gt;"NtApp",_xlfn.REGEXEXTRACT(N365,"\d+(?=p)"),"NtApp")</f>
        <v>NtApp</v>
      </c>
      <c r="P365" s="1" t="s">
        <v>1740</v>
      </c>
      <c r="Q365" s="1" t="b">
        <f>ISNUMBER(SEARCH(",",E365))</f>
        <v>0</v>
      </c>
      <c r="R365" s="1" t="s">
        <v>1876</v>
      </c>
      <c r="S365" s="1" t="s">
        <v>1877</v>
      </c>
      <c r="T365" s="1">
        <v>0</v>
      </c>
    </row>
    <row r="366" spans="1:20" ht="30" x14ac:dyDescent="0.25">
      <c r="A366" s="1" t="str">
        <f t="shared" si="13"/>
        <v>Pending</v>
      </c>
      <c r="B366" s="1" t="s">
        <v>897</v>
      </c>
      <c r="C366" s="1">
        <v>58</v>
      </c>
      <c r="D366" s="1" t="s">
        <v>573</v>
      </c>
      <c r="E366" s="1" t="s">
        <v>898</v>
      </c>
      <c r="F366" s="1" t="s">
        <v>53</v>
      </c>
      <c r="G366" s="1"/>
      <c r="H366" s="1"/>
      <c r="I366" s="1"/>
      <c r="J366" s="1"/>
      <c r="K366" s="1"/>
      <c r="L366" s="1" t="str" cm="1">
        <f t="array" ref="L366">_xlfn.REGEXEXTRACT(B366,"(?&lt;=//)[^/]+")</f>
        <v>hcbdsm.com</v>
      </c>
      <c r="M366" s="1" t="s">
        <v>457</v>
      </c>
      <c r="N366" s="1" t="s">
        <v>1740</v>
      </c>
      <c r="O366" s="1" t="str" cm="1">
        <f t="array" ref="O366">IF(N366&lt;&gt;"NtApp",_xlfn.REGEXEXTRACT(N366,"\d+(?=p)"),"NtApp")</f>
        <v>NtApp</v>
      </c>
      <c r="P366" s="1" t="s">
        <v>1740</v>
      </c>
      <c r="Q366" s="1" t="b">
        <f>ISNUMBER(SEARCH(",",E366))</f>
        <v>0</v>
      </c>
      <c r="R366" s="1" t="s">
        <v>1907</v>
      </c>
      <c r="S366" s="1" t="s">
        <v>1908</v>
      </c>
      <c r="T366" s="1">
        <v>0</v>
      </c>
    </row>
    <row r="367" spans="1:20" ht="30" x14ac:dyDescent="0.25">
      <c r="A367" s="1" t="str">
        <f t="shared" si="13"/>
        <v>Pending</v>
      </c>
      <c r="B367" s="1" t="s">
        <v>745</v>
      </c>
      <c r="C367" s="1">
        <v>58</v>
      </c>
      <c r="D367" s="1" t="s">
        <v>568</v>
      </c>
      <c r="E367" s="1" t="s">
        <v>1911</v>
      </c>
      <c r="F367" s="1" t="s">
        <v>53</v>
      </c>
      <c r="G367" s="1" t="s">
        <v>798</v>
      </c>
      <c r="H367" s="1"/>
      <c r="I367" s="1"/>
      <c r="J367" s="1"/>
      <c r="K367" s="1"/>
      <c r="L367" s="1" t="str" cm="1">
        <f t="array" ref="L367">_xlfn.REGEXEXTRACT(B367,"(?&lt;=//)[^/]+")</f>
        <v>bdsmstreak.com</v>
      </c>
      <c r="M367" s="1" t="s">
        <v>457</v>
      </c>
      <c r="N367" s="1" t="s">
        <v>1740</v>
      </c>
      <c r="O367" s="1" t="str" cm="1">
        <f t="array" ref="O367">IF(N367&lt;&gt;"NtApp",_xlfn.REGEXEXTRACT(N367,"\d+(?=p)"),"NtApp")</f>
        <v>NtApp</v>
      </c>
      <c r="P367" s="1" t="s">
        <v>1740</v>
      </c>
      <c r="Q367" s="1" t="b">
        <f>ISNUMBER(SEARCH(",",E367))</f>
        <v>1</v>
      </c>
      <c r="R367" s="1" t="s">
        <v>1707</v>
      </c>
      <c r="S367" s="1" t="s">
        <v>1706</v>
      </c>
      <c r="T367" s="1">
        <v>0</v>
      </c>
    </row>
    <row r="368" spans="1:20" ht="30" x14ac:dyDescent="0.25">
      <c r="A368" s="1" t="str">
        <f t="shared" si="13"/>
        <v>Pending</v>
      </c>
      <c r="B368" s="1" t="s">
        <v>1014</v>
      </c>
      <c r="C368" s="1">
        <v>58</v>
      </c>
      <c r="D368" s="1" t="s">
        <v>784</v>
      </c>
      <c r="E368" s="1" t="s">
        <v>1015</v>
      </c>
      <c r="F368" s="1" t="s">
        <v>53</v>
      </c>
      <c r="G368" s="1"/>
      <c r="H368" s="1"/>
      <c r="I368" s="1"/>
      <c r="J368" s="1"/>
      <c r="K368" s="1"/>
      <c r="L368" s="1" t="str" cm="1">
        <f t="array" ref="L368">_xlfn.REGEXEXTRACT(B368,"(?&lt;=//)[^/]+")</f>
        <v>www.twistedfactory.com</v>
      </c>
      <c r="M368" s="1" t="s">
        <v>457</v>
      </c>
      <c r="N368" s="1" t="s">
        <v>1740</v>
      </c>
      <c r="O368" s="1" t="str" cm="1">
        <f t="array" ref="O368">IF(N368&lt;&gt;"NtApp",_xlfn.REGEXEXTRACT(N368,"\d+(?=p)"),"NtApp")</f>
        <v>NtApp</v>
      </c>
      <c r="P368" s="1" t="s">
        <v>1740</v>
      </c>
      <c r="Q368" s="1" t="b">
        <f>ISNUMBER(SEARCH(",",E368))</f>
        <v>0</v>
      </c>
      <c r="R368" s="1" t="s">
        <v>1177</v>
      </c>
      <c r="S368" s="1" t="s">
        <v>1177</v>
      </c>
      <c r="T368" s="1">
        <v>0</v>
      </c>
    </row>
    <row r="369" spans="1:20" x14ac:dyDescent="0.25">
      <c r="A369" s="1" t="str">
        <f t="shared" si="13"/>
        <v>Pending</v>
      </c>
      <c r="B369" s="1" t="s">
        <v>2348</v>
      </c>
      <c r="C369" s="1">
        <v>59</v>
      </c>
      <c r="D369" s="1" t="s">
        <v>576</v>
      </c>
      <c r="E369" s="1" t="s">
        <v>2349</v>
      </c>
      <c r="F369" s="1" t="s">
        <v>63</v>
      </c>
      <c r="G369" s="1"/>
      <c r="H369" s="1"/>
      <c r="I369" s="1"/>
      <c r="J369" s="1"/>
      <c r="K369" s="1"/>
      <c r="L369" s="1" t="str" cm="1">
        <f t="array" ref="L369">_xlfn.REGEXEXTRACT(B369,"(?&lt;=//)[^/]+")</f>
        <v>www.kink.com</v>
      </c>
      <c r="M369" s="1"/>
      <c r="N369" s="1"/>
      <c r="O369" s="1"/>
      <c r="P369" s="1"/>
      <c r="Q369" s="1"/>
      <c r="R369" s="1" t="s">
        <v>2347</v>
      </c>
      <c r="S369" s="1" t="s">
        <v>2347</v>
      </c>
      <c r="T369" s="1">
        <v>5</v>
      </c>
    </row>
    <row r="370" spans="1:20" ht="30" x14ac:dyDescent="0.25">
      <c r="A370" s="1" t="str">
        <f t="shared" si="13"/>
        <v>Pending</v>
      </c>
      <c r="B370" s="1" t="s">
        <v>875</v>
      </c>
      <c r="C370" s="1">
        <v>59</v>
      </c>
      <c r="D370" s="1" t="s">
        <v>573</v>
      </c>
      <c r="E370" s="1" t="s">
        <v>1684</v>
      </c>
      <c r="F370" s="1" t="s">
        <v>53</v>
      </c>
      <c r="G370" s="1" t="s">
        <v>1053</v>
      </c>
      <c r="H370" s="1"/>
      <c r="I370" s="1"/>
      <c r="J370" s="1"/>
      <c r="K370" s="1"/>
      <c r="L370" s="1" t="str" cm="1">
        <f t="array" ref="L370">_xlfn.REGEXEXTRACT(B370,"(?&lt;=//)[^/]+")</f>
        <v>hcbdsm.com</v>
      </c>
      <c r="M370" s="1" t="s">
        <v>457</v>
      </c>
      <c r="N370" s="1" t="s">
        <v>1740</v>
      </c>
      <c r="O370" s="1" t="str" cm="1">
        <f t="array" ref="O370">IF(N370&lt;&gt;"NtApp",_xlfn.REGEXEXTRACT(N370,"\d+(?=p)"),"NtApp")</f>
        <v>NtApp</v>
      </c>
      <c r="P370" s="1" t="s">
        <v>1740</v>
      </c>
      <c r="Q370" s="1" t="b">
        <f t="shared" ref="Q370:Q401" si="16">ISNUMBER(SEARCH(",",E370))</f>
        <v>1</v>
      </c>
      <c r="R370" s="1" t="s">
        <v>1682</v>
      </c>
      <c r="S370" s="1" t="s">
        <v>1682</v>
      </c>
      <c r="T370" s="1">
        <v>6</v>
      </c>
    </row>
    <row r="371" spans="1:20" ht="30" x14ac:dyDescent="0.25">
      <c r="A371" s="1" t="str">
        <f t="shared" si="13"/>
        <v>Pending</v>
      </c>
      <c r="B371" s="1" t="s">
        <v>750</v>
      </c>
      <c r="C371" s="1">
        <v>59</v>
      </c>
      <c r="D371" s="1" t="s">
        <v>573</v>
      </c>
      <c r="E371" s="1" t="s">
        <v>764</v>
      </c>
      <c r="F371" s="1" t="s">
        <v>53</v>
      </c>
      <c r="G371" s="1"/>
      <c r="H371" s="1"/>
      <c r="I371" s="1"/>
      <c r="J371" s="1"/>
      <c r="K371" s="1"/>
      <c r="L371" s="1" t="str" cm="1">
        <f t="array" ref="L371">_xlfn.REGEXEXTRACT(B371,"(?&lt;=//)[^/]+")</f>
        <v>bdsmstreak.com</v>
      </c>
      <c r="M371" s="1" t="s">
        <v>457</v>
      </c>
      <c r="N371" s="1" t="s">
        <v>1740</v>
      </c>
      <c r="O371" s="1" t="str" cm="1">
        <f t="array" ref="O371">IF(N371&lt;&gt;"NtApp",_xlfn.REGEXEXTRACT(N371,"\d+(?=p)"),"NtApp")</f>
        <v>NtApp</v>
      </c>
      <c r="P371" s="1" t="s">
        <v>1740</v>
      </c>
      <c r="Q371" s="1" t="b">
        <f t="shared" si="16"/>
        <v>0</v>
      </c>
      <c r="R371" s="1" t="s">
        <v>1680</v>
      </c>
      <c r="S371" s="1" t="s">
        <v>1680</v>
      </c>
      <c r="T371" s="1">
        <v>0</v>
      </c>
    </row>
    <row r="372" spans="1:20" ht="30" x14ac:dyDescent="0.25">
      <c r="A372" s="1" t="str">
        <f t="shared" si="13"/>
        <v>Pending</v>
      </c>
      <c r="B372" s="1" t="s">
        <v>746</v>
      </c>
      <c r="C372" s="1">
        <v>59</v>
      </c>
      <c r="D372" s="1" t="s">
        <v>573</v>
      </c>
      <c r="E372" s="1" t="s">
        <v>761</v>
      </c>
      <c r="F372" s="1" t="s">
        <v>53</v>
      </c>
      <c r="G372" s="1"/>
      <c r="H372" s="1"/>
      <c r="I372" s="1"/>
      <c r="J372" s="1"/>
      <c r="K372" s="1" t="s">
        <v>771</v>
      </c>
      <c r="L372" s="1" t="str" cm="1">
        <f t="array" ref="L372">_xlfn.REGEXEXTRACT(B372,"(?&lt;=//)[^/]+")</f>
        <v>hcbdsm.com</v>
      </c>
      <c r="M372" s="1" t="s">
        <v>457</v>
      </c>
      <c r="N372" s="1" t="s">
        <v>1740</v>
      </c>
      <c r="O372" s="1" t="str" cm="1">
        <f t="array" ref="O372">IF(N372&lt;&gt;"NtApp",_xlfn.REGEXEXTRACT(N372,"\d+(?=p)"),"NtApp")</f>
        <v>NtApp</v>
      </c>
      <c r="P372" s="1" t="s">
        <v>1740</v>
      </c>
      <c r="Q372" s="1" t="b">
        <f t="shared" si="16"/>
        <v>0</v>
      </c>
      <c r="R372" s="1" t="s">
        <v>1681</v>
      </c>
      <c r="S372" s="1" t="s">
        <v>1681</v>
      </c>
      <c r="T372" s="1">
        <v>0</v>
      </c>
    </row>
    <row r="373" spans="1:20" ht="30" x14ac:dyDescent="0.25">
      <c r="A373" s="1" t="str">
        <f t="shared" si="13"/>
        <v>Pending</v>
      </c>
      <c r="B373" s="1" t="s">
        <v>1040</v>
      </c>
      <c r="C373" s="1">
        <v>60</v>
      </c>
      <c r="D373" s="1" t="s">
        <v>573</v>
      </c>
      <c r="E373" s="1" t="s">
        <v>1041</v>
      </c>
      <c r="F373" s="1" t="s">
        <v>53</v>
      </c>
      <c r="G373" s="1" t="s">
        <v>1900</v>
      </c>
      <c r="H373" s="1" t="s">
        <v>1966</v>
      </c>
      <c r="I373" s="1"/>
      <c r="J373" s="1"/>
      <c r="K373" s="1"/>
      <c r="L373" s="1" t="str" cm="1">
        <f t="array" ref="L373">_xlfn.REGEXEXTRACT(B373,"(?&lt;=//)[^/]+")</f>
        <v>www.kink.com</v>
      </c>
      <c r="M373" s="1" t="s">
        <v>457</v>
      </c>
      <c r="N373" s="1" t="s">
        <v>1740</v>
      </c>
      <c r="O373" s="1" t="str" cm="1">
        <f t="array" ref="O373">IF(N373&lt;&gt;"NtApp",_xlfn.REGEXEXTRACT(N373,"\d+(?=p)"),"NtApp")</f>
        <v>NtApp</v>
      </c>
      <c r="P373" s="1" t="s">
        <v>1740</v>
      </c>
      <c r="Q373" s="1" t="b">
        <f t="shared" si="16"/>
        <v>0</v>
      </c>
      <c r="R373" s="1" t="s">
        <v>1178</v>
      </c>
      <c r="S373" s="1" t="s">
        <v>1178</v>
      </c>
      <c r="T373" s="1">
        <v>6</v>
      </c>
    </row>
    <row r="374" spans="1:20" ht="30" x14ac:dyDescent="0.25">
      <c r="A374" s="1" t="str">
        <f t="shared" si="13"/>
        <v>Pending</v>
      </c>
      <c r="B374" s="1" t="s">
        <v>691</v>
      </c>
      <c r="C374" s="1">
        <v>60</v>
      </c>
      <c r="D374" s="1" t="s">
        <v>573</v>
      </c>
      <c r="E374" s="1" t="s">
        <v>717</v>
      </c>
      <c r="F374" s="1" t="s">
        <v>53</v>
      </c>
      <c r="G374" s="1"/>
      <c r="H374" s="1"/>
      <c r="I374" s="1"/>
      <c r="J374" s="1"/>
      <c r="K374" s="1" t="s">
        <v>736</v>
      </c>
      <c r="L374" s="1" t="str" cm="1">
        <f t="array" ref="L374">_xlfn.REGEXEXTRACT(B374,"(?&lt;=//)[^/]+")</f>
        <v>bdsmstreak.com</v>
      </c>
      <c r="M374" s="1" t="s">
        <v>457</v>
      </c>
      <c r="N374" s="1" t="s">
        <v>1740</v>
      </c>
      <c r="O374" s="1" t="str" cm="1">
        <f t="array" ref="O374">IF(N374&lt;&gt;"NtApp",_xlfn.REGEXEXTRACT(N374,"\d+(?=p)"),"NtApp")</f>
        <v>NtApp</v>
      </c>
      <c r="P374" s="1" t="s">
        <v>1740</v>
      </c>
      <c r="Q374" s="1" t="b">
        <f t="shared" si="16"/>
        <v>0</v>
      </c>
      <c r="R374" s="1" t="s">
        <v>1685</v>
      </c>
      <c r="S374" s="1" t="s">
        <v>1685</v>
      </c>
      <c r="T374" s="1">
        <v>0</v>
      </c>
    </row>
    <row r="375" spans="1:20" ht="30" x14ac:dyDescent="0.25">
      <c r="A375" s="1" t="str">
        <f t="shared" si="13"/>
        <v>Pending</v>
      </c>
      <c r="B375" s="1" t="s">
        <v>890</v>
      </c>
      <c r="C375" s="1">
        <v>60</v>
      </c>
      <c r="D375" s="1" t="s">
        <v>891</v>
      </c>
      <c r="E375" s="1" t="s">
        <v>892</v>
      </c>
      <c r="F375" s="1" t="s">
        <v>53</v>
      </c>
      <c r="G375" s="1"/>
      <c r="H375" s="1"/>
      <c r="I375" s="1"/>
      <c r="J375" s="1"/>
      <c r="K375" s="1"/>
      <c r="L375" s="1" t="str" cm="1">
        <f t="array" ref="L375">_xlfn.REGEXEXTRACT(B375,"(?&lt;=//)[^/]+")</f>
        <v>bdsmstreak.com</v>
      </c>
      <c r="M375" s="1" t="s">
        <v>457</v>
      </c>
      <c r="N375" s="1" t="s">
        <v>1740</v>
      </c>
      <c r="O375" s="1" t="str" cm="1">
        <f t="array" ref="O375">IF(N375&lt;&gt;"NtApp",_xlfn.REGEXEXTRACT(N375,"\d+(?=p)"),"NtApp")</f>
        <v>NtApp</v>
      </c>
      <c r="P375" s="1" t="s">
        <v>1740</v>
      </c>
      <c r="Q375" s="1" t="b">
        <f t="shared" si="16"/>
        <v>0</v>
      </c>
      <c r="R375" s="1" t="s">
        <v>1729</v>
      </c>
      <c r="S375" s="1" t="s">
        <v>1729</v>
      </c>
      <c r="T375" s="1">
        <v>0</v>
      </c>
    </row>
    <row r="376" spans="1:20" ht="30" x14ac:dyDescent="0.25">
      <c r="A376" s="1" t="str">
        <f t="shared" si="13"/>
        <v>Pending</v>
      </c>
      <c r="B376" s="1" t="s">
        <v>998</v>
      </c>
      <c r="C376" s="1">
        <v>61</v>
      </c>
      <c r="D376" s="1" t="s">
        <v>572</v>
      </c>
      <c r="E376" s="1" t="s">
        <v>999</v>
      </c>
      <c r="F376" s="1" t="s">
        <v>54</v>
      </c>
      <c r="G376" s="1" t="s">
        <v>1753</v>
      </c>
      <c r="H376" s="1"/>
      <c r="I376" s="1"/>
      <c r="J376" s="1"/>
      <c r="K376" s="1"/>
      <c r="L376" s="1" t="str" cm="1">
        <f t="array" ref="L376">_xlfn.REGEXEXTRACT(B376,"(?&lt;=//)[^/]+")</f>
        <v>bdsmstreak.com</v>
      </c>
      <c r="M376" s="1" t="s">
        <v>457</v>
      </c>
      <c r="N376" s="1" t="s">
        <v>1740</v>
      </c>
      <c r="O376" s="1" t="str" cm="1">
        <f t="array" ref="O376">IF(N376&lt;&gt;"NtApp",_xlfn.REGEXEXTRACT(N376,"\d+(?=p)"),"NtApp")</f>
        <v>NtApp</v>
      </c>
      <c r="P376" s="1" t="s">
        <v>1740</v>
      </c>
      <c r="Q376" s="1" t="b">
        <f t="shared" si="16"/>
        <v>1</v>
      </c>
      <c r="R376" s="1" t="s">
        <v>1560</v>
      </c>
      <c r="S376" s="1" t="s">
        <v>1560</v>
      </c>
      <c r="T376" s="1">
        <v>6</v>
      </c>
    </row>
    <row r="377" spans="1:20" ht="30" x14ac:dyDescent="0.25">
      <c r="A377" s="1" t="str">
        <f t="shared" si="13"/>
        <v>Pending</v>
      </c>
      <c r="B377" s="1" t="s">
        <v>858</v>
      </c>
      <c r="C377" s="1">
        <v>61</v>
      </c>
      <c r="D377" s="1" t="s">
        <v>577</v>
      </c>
      <c r="E377" s="1" t="s">
        <v>859</v>
      </c>
      <c r="F377" s="1" t="s">
        <v>54</v>
      </c>
      <c r="G377" s="1" t="s">
        <v>1743</v>
      </c>
      <c r="H377" s="1"/>
      <c r="I377" s="1"/>
      <c r="J377" s="1"/>
      <c r="K377" s="1"/>
      <c r="L377" s="1" t="str" cm="1">
        <f t="array" ref="L377">_xlfn.REGEXEXTRACT(B377,"(?&lt;=//)[^/]+")</f>
        <v>bdsmstreak.com</v>
      </c>
      <c r="M377" s="1" t="s">
        <v>457</v>
      </c>
      <c r="N377" s="1" t="s">
        <v>1740</v>
      </c>
      <c r="O377" s="1" t="str" cm="1">
        <f t="array" ref="O377">IF(N377&lt;&gt;"NtApp",_xlfn.REGEXEXTRACT(N377,"\d+(?=p)"),"NtApp")</f>
        <v>NtApp</v>
      </c>
      <c r="P377" s="1" t="s">
        <v>1740</v>
      </c>
      <c r="Q377" s="1" t="b">
        <f t="shared" si="16"/>
        <v>1</v>
      </c>
      <c r="R377" s="1" t="s">
        <v>1514</v>
      </c>
      <c r="S377" s="1" t="s">
        <v>1514</v>
      </c>
      <c r="T377" s="1">
        <v>4</v>
      </c>
    </row>
    <row r="378" spans="1:20" ht="30" x14ac:dyDescent="0.25">
      <c r="A378" s="1" t="str">
        <f t="shared" si="13"/>
        <v>Pending</v>
      </c>
      <c r="B378" s="1" t="s">
        <v>1119</v>
      </c>
      <c r="C378" s="1">
        <v>61</v>
      </c>
      <c r="D378" s="1" t="s">
        <v>577</v>
      </c>
      <c r="E378" s="1" t="s">
        <v>1120</v>
      </c>
      <c r="F378" s="1" t="s">
        <v>53</v>
      </c>
      <c r="G378" s="1" t="s">
        <v>1759</v>
      </c>
      <c r="H378" s="1"/>
      <c r="I378" s="1"/>
      <c r="J378" s="1"/>
      <c r="K378" s="1"/>
      <c r="L378" s="1" t="str" cm="1">
        <f t="array" ref="L378">_xlfn.REGEXEXTRACT(B378,"(?&lt;=//)[^/]+")</f>
        <v>bdsmstreak.com</v>
      </c>
      <c r="M378" s="1" t="s">
        <v>457</v>
      </c>
      <c r="N378" s="1" t="s">
        <v>1740</v>
      </c>
      <c r="O378" s="1" t="str" cm="1">
        <f t="array" ref="O378">IF(N378&lt;&gt;"NtApp",_xlfn.REGEXEXTRACT(N378,"\d+(?=p)"),"NtApp")</f>
        <v>NtApp</v>
      </c>
      <c r="P378" s="1" t="s">
        <v>1740</v>
      </c>
      <c r="Q378" s="1" t="b">
        <f t="shared" si="16"/>
        <v>0</v>
      </c>
      <c r="R378" s="1" t="s">
        <v>1576</v>
      </c>
      <c r="S378" s="1" t="s">
        <v>1577</v>
      </c>
      <c r="T378" s="1">
        <v>2</v>
      </c>
    </row>
    <row r="379" spans="1:20" ht="30" x14ac:dyDescent="0.25">
      <c r="A379" s="1" t="str">
        <f t="shared" si="13"/>
        <v>Pending</v>
      </c>
      <c r="B379" s="1" t="s">
        <v>993</v>
      </c>
      <c r="C379" s="1">
        <v>61</v>
      </c>
      <c r="D379" s="1" t="s">
        <v>569</v>
      </c>
      <c r="E379" s="1" t="s">
        <v>994</v>
      </c>
      <c r="F379" s="1" t="s">
        <v>53</v>
      </c>
      <c r="G379" s="1" t="s">
        <v>1777</v>
      </c>
      <c r="H379" s="1"/>
      <c r="I379" s="1"/>
      <c r="J379" s="1"/>
      <c r="K379" s="1"/>
      <c r="L379" s="1" t="str" cm="1">
        <f t="array" ref="L379">_xlfn.REGEXEXTRACT(B379,"(?&lt;=//)[^/]+")</f>
        <v>bdsmstreak.com</v>
      </c>
      <c r="M379" s="1" t="s">
        <v>457</v>
      </c>
      <c r="N379" s="1" t="s">
        <v>1740</v>
      </c>
      <c r="O379" s="1" t="str" cm="1">
        <f t="array" ref="O379">IF(N379&lt;&gt;"NtApp",_xlfn.REGEXEXTRACT(N379,"\d+(?=p)"),"NtApp")</f>
        <v>NtApp</v>
      </c>
      <c r="P379" s="1" t="s">
        <v>1740</v>
      </c>
      <c r="Q379" s="1" t="b">
        <f t="shared" si="16"/>
        <v>1</v>
      </c>
      <c r="R379" s="1" t="s">
        <v>1718</v>
      </c>
      <c r="S379" s="1" t="s">
        <v>1718</v>
      </c>
      <c r="T379" s="1">
        <v>2</v>
      </c>
    </row>
    <row r="380" spans="1:20" ht="30" x14ac:dyDescent="0.25">
      <c r="A380" s="1" t="str">
        <f t="shared" si="13"/>
        <v>Pending</v>
      </c>
      <c r="B380" s="1" t="s">
        <v>1123</v>
      </c>
      <c r="C380" s="1">
        <v>61</v>
      </c>
      <c r="D380" s="1" t="s">
        <v>573</v>
      </c>
      <c r="E380" s="1" t="s">
        <v>1891</v>
      </c>
      <c r="F380" s="1" t="s">
        <v>54</v>
      </c>
      <c r="G380" s="1" t="s">
        <v>802</v>
      </c>
      <c r="H380" s="1"/>
      <c r="I380" s="1"/>
      <c r="J380" s="1"/>
      <c r="K380" s="1"/>
      <c r="L380" s="1" t="str" cm="1">
        <f t="array" ref="L380">_xlfn.REGEXEXTRACT(B380,"(?&lt;=//)[^/]+")</f>
        <v>bdsmstreak.com</v>
      </c>
      <c r="M380" s="1" t="s">
        <v>457</v>
      </c>
      <c r="N380" s="1" t="s">
        <v>1740</v>
      </c>
      <c r="O380" s="1" t="str" cm="1">
        <f t="array" ref="O380">IF(N380&lt;&gt;"NtApp",_xlfn.REGEXEXTRACT(N380,"\d+(?=p)"),"NtApp")</f>
        <v>NtApp</v>
      </c>
      <c r="P380" s="1" t="s">
        <v>1740</v>
      </c>
      <c r="Q380" s="1" t="b">
        <f t="shared" si="16"/>
        <v>1</v>
      </c>
      <c r="R380" s="1" t="s">
        <v>1740</v>
      </c>
      <c r="S380" s="1" t="s">
        <v>1542</v>
      </c>
      <c r="T380" s="1">
        <v>1</v>
      </c>
    </row>
    <row r="381" spans="1:20" ht="30" x14ac:dyDescent="0.25">
      <c r="A381" s="1" t="str">
        <f t="shared" si="13"/>
        <v>Pending</v>
      </c>
      <c r="B381" s="1" t="s">
        <v>1017</v>
      </c>
      <c r="C381" s="1">
        <v>61</v>
      </c>
      <c r="D381" s="1" t="s">
        <v>572</v>
      </c>
      <c r="E381" s="1" t="s">
        <v>1018</v>
      </c>
      <c r="F381" s="1" t="s">
        <v>54</v>
      </c>
      <c r="G381" s="1" t="s">
        <v>1754</v>
      </c>
      <c r="H381" s="1"/>
      <c r="I381" s="1"/>
      <c r="J381" s="1"/>
      <c r="K381" s="1"/>
      <c r="L381" s="1" t="str" cm="1">
        <f t="array" ref="L381">_xlfn.REGEXEXTRACT(B381,"(?&lt;=//)[^/]+")</f>
        <v>hcbdsm.com</v>
      </c>
      <c r="M381" s="1" t="s">
        <v>457</v>
      </c>
      <c r="N381" s="1" t="s">
        <v>1740</v>
      </c>
      <c r="O381" s="1" t="str" cm="1">
        <f t="array" ref="O381">IF(N381&lt;&gt;"NtApp",_xlfn.REGEXEXTRACT(N381,"\d+(?=p)"),"NtApp")</f>
        <v>NtApp</v>
      </c>
      <c r="P381" s="1" t="s">
        <v>1740</v>
      </c>
      <c r="Q381" s="1" t="b">
        <f t="shared" si="16"/>
        <v>1</v>
      </c>
      <c r="R381" s="1" t="s">
        <v>1573</v>
      </c>
      <c r="S381" s="1" t="s">
        <v>1573</v>
      </c>
      <c r="T381" s="1">
        <v>1</v>
      </c>
    </row>
    <row r="382" spans="1:20" ht="30" x14ac:dyDescent="0.25">
      <c r="A382" s="1" t="str">
        <f t="shared" si="13"/>
        <v>Pending</v>
      </c>
      <c r="B382" s="1" t="s">
        <v>901</v>
      </c>
      <c r="C382" s="1">
        <v>62</v>
      </c>
      <c r="D382" s="1" t="s">
        <v>573</v>
      </c>
      <c r="E382" s="1" t="s">
        <v>1776</v>
      </c>
      <c r="F382" s="1" t="s">
        <v>53</v>
      </c>
      <c r="G382" s="1" t="s">
        <v>1768</v>
      </c>
      <c r="H382" s="1"/>
      <c r="I382" s="1"/>
      <c r="J382" s="1"/>
      <c r="K382" s="1"/>
      <c r="L382" s="1" t="str" cm="1">
        <f t="array" ref="L382">_xlfn.REGEXEXTRACT(B382,"(?&lt;=//)[^/]+")</f>
        <v>bdsmstreak.com</v>
      </c>
      <c r="M382" s="1" t="s">
        <v>457</v>
      </c>
      <c r="N382" s="1" t="s">
        <v>1740</v>
      </c>
      <c r="O382" s="1" t="str" cm="1">
        <f t="array" ref="O382">IF(N382&lt;&gt;"NtApp",_xlfn.REGEXEXTRACT(N382,"\d+(?=p)"),"NtApp")</f>
        <v>NtApp</v>
      </c>
      <c r="P382" s="1" t="s">
        <v>1740</v>
      </c>
      <c r="Q382" s="1" t="b">
        <f t="shared" si="16"/>
        <v>1</v>
      </c>
      <c r="R382" s="1" t="s">
        <v>1690</v>
      </c>
      <c r="S382" s="1" t="s">
        <v>1690</v>
      </c>
      <c r="T382" s="1">
        <v>6</v>
      </c>
    </row>
    <row r="383" spans="1:20" ht="45" x14ac:dyDescent="0.25">
      <c r="A383" s="1" t="str">
        <f t="shared" si="13"/>
        <v>Pending</v>
      </c>
      <c r="B383" s="1" t="s">
        <v>883</v>
      </c>
      <c r="C383" s="1">
        <v>62</v>
      </c>
      <c r="D383" s="1" t="s">
        <v>577</v>
      </c>
      <c r="E383" s="1" t="s">
        <v>852</v>
      </c>
      <c r="F383" s="1" t="s">
        <v>53</v>
      </c>
      <c r="G383" s="1"/>
      <c r="H383" s="1" t="s">
        <v>2018</v>
      </c>
      <c r="I383" s="1"/>
      <c r="J383" s="1"/>
      <c r="K383" s="1"/>
      <c r="L383" s="1" t="str" cm="1">
        <f t="array" ref="L383">_xlfn.REGEXEXTRACT(B383,"(?&lt;=//)[^/]+")</f>
        <v>bdsmstreak.com</v>
      </c>
      <c r="M383" s="1" t="s">
        <v>457</v>
      </c>
      <c r="N383" s="1" t="s">
        <v>1740</v>
      </c>
      <c r="O383" s="1" t="str" cm="1">
        <f t="array" ref="O383">IF(N383&lt;&gt;"NtApp",_xlfn.REGEXEXTRACT(N383,"\d+(?=p)"),"NtApp")</f>
        <v>NtApp</v>
      </c>
      <c r="P383" s="1" t="s">
        <v>1740</v>
      </c>
      <c r="Q383" s="1" t="b">
        <f t="shared" si="16"/>
        <v>0</v>
      </c>
      <c r="R383" s="1" t="s">
        <v>1878</v>
      </c>
      <c r="S383" s="1" t="s">
        <v>1879</v>
      </c>
      <c r="T383" s="1">
        <v>4</v>
      </c>
    </row>
    <row r="384" spans="1:20" ht="45" x14ac:dyDescent="0.25">
      <c r="A384" s="1" t="str">
        <f t="shared" si="13"/>
        <v>Pending</v>
      </c>
      <c r="B384" s="1" t="s">
        <v>987</v>
      </c>
      <c r="C384" s="1">
        <v>62</v>
      </c>
      <c r="D384" s="1" t="s">
        <v>873</v>
      </c>
      <c r="E384" s="1" t="s">
        <v>988</v>
      </c>
      <c r="F384" s="1" t="s">
        <v>53</v>
      </c>
      <c r="G384" s="1"/>
      <c r="H384" s="1"/>
      <c r="I384" s="1"/>
      <c r="J384" s="1"/>
      <c r="K384" s="1"/>
      <c r="L384" s="1" t="str" cm="1">
        <f t="array" ref="L384">_xlfn.REGEXEXTRACT(B384,"(?&lt;=//)[^/]+")</f>
        <v>hcbdsm.com</v>
      </c>
      <c r="M384" s="1" t="s">
        <v>457</v>
      </c>
      <c r="N384" s="1" t="s">
        <v>1740</v>
      </c>
      <c r="O384" s="1" t="str" cm="1">
        <f t="array" ref="O384">IF(N384&lt;&gt;"NtApp",_xlfn.REGEXEXTRACT(N384,"\d+(?=p)"),"NtApp")</f>
        <v>NtApp</v>
      </c>
      <c r="P384" s="1" t="s">
        <v>1740</v>
      </c>
      <c r="Q384" s="1" t="b">
        <f t="shared" si="16"/>
        <v>0</v>
      </c>
      <c r="R384" s="1" t="s">
        <v>1644</v>
      </c>
      <c r="S384" s="1" t="s">
        <v>1886</v>
      </c>
      <c r="T384" s="1">
        <v>0</v>
      </c>
    </row>
    <row r="385" spans="1:20" ht="30" x14ac:dyDescent="0.25">
      <c r="A385" s="1" t="str">
        <f t="shared" si="13"/>
        <v>Pending</v>
      </c>
      <c r="B385" s="1" t="s">
        <v>751</v>
      </c>
      <c r="C385" s="1">
        <v>62</v>
      </c>
      <c r="D385" s="1" t="s">
        <v>573</v>
      </c>
      <c r="E385" s="1" t="s">
        <v>163</v>
      </c>
      <c r="F385" s="1" t="s">
        <v>53</v>
      </c>
      <c r="G385" s="1"/>
      <c r="H385" s="1"/>
      <c r="I385" s="1"/>
      <c r="J385" s="1"/>
      <c r="K385" s="1" t="s">
        <v>733</v>
      </c>
      <c r="L385" s="1" t="str" cm="1">
        <f t="array" ref="L385">_xlfn.REGEXEXTRACT(B385,"(?&lt;=//)[^/]+")</f>
        <v>bdsmstreak.com</v>
      </c>
      <c r="M385" s="1" t="s">
        <v>457</v>
      </c>
      <c r="N385" s="1" t="s">
        <v>1740</v>
      </c>
      <c r="O385" s="1" t="str" cm="1">
        <f t="array" ref="O385">IF(N385&lt;&gt;"NtApp",_xlfn.REGEXEXTRACT(N385,"\d+(?=p)"),"NtApp")</f>
        <v>NtApp</v>
      </c>
      <c r="P385" s="1" t="s">
        <v>1740</v>
      </c>
      <c r="Q385" s="1" t="b">
        <f t="shared" si="16"/>
        <v>0</v>
      </c>
      <c r="R385" s="1" t="s">
        <v>1689</v>
      </c>
      <c r="S385" s="1" t="s">
        <v>1688</v>
      </c>
      <c r="T385" s="1">
        <v>0</v>
      </c>
    </row>
    <row r="386" spans="1:20" ht="30" x14ac:dyDescent="0.25">
      <c r="A386" s="1" t="str">
        <f t="shared" ref="A386:A449" si="17">IF(ISBLANK(I386)=TRUE,"Pending","Done")</f>
        <v>Pending</v>
      </c>
      <c r="B386" s="1" t="s">
        <v>756</v>
      </c>
      <c r="C386" s="1">
        <v>62</v>
      </c>
      <c r="D386" s="1" t="s">
        <v>573</v>
      </c>
      <c r="E386" s="1" t="s">
        <v>768</v>
      </c>
      <c r="F386" s="1" t="s">
        <v>53</v>
      </c>
      <c r="G386" s="1"/>
      <c r="H386" s="1"/>
      <c r="I386" s="1"/>
      <c r="J386" s="1"/>
      <c r="K386" s="1" t="s">
        <v>773</v>
      </c>
      <c r="L386" s="1" t="str" cm="1">
        <f t="array" ref="L386">_xlfn.REGEXEXTRACT(B386,"(?&lt;=//)[^/]+")</f>
        <v>bdsmstreak.com</v>
      </c>
      <c r="M386" s="1" t="s">
        <v>457</v>
      </c>
      <c r="N386" s="1" t="s">
        <v>1740</v>
      </c>
      <c r="O386" s="1" t="str" cm="1">
        <f t="array" ref="O386">IF(N386&lt;&gt;"NtApp",_xlfn.REGEXEXTRACT(N386,"\d+(?=p)"),"NtApp")</f>
        <v>NtApp</v>
      </c>
      <c r="P386" s="1" t="s">
        <v>1740</v>
      </c>
      <c r="Q386" s="1" t="b">
        <f t="shared" si="16"/>
        <v>0</v>
      </c>
      <c r="R386" s="1" t="s">
        <v>1909</v>
      </c>
      <c r="S386" s="1" t="s">
        <v>1909</v>
      </c>
      <c r="T386" s="1">
        <v>0</v>
      </c>
    </row>
    <row r="387" spans="1:20" ht="45" x14ac:dyDescent="0.25">
      <c r="A387" s="1" t="str">
        <f t="shared" si="17"/>
        <v>Pending</v>
      </c>
      <c r="B387" s="1" t="s">
        <v>951</v>
      </c>
      <c r="C387" s="1">
        <v>62</v>
      </c>
      <c r="D387" s="1" t="s">
        <v>784</v>
      </c>
      <c r="E387" s="1" t="s">
        <v>131</v>
      </c>
      <c r="F387" s="1" t="s">
        <v>53</v>
      </c>
      <c r="G387" s="1"/>
      <c r="H387" s="1"/>
      <c r="I387" s="1"/>
      <c r="J387" s="1"/>
      <c r="K387" s="1"/>
      <c r="L387" s="1" t="str" cm="1">
        <f t="array" ref="L387">_xlfn.REGEXEXTRACT(B387,"(?&lt;=//)[^/]+")</f>
        <v>www.twistedfactory.com</v>
      </c>
      <c r="M387" s="1" t="s">
        <v>457</v>
      </c>
      <c r="N387" s="1" t="s">
        <v>1740</v>
      </c>
      <c r="O387" s="1" t="str" cm="1">
        <f t="array" ref="O387">IF(N387&lt;&gt;"NtApp",_xlfn.REGEXEXTRACT(N387,"\d+(?=p)"),"NtApp")</f>
        <v>NtApp</v>
      </c>
      <c r="P387" s="1" t="s">
        <v>1740</v>
      </c>
      <c r="Q387" s="1" t="b">
        <f t="shared" si="16"/>
        <v>0</v>
      </c>
      <c r="R387" s="1" t="s">
        <v>1913</v>
      </c>
      <c r="S387" s="1" t="s">
        <v>1913</v>
      </c>
      <c r="T387" s="1">
        <v>0</v>
      </c>
    </row>
    <row r="388" spans="1:20" ht="45" x14ac:dyDescent="0.25">
      <c r="A388" s="1" t="str">
        <f t="shared" si="17"/>
        <v>Pending</v>
      </c>
      <c r="B388" s="1" t="s">
        <v>1574</v>
      </c>
      <c r="C388" s="1">
        <v>62</v>
      </c>
      <c r="D388" s="1" t="s">
        <v>572</v>
      </c>
      <c r="E388" s="1" t="s">
        <v>611</v>
      </c>
      <c r="F388" s="1" t="s">
        <v>54</v>
      </c>
      <c r="G388" s="1" t="s">
        <v>802</v>
      </c>
      <c r="H388" s="1"/>
      <c r="I388" s="1"/>
      <c r="J388" s="1"/>
      <c r="K388" s="1"/>
      <c r="L388" s="1" t="str" cm="1">
        <f t="array" ref="L388">_xlfn.REGEXEXTRACT(B388,"(?&lt;=//)[^/]+")</f>
        <v>hcbdsm.com</v>
      </c>
      <c r="M388" s="1" t="s">
        <v>457</v>
      </c>
      <c r="N388" s="1" t="s">
        <v>1740</v>
      </c>
      <c r="O388" s="1" t="str" cm="1">
        <f t="array" ref="O388">IF(N388&lt;&gt;"NtApp",_xlfn.REGEXEXTRACT(N388,"\d+(?=p)"),"NtApp")</f>
        <v>NtApp</v>
      </c>
      <c r="P388" s="1" t="s">
        <v>1740</v>
      </c>
      <c r="Q388" s="1" t="b">
        <f t="shared" si="16"/>
        <v>1</v>
      </c>
      <c r="R388" s="1" t="s">
        <v>1933</v>
      </c>
      <c r="S388" s="1" t="s">
        <v>1934</v>
      </c>
      <c r="T388" s="1">
        <v>0</v>
      </c>
    </row>
    <row r="389" spans="1:20" ht="30" x14ac:dyDescent="0.25">
      <c r="A389" s="1" t="str">
        <f t="shared" si="17"/>
        <v>Pending</v>
      </c>
      <c r="B389" s="1" t="s">
        <v>906</v>
      </c>
      <c r="C389" s="1">
        <v>63</v>
      </c>
      <c r="D389" s="1" t="s">
        <v>571</v>
      </c>
      <c r="E389" s="1" t="s">
        <v>907</v>
      </c>
      <c r="F389" s="1" t="s">
        <v>54</v>
      </c>
      <c r="G389" s="1" t="s">
        <v>1750</v>
      </c>
      <c r="H389" s="1"/>
      <c r="I389" s="1"/>
      <c r="J389" s="1"/>
      <c r="K389" s="1"/>
      <c r="L389" s="1" t="str" cm="1">
        <f t="array" ref="L389">_xlfn.REGEXEXTRACT(B389,"(?&lt;=//)[^/]+")</f>
        <v>bdsmstreak.com</v>
      </c>
      <c r="M389" s="1" t="s">
        <v>457</v>
      </c>
      <c r="N389" s="1" t="s">
        <v>1740</v>
      </c>
      <c r="O389" s="1" t="str" cm="1">
        <f t="array" ref="O389">IF(N389&lt;&gt;"NtApp",_xlfn.REGEXEXTRACT(N389,"\d+(?=p)"),"NtApp")</f>
        <v>NtApp</v>
      </c>
      <c r="P389" s="1" t="s">
        <v>1740</v>
      </c>
      <c r="Q389" s="1" t="b">
        <f t="shared" si="16"/>
        <v>1</v>
      </c>
      <c r="R389" s="1" t="s">
        <v>1559</v>
      </c>
      <c r="S389" s="1" t="s">
        <v>1559</v>
      </c>
      <c r="T389" s="1">
        <v>4</v>
      </c>
    </row>
    <row r="390" spans="1:20" ht="30" x14ac:dyDescent="0.25">
      <c r="A390" s="1" t="str">
        <f t="shared" si="17"/>
        <v>Pending</v>
      </c>
      <c r="B390" s="1" t="s">
        <v>1130</v>
      </c>
      <c r="C390" s="1">
        <v>63</v>
      </c>
      <c r="D390" s="1" t="s">
        <v>573</v>
      </c>
      <c r="E390" s="1" t="s">
        <v>764</v>
      </c>
      <c r="F390" s="1" t="s">
        <v>53</v>
      </c>
      <c r="G390" s="1" t="s">
        <v>1761</v>
      </c>
      <c r="H390" s="1" t="s">
        <v>1987</v>
      </c>
      <c r="I390" s="1"/>
      <c r="J390" s="1"/>
      <c r="K390" s="1"/>
      <c r="L390" s="1" t="str" cm="1">
        <f t="array" ref="L390">_xlfn.REGEXEXTRACT(B390,"(?&lt;=//)[^/]+")</f>
        <v>bdsmstreak.com</v>
      </c>
      <c r="M390" s="1" t="s">
        <v>457</v>
      </c>
      <c r="N390" s="1" t="s">
        <v>1740</v>
      </c>
      <c r="O390" s="1" t="str" cm="1">
        <f t="array" ref="O390">IF(N390&lt;&gt;"NtApp",_xlfn.REGEXEXTRACT(N390,"\d+(?=p)"),"NtApp")</f>
        <v>NtApp</v>
      </c>
      <c r="P390" s="1" t="s">
        <v>1740</v>
      </c>
      <c r="Q390" s="1" t="b">
        <f t="shared" si="16"/>
        <v>0</v>
      </c>
      <c r="R390" s="1" t="s">
        <v>1691</v>
      </c>
      <c r="S390" s="1" t="s">
        <v>1691</v>
      </c>
      <c r="T390" s="1">
        <v>3</v>
      </c>
    </row>
    <row r="391" spans="1:20" x14ac:dyDescent="0.25">
      <c r="A391" s="1" t="str">
        <f t="shared" si="17"/>
        <v>Pending</v>
      </c>
      <c r="B391" s="1" t="s">
        <v>956</v>
      </c>
      <c r="C391" s="1">
        <v>63</v>
      </c>
      <c r="D391" s="1" t="s">
        <v>569</v>
      </c>
      <c r="E391" s="1" t="s">
        <v>775</v>
      </c>
      <c r="F391" s="1" t="s">
        <v>53</v>
      </c>
      <c r="G391" s="1" t="s">
        <v>957</v>
      </c>
      <c r="H391" s="1"/>
      <c r="I391" s="1"/>
      <c r="J391" s="1"/>
      <c r="K391" s="1"/>
      <c r="L391" s="1" t="str" cm="1">
        <f t="array" ref="L391">_xlfn.REGEXEXTRACT(B391,"(?&lt;=//)[^/]+")</f>
        <v>www.kink.com</v>
      </c>
      <c r="M391" s="1" t="s">
        <v>457</v>
      </c>
      <c r="N391" s="1" t="s">
        <v>1740</v>
      </c>
      <c r="O391" s="1" t="str" cm="1">
        <f t="array" ref="O391">IF(N391&lt;&gt;"NtApp",_xlfn.REGEXEXTRACT(N391,"\d+(?=p)"),"NtApp")</f>
        <v>NtApp</v>
      </c>
      <c r="P391" s="1" t="s">
        <v>1740</v>
      </c>
      <c r="Q391" s="1" t="b">
        <f t="shared" si="16"/>
        <v>0</v>
      </c>
      <c r="R391" s="1" t="s">
        <v>1179</v>
      </c>
      <c r="S391" s="1" t="s">
        <v>1179</v>
      </c>
      <c r="T391" s="1">
        <v>3</v>
      </c>
    </row>
    <row r="392" spans="1:20" ht="30" x14ac:dyDescent="0.25">
      <c r="A392" s="1" t="str">
        <f t="shared" si="17"/>
        <v>Pending</v>
      </c>
      <c r="B392" s="1" t="s">
        <v>997</v>
      </c>
      <c r="C392" s="1">
        <v>63</v>
      </c>
      <c r="D392" s="1" t="s">
        <v>569</v>
      </c>
      <c r="E392" s="1" t="s">
        <v>149</v>
      </c>
      <c r="F392" s="1" t="s">
        <v>53</v>
      </c>
      <c r="G392" s="1" t="s">
        <v>1765</v>
      </c>
      <c r="H392" s="1"/>
      <c r="I392" s="1"/>
      <c r="J392" s="1"/>
      <c r="K392" s="1"/>
      <c r="L392" s="1" t="str" cm="1">
        <f t="array" ref="L392">_xlfn.REGEXEXTRACT(B392,"(?&lt;=//)[^/]+")</f>
        <v>bdsmstreak.com</v>
      </c>
      <c r="M392" s="1" t="s">
        <v>457</v>
      </c>
      <c r="N392" s="1" t="s">
        <v>1740</v>
      </c>
      <c r="O392" s="1" t="str" cm="1">
        <f t="array" ref="O392">IF(N392&lt;&gt;"NtApp",_xlfn.REGEXEXTRACT(N392,"\d+(?=p)"),"NtApp")</f>
        <v>NtApp</v>
      </c>
      <c r="P392" s="1" t="s">
        <v>1740</v>
      </c>
      <c r="Q392" s="1" t="b">
        <f t="shared" si="16"/>
        <v>0</v>
      </c>
      <c r="R392" s="1" t="s">
        <v>1720</v>
      </c>
      <c r="S392" s="1" t="s">
        <v>1719</v>
      </c>
      <c r="T392" s="1">
        <v>3</v>
      </c>
    </row>
    <row r="393" spans="1:20" ht="30" x14ac:dyDescent="0.25">
      <c r="A393" s="1" t="str">
        <f t="shared" si="17"/>
        <v>Pending</v>
      </c>
      <c r="B393" s="1" t="s">
        <v>1023</v>
      </c>
      <c r="C393" s="1">
        <v>63</v>
      </c>
      <c r="D393" s="1" t="s">
        <v>577</v>
      </c>
      <c r="E393" s="1" t="s">
        <v>163</v>
      </c>
      <c r="F393" s="1" t="s">
        <v>53</v>
      </c>
      <c r="G393" s="1" t="s">
        <v>850</v>
      </c>
      <c r="H393" s="1"/>
      <c r="I393" s="1"/>
      <c r="J393" s="1"/>
      <c r="K393" s="1"/>
      <c r="L393" s="1" t="str" cm="1">
        <f t="array" ref="L393">_xlfn.REGEXEXTRACT(B393,"(?&lt;=//)[^/]+")</f>
        <v>bdsmstreak.com</v>
      </c>
      <c r="M393" s="1" t="s">
        <v>457</v>
      </c>
      <c r="N393" s="1" t="s">
        <v>1740</v>
      </c>
      <c r="O393" s="1" t="str" cm="1">
        <f t="array" ref="O393">IF(N393&lt;&gt;"NtApp",_xlfn.REGEXEXTRACT(N393,"\d+(?=p)"),"NtApp")</f>
        <v>NtApp</v>
      </c>
      <c r="P393" s="1" t="s">
        <v>1740</v>
      </c>
      <c r="Q393" s="1" t="b">
        <f t="shared" si="16"/>
        <v>0</v>
      </c>
      <c r="R393" s="1" t="s">
        <v>1623</v>
      </c>
      <c r="S393" s="1" t="s">
        <v>1623</v>
      </c>
      <c r="T393" s="1">
        <v>2</v>
      </c>
    </row>
    <row r="394" spans="1:20" ht="30" x14ac:dyDescent="0.25">
      <c r="A394" s="1" t="str">
        <f t="shared" si="17"/>
        <v>Pending</v>
      </c>
      <c r="B394" s="1" t="s">
        <v>1113</v>
      </c>
      <c r="C394" s="1">
        <v>63</v>
      </c>
      <c r="D394" s="1" t="s">
        <v>784</v>
      </c>
      <c r="E394" s="1" t="s">
        <v>1114</v>
      </c>
      <c r="F394" s="1" t="s">
        <v>53</v>
      </c>
      <c r="G394" s="1" t="s">
        <v>2103</v>
      </c>
      <c r="H394" s="1"/>
      <c r="I394" s="1"/>
      <c r="J394" s="1"/>
      <c r="K394" s="1"/>
      <c r="L394" s="1" t="str" cm="1">
        <f t="array" ref="L394">_xlfn.REGEXEXTRACT(B394,"(?&lt;=//)[^/]+")</f>
        <v>www.twistedfactory.com</v>
      </c>
      <c r="M394" s="1" t="s">
        <v>457</v>
      </c>
      <c r="N394" s="1" t="s">
        <v>1740</v>
      </c>
      <c r="O394" s="1" t="str" cm="1">
        <f t="array" ref="O394">IF(N394&lt;&gt;"NtApp",_xlfn.REGEXEXTRACT(N394,"\d+(?=p)"),"NtApp")</f>
        <v>NtApp</v>
      </c>
      <c r="P394" s="1" t="s">
        <v>1740</v>
      </c>
      <c r="Q394" s="1" t="b">
        <f t="shared" si="16"/>
        <v>0</v>
      </c>
      <c r="R394" s="1" t="s">
        <v>1915</v>
      </c>
      <c r="S394" s="1" t="s">
        <v>1915</v>
      </c>
      <c r="T394" s="1">
        <v>2</v>
      </c>
    </row>
    <row r="395" spans="1:20" x14ac:dyDescent="0.25">
      <c r="A395" s="1" t="str">
        <f t="shared" si="17"/>
        <v>Pending</v>
      </c>
      <c r="B395" s="1" t="s">
        <v>1117</v>
      </c>
      <c r="C395" s="1">
        <v>63</v>
      </c>
      <c r="D395" s="1" t="s">
        <v>572</v>
      </c>
      <c r="E395" s="1" t="s">
        <v>1118</v>
      </c>
      <c r="F395" s="1" t="s">
        <v>54</v>
      </c>
      <c r="G395" s="1" t="s">
        <v>802</v>
      </c>
      <c r="H395" s="1"/>
      <c r="I395" s="1"/>
      <c r="J395" s="1"/>
      <c r="K395" s="1"/>
      <c r="L395" s="1" t="str" cm="1">
        <f t="array" ref="L395">_xlfn.REGEXEXTRACT(B395,"(?&lt;=//)[^/]+")</f>
        <v>bdsmstreak.com</v>
      </c>
      <c r="M395" s="1" t="s">
        <v>457</v>
      </c>
      <c r="N395" s="1" t="s">
        <v>1740</v>
      </c>
      <c r="O395" s="1" t="str" cm="1">
        <f t="array" ref="O395">IF(N395&lt;&gt;"NtApp",_xlfn.REGEXEXTRACT(N395,"\d+(?=p)"),"NtApp")</f>
        <v>NtApp</v>
      </c>
      <c r="P395" s="1" t="s">
        <v>1740</v>
      </c>
      <c r="Q395" s="1" t="b">
        <f t="shared" si="16"/>
        <v>1</v>
      </c>
      <c r="R395" s="1" t="s">
        <v>1575</v>
      </c>
      <c r="S395" s="1" t="s">
        <v>1575</v>
      </c>
      <c r="T395" s="1">
        <v>1</v>
      </c>
    </row>
    <row r="396" spans="1:20" ht="30" x14ac:dyDescent="0.25">
      <c r="A396" s="1" t="str">
        <f t="shared" si="17"/>
        <v>Pending</v>
      </c>
      <c r="B396" s="1" t="s">
        <v>925</v>
      </c>
      <c r="C396" s="1">
        <v>63</v>
      </c>
      <c r="D396" s="1" t="s">
        <v>577</v>
      </c>
      <c r="E396" s="1" t="s">
        <v>765</v>
      </c>
      <c r="F396" s="1" t="s">
        <v>53</v>
      </c>
      <c r="G396" s="1"/>
      <c r="H396" s="1"/>
      <c r="I396" s="1"/>
      <c r="J396" s="1"/>
      <c r="K396" s="1"/>
      <c r="L396" s="1" t="str" cm="1">
        <f t="array" ref="L396">_xlfn.REGEXEXTRACT(B396,"(?&lt;=//)[^/]+")</f>
        <v>bdsmstreak.com</v>
      </c>
      <c r="M396" s="1" t="s">
        <v>457</v>
      </c>
      <c r="N396" s="1" t="s">
        <v>1740</v>
      </c>
      <c r="O396" s="1" t="str" cm="1">
        <f t="array" ref="O396">IF(N396&lt;&gt;"NtApp",_xlfn.REGEXEXTRACT(N396,"\d+(?=p)"),"NtApp")</f>
        <v>NtApp</v>
      </c>
      <c r="P396" s="1" t="s">
        <v>1740</v>
      </c>
      <c r="Q396" s="1" t="b">
        <f t="shared" si="16"/>
        <v>0</v>
      </c>
      <c r="R396" s="1" t="s">
        <v>1625</v>
      </c>
      <c r="S396" s="1" t="s">
        <v>1625</v>
      </c>
      <c r="T396" s="1">
        <v>0</v>
      </c>
    </row>
    <row r="397" spans="1:20" ht="30" x14ac:dyDescent="0.25">
      <c r="A397" s="1" t="str">
        <f t="shared" si="17"/>
        <v>Pending</v>
      </c>
      <c r="B397" s="1" t="s">
        <v>968</v>
      </c>
      <c r="C397" s="1">
        <v>63</v>
      </c>
      <c r="D397" s="1" t="s">
        <v>784</v>
      </c>
      <c r="E397" s="1" t="s">
        <v>939</v>
      </c>
      <c r="F397" s="1" t="s">
        <v>53</v>
      </c>
      <c r="G397" s="1"/>
      <c r="H397" s="1"/>
      <c r="I397" s="1"/>
      <c r="J397" s="1"/>
      <c r="K397" s="1"/>
      <c r="L397" s="1" t="str" cm="1">
        <f t="array" ref="L397">_xlfn.REGEXEXTRACT(B397,"(?&lt;=//)[^/]+")</f>
        <v>www.twistedfactory.com</v>
      </c>
      <c r="M397" s="1" t="s">
        <v>457</v>
      </c>
      <c r="N397" s="1" t="s">
        <v>1740</v>
      </c>
      <c r="O397" s="1" t="str" cm="1">
        <f t="array" ref="O397">IF(N397&lt;&gt;"NtApp",_xlfn.REGEXEXTRACT(N397,"\d+(?=p)"),"NtApp")</f>
        <v>NtApp</v>
      </c>
      <c r="P397" s="1" t="s">
        <v>1740</v>
      </c>
      <c r="Q397" s="1" t="b">
        <f t="shared" si="16"/>
        <v>0</v>
      </c>
      <c r="R397" s="1" t="s">
        <v>1914</v>
      </c>
      <c r="S397" s="1" t="s">
        <v>1914</v>
      </c>
      <c r="T397" s="1">
        <v>0</v>
      </c>
    </row>
    <row r="398" spans="1:20" ht="30" x14ac:dyDescent="0.25">
      <c r="A398" s="1" t="str">
        <f t="shared" si="17"/>
        <v>Pending</v>
      </c>
      <c r="B398" s="1" t="s">
        <v>692</v>
      </c>
      <c r="C398" s="1">
        <v>63</v>
      </c>
      <c r="D398" s="1" t="s">
        <v>571</v>
      </c>
      <c r="E398" s="1" t="s">
        <v>718</v>
      </c>
      <c r="F398" s="1" t="s">
        <v>54</v>
      </c>
      <c r="G398" s="1" t="s">
        <v>802</v>
      </c>
      <c r="H398" s="1"/>
      <c r="I398" s="1"/>
      <c r="J398" s="1"/>
      <c r="K398" s="1" t="s">
        <v>609</v>
      </c>
      <c r="L398" s="1" t="str" cm="1">
        <f t="array" ref="L398">_xlfn.REGEXEXTRACT(B398,"(?&lt;=//)[^/]+")</f>
        <v>heavyfetish.com</v>
      </c>
      <c r="M398" s="1" t="s">
        <v>457</v>
      </c>
      <c r="N398" s="1" t="s">
        <v>1740</v>
      </c>
      <c r="O398" s="1" t="str" cm="1">
        <f t="array" ref="O398">IF(N398&lt;&gt;"NtApp",_xlfn.REGEXEXTRACT(N398,"\d+(?=p)"),"NtApp")</f>
        <v>NtApp</v>
      </c>
      <c r="P398" s="1" t="s">
        <v>1740</v>
      </c>
      <c r="Q398" s="1" t="b">
        <f t="shared" si="16"/>
        <v>1</v>
      </c>
      <c r="R398" s="1" t="s">
        <v>1558</v>
      </c>
      <c r="S398" s="1" t="s">
        <v>1557</v>
      </c>
      <c r="T398" s="1">
        <v>0</v>
      </c>
    </row>
    <row r="399" spans="1:20" ht="30" x14ac:dyDescent="0.25">
      <c r="A399" s="1" t="str">
        <f t="shared" si="17"/>
        <v>Pending</v>
      </c>
      <c r="B399" s="1" t="s">
        <v>618</v>
      </c>
      <c r="C399" s="1">
        <v>63</v>
      </c>
      <c r="D399" s="1" t="s">
        <v>571</v>
      </c>
      <c r="E399" s="1" t="s">
        <v>1920</v>
      </c>
      <c r="F399" s="1" t="s">
        <v>54</v>
      </c>
      <c r="G399" s="1" t="s">
        <v>808</v>
      </c>
      <c r="H399" s="1"/>
      <c r="I399" s="1"/>
      <c r="J399" s="1"/>
      <c r="K399" s="1"/>
      <c r="L399" s="1" t="str" cm="1">
        <f t="array" ref="L399">_xlfn.REGEXEXTRACT(B399,"(?&lt;=//)[^/]+")</f>
        <v>bdsmstreak.com</v>
      </c>
      <c r="M399" s="1" t="s">
        <v>457</v>
      </c>
      <c r="N399" s="1" t="s">
        <v>1740</v>
      </c>
      <c r="O399" s="1" t="str" cm="1">
        <f t="array" ref="O399">IF(N399&lt;&gt;"NtApp",_xlfn.REGEXEXTRACT(N399,"\d+(?=p)"),"NtApp")</f>
        <v>NtApp</v>
      </c>
      <c r="P399" s="1" t="s">
        <v>1740</v>
      </c>
      <c r="Q399" s="1" t="b">
        <f t="shared" si="16"/>
        <v>1</v>
      </c>
      <c r="R399" s="1" t="s">
        <v>1921</v>
      </c>
      <c r="S399" s="1" t="s">
        <v>1922</v>
      </c>
      <c r="T399" s="1">
        <v>0</v>
      </c>
    </row>
    <row r="400" spans="1:20" ht="30" x14ac:dyDescent="0.25">
      <c r="A400" s="1" t="str">
        <f t="shared" si="17"/>
        <v>Pending</v>
      </c>
      <c r="B400" s="1" t="s">
        <v>930</v>
      </c>
      <c r="C400" s="1">
        <v>64</v>
      </c>
      <c r="D400" s="1" t="s">
        <v>577</v>
      </c>
      <c r="E400" s="1" t="s">
        <v>905</v>
      </c>
      <c r="F400" s="1" t="s">
        <v>53</v>
      </c>
      <c r="G400" s="1" t="s">
        <v>1760</v>
      </c>
      <c r="H400" s="1"/>
      <c r="I400" s="1"/>
      <c r="J400" s="1"/>
      <c r="K400" s="1"/>
      <c r="L400" s="1" t="str" cm="1">
        <f t="array" ref="L400">_xlfn.REGEXEXTRACT(B400,"(?&lt;=//)[^/]+")</f>
        <v>bdsmstreak.com</v>
      </c>
      <c r="M400" s="1" t="s">
        <v>457</v>
      </c>
      <c r="N400" s="1" t="s">
        <v>1740</v>
      </c>
      <c r="O400" s="1" t="str" cm="1">
        <f t="array" ref="O400">IF(N400&lt;&gt;"NtApp",_xlfn.REGEXEXTRACT(N400,"\d+(?=p)"),"NtApp")</f>
        <v>NtApp</v>
      </c>
      <c r="P400" s="1" t="s">
        <v>1740</v>
      </c>
      <c r="Q400" s="1" t="b">
        <f t="shared" si="16"/>
        <v>0</v>
      </c>
      <c r="R400" s="1" t="s">
        <v>1626</v>
      </c>
      <c r="S400" s="1" t="s">
        <v>1626</v>
      </c>
      <c r="T400" s="1">
        <v>6</v>
      </c>
    </row>
    <row r="401" spans="1:20" ht="30" x14ac:dyDescent="0.25">
      <c r="A401" s="1" t="str">
        <f t="shared" si="17"/>
        <v>Pending</v>
      </c>
      <c r="B401" s="1" t="s">
        <v>936</v>
      </c>
      <c r="C401" s="1">
        <v>64</v>
      </c>
      <c r="D401" s="1" t="s">
        <v>573</v>
      </c>
      <c r="E401" s="1" t="s">
        <v>937</v>
      </c>
      <c r="F401" s="1" t="s">
        <v>53</v>
      </c>
      <c r="G401" s="1" t="s">
        <v>1762</v>
      </c>
      <c r="H401" s="1"/>
      <c r="I401" s="1"/>
      <c r="J401" s="1"/>
      <c r="K401" s="1"/>
      <c r="L401" s="1" t="str" cm="1">
        <f t="array" ref="L401">_xlfn.REGEXEXTRACT(B401,"(?&lt;=//)[^/]+")</f>
        <v>bdsmstreak.com</v>
      </c>
      <c r="M401" s="1" t="s">
        <v>457</v>
      </c>
      <c r="N401" s="1" t="s">
        <v>1740</v>
      </c>
      <c r="O401" s="1" t="str" cm="1">
        <f t="array" ref="O401">IF(N401&lt;&gt;"NtApp",_xlfn.REGEXEXTRACT(N401,"\d+(?=p)"),"NtApp")</f>
        <v>NtApp</v>
      </c>
      <c r="P401" s="1" t="s">
        <v>1740</v>
      </c>
      <c r="Q401" s="1" t="b">
        <f t="shared" si="16"/>
        <v>0</v>
      </c>
      <c r="R401" s="1" t="s">
        <v>1910</v>
      </c>
      <c r="S401" s="1" t="s">
        <v>1910</v>
      </c>
      <c r="T401" s="1">
        <v>2</v>
      </c>
    </row>
    <row r="402" spans="1:20" ht="30" x14ac:dyDescent="0.25">
      <c r="A402" s="1" t="str">
        <f t="shared" si="17"/>
        <v>Pending</v>
      </c>
      <c r="B402" s="1" t="s">
        <v>752</v>
      </c>
      <c r="C402" s="1">
        <v>64</v>
      </c>
      <c r="D402" s="1" t="s">
        <v>577</v>
      </c>
      <c r="E402" s="1" t="s">
        <v>765</v>
      </c>
      <c r="F402" s="1" t="s">
        <v>53</v>
      </c>
      <c r="G402" s="1"/>
      <c r="H402" s="1"/>
      <c r="I402" s="1"/>
      <c r="J402" s="1"/>
      <c r="K402" s="1"/>
      <c r="L402" s="1" t="str" cm="1">
        <f t="array" ref="L402">_xlfn.REGEXEXTRACT(B402,"(?&lt;=//)[^/]+")</f>
        <v>bdsmstreak.com</v>
      </c>
      <c r="M402" s="1" t="s">
        <v>457</v>
      </c>
      <c r="N402" s="1" t="s">
        <v>1740</v>
      </c>
      <c r="O402" s="1" t="str" cm="1">
        <f t="array" ref="O402">IF(N402&lt;&gt;"NtApp",_xlfn.REGEXEXTRACT(N402,"\d+(?=p)"),"NtApp")</f>
        <v>NtApp</v>
      </c>
      <c r="P402" s="1" t="s">
        <v>1740</v>
      </c>
      <c r="Q402" s="1" t="b">
        <f t="shared" ref="Q402:Q433" si="18">ISNUMBER(SEARCH(",",E402))</f>
        <v>0</v>
      </c>
      <c r="R402" s="1" t="s">
        <v>1627</v>
      </c>
      <c r="S402" s="1" t="s">
        <v>1624</v>
      </c>
      <c r="T402" s="1">
        <v>0</v>
      </c>
    </row>
    <row r="403" spans="1:20" ht="30" x14ac:dyDescent="0.25">
      <c r="A403" s="1" t="str">
        <f t="shared" si="17"/>
        <v>Pending</v>
      </c>
      <c r="B403" s="1" t="s">
        <v>591</v>
      </c>
      <c r="C403" s="1">
        <v>64</v>
      </c>
      <c r="D403" s="1" t="s">
        <v>573</v>
      </c>
      <c r="E403" s="1" t="s">
        <v>590</v>
      </c>
      <c r="F403" s="1" t="s">
        <v>53</v>
      </c>
      <c r="G403" s="1"/>
      <c r="H403" s="1"/>
      <c r="I403" s="1"/>
      <c r="J403" s="1"/>
      <c r="K403" s="1"/>
      <c r="L403" s="1" t="str" cm="1">
        <f t="array" ref="L403">_xlfn.REGEXEXTRACT(B403,"(?&lt;=//)[^/]+")</f>
        <v>bdsmlust.com</v>
      </c>
      <c r="M403" s="1" t="s">
        <v>457</v>
      </c>
      <c r="N403" s="1" t="s">
        <v>1740</v>
      </c>
      <c r="O403" s="1" t="str" cm="1">
        <f t="array" ref="O403">IF(N403&lt;&gt;"NtApp",_xlfn.REGEXEXTRACT(N403,"\d+(?=p)"),"NtApp")</f>
        <v>NtApp</v>
      </c>
      <c r="P403" s="1" t="s">
        <v>1740</v>
      </c>
      <c r="Q403" s="1" t="b">
        <f t="shared" si="18"/>
        <v>0</v>
      </c>
      <c r="R403" s="1" t="s">
        <v>1699</v>
      </c>
      <c r="S403" s="1" t="s">
        <v>1698</v>
      </c>
      <c r="T403" s="1">
        <v>0</v>
      </c>
    </row>
    <row r="404" spans="1:20" x14ac:dyDescent="0.25">
      <c r="A404" s="1" t="str">
        <f t="shared" si="17"/>
        <v>Pending</v>
      </c>
      <c r="B404" s="1" t="s">
        <v>904</v>
      </c>
      <c r="C404" s="1">
        <v>65</v>
      </c>
      <c r="D404" s="1" t="s">
        <v>577</v>
      </c>
      <c r="E404" s="1" t="s">
        <v>905</v>
      </c>
      <c r="F404" s="1" t="s">
        <v>53</v>
      </c>
      <c r="G404" s="1"/>
      <c r="H404" s="1" t="s">
        <v>1956</v>
      </c>
      <c r="I404" s="1"/>
      <c r="J404" s="1"/>
      <c r="K404" s="1"/>
      <c r="L404" s="1" t="str" cm="1">
        <f t="array" ref="L404">_xlfn.REGEXEXTRACT(B404,"(?&lt;=//)[^/]+")</f>
        <v>bdsmstreak.com</v>
      </c>
      <c r="M404" s="1" t="s">
        <v>457</v>
      </c>
      <c r="N404" s="1" t="s">
        <v>1740</v>
      </c>
      <c r="O404" s="1" t="str" cm="1">
        <f t="array" ref="O404">IF(N404&lt;&gt;"NtApp",_xlfn.REGEXEXTRACT(N404,"\d+(?=p)"),"NtApp")</f>
        <v>NtApp</v>
      </c>
      <c r="P404" s="1" t="s">
        <v>1740</v>
      </c>
      <c r="Q404" s="1" t="b">
        <f t="shared" si="18"/>
        <v>0</v>
      </c>
      <c r="R404" s="1" t="s">
        <v>1632</v>
      </c>
      <c r="S404" s="1" t="s">
        <v>1632</v>
      </c>
      <c r="T404" s="1">
        <v>3</v>
      </c>
    </row>
    <row r="405" spans="1:20" x14ac:dyDescent="0.25">
      <c r="A405" s="1" t="str">
        <f t="shared" si="17"/>
        <v>Pending</v>
      </c>
      <c r="B405" s="1" t="s">
        <v>693</v>
      </c>
      <c r="C405" s="1">
        <v>65</v>
      </c>
      <c r="D405" s="1" t="s">
        <v>573</v>
      </c>
      <c r="E405" s="1" t="s">
        <v>719</v>
      </c>
      <c r="F405" s="1" t="s">
        <v>53</v>
      </c>
      <c r="G405" s="1"/>
      <c r="H405" s="1"/>
      <c r="I405" s="1"/>
      <c r="J405" s="1"/>
      <c r="K405" s="1" t="s">
        <v>737</v>
      </c>
      <c r="L405" s="1" t="str" cm="1">
        <f t="array" ref="L405">_xlfn.REGEXEXTRACT(B405,"(?&lt;=//)[^/]+")</f>
        <v>www.kink.com</v>
      </c>
      <c r="M405" s="1" t="s">
        <v>457</v>
      </c>
      <c r="N405" s="1" t="s">
        <v>1740</v>
      </c>
      <c r="O405" s="1" t="str" cm="1">
        <f t="array" ref="O405">IF(N405&lt;&gt;"NtApp",_xlfn.REGEXEXTRACT(N405,"\d+(?=p)"),"NtApp")</f>
        <v>NtApp</v>
      </c>
      <c r="P405" s="1" t="s">
        <v>1740</v>
      </c>
      <c r="Q405" s="1" t="b">
        <f t="shared" si="18"/>
        <v>0</v>
      </c>
      <c r="R405" s="1" t="s">
        <v>1180</v>
      </c>
      <c r="S405" s="1" t="s">
        <v>1180</v>
      </c>
      <c r="T405" s="1">
        <v>0</v>
      </c>
    </row>
    <row r="406" spans="1:20" ht="45" x14ac:dyDescent="0.25">
      <c r="A406" s="1" t="str">
        <f t="shared" si="17"/>
        <v>Pending</v>
      </c>
      <c r="B406" s="1" t="s">
        <v>592</v>
      </c>
      <c r="C406" s="1">
        <v>65</v>
      </c>
      <c r="D406" s="1" t="s">
        <v>571</v>
      </c>
      <c r="E406" s="1" t="s">
        <v>1923</v>
      </c>
      <c r="F406" s="1" t="s">
        <v>54</v>
      </c>
      <c r="G406" s="1" t="s">
        <v>802</v>
      </c>
      <c r="H406" s="1"/>
      <c r="I406" s="1"/>
      <c r="J406" s="1"/>
      <c r="K406" s="1"/>
      <c r="L406" s="1" t="str" cm="1">
        <f t="array" ref="L406">_xlfn.REGEXEXTRACT(B406,"(?&lt;=//)[^/]+")</f>
        <v>bdsmmansion.com</v>
      </c>
      <c r="M406" s="1" t="s">
        <v>457</v>
      </c>
      <c r="N406" s="1" t="s">
        <v>1740</v>
      </c>
      <c r="O406" s="1" t="str" cm="1">
        <f t="array" ref="O406">IF(N406&lt;&gt;"NtApp",_xlfn.REGEXEXTRACT(N406,"\d+(?=p)"),"NtApp")</f>
        <v>NtApp</v>
      </c>
      <c r="P406" s="1" t="s">
        <v>1740</v>
      </c>
      <c r="Q406" s="1" t="b">
        <f t="shared" si="18"/>
        <v>1</v>
      </c>
      <c r="R406" s="1" t="s">
        <v>1561</v>
      </c>
      <c r="S406" s="1" t="s">
        <v>1924</v>
      </c>
      <c r="T406" s="1">
        <v>0</v>
      </c>
    </row>
    <row r="407" spans="1:20" x14ac:dyDescent="0.25">
      <c r="A407" s="1" t="str">
        <f t="shared" si="17"/>
        <v>Pending</v>
      </c>
      <c r="B407" s="1" t="s">
        <v>1058</v>
      </c>
      <c r="C407" s="1">
        <v>66</v>
      </c>
      <c r="D407" s="1" t="s">
        <v>577</v>
      </c>
      <c r="E407" s="1" t="s">
        <v>153</v>
      </c>
      <c r="F407" s="1" t="s">
        <v>53</v>
      </c>
      <c r="G407" s="1" t="s">
        <v>2092</v>
      </c>
      <c r="H407" s="1"/>
      <c r="I407" s="1"/>
      <c r="J407" s="1"/>
      <c r="K407" s="1"/>
      <c r="L407" s="1" t="str" cm="1">
        <f t="array" ref="L407">_xlfn.REGEXEXTRACT(B407,"(?&lt;=//)[^/]+")</f>
        <v>www.kink.com</v>
      </c>
      <c r="M407" s="1" t="s">
        <v>457</v>
      </c>
      <c r="N407" s="1" t="s">
        <v>1740</v>
      </c>
      <c r="O407" s="1" t="str" cm="1">
        <f t="array" ref="O407">IF(N407&lt;&gt;"NtApp",_xlfn.REGEXEXTRACT(N407,"\d+(?=p)"),"NtApp")</f>
        <v>NtApp</v>
      </c>
      <c r="P407" s="1" t="s">
        <v>1740</v>
      </c>
      <c r="Q407" s="1" t="b">
        <f t="shared" si="18"/>
        <v>0</v>
      </c>
      <c r="R407" s="1" t="s">
        <v>1181</v>
      </c>
      <c r="S407" s="1" t="s">
        <v>1181</v>
      </c>
      <c r="T407" s="1">
        <v>2</v>
      </c>
    </row>
    <row r="408" spans="1:20" x14ac:dyDescent="0.25">
      <c r="A408" s="1" t="str">
        <f t="shared" si="17"/>
        <v>Pending</v>
      </c>
      <c r="B408" s="1" t="s">
        <v>1122</v>
      </c>
      <c r="C408" s="1">
        <v>66</v>
      </c>
      <c r="D408" s="1" t="s">
        <v>573</v>
      </c>
      <c r="E408" s="1" t="s">
        <v>587</v>
      </c>
      <c r="F408" s="1" t="s">
        <v>53</v>
      </c>
      <c r="G408" s="1"/>
      <c r="H408" s="1"/>
      <c r="I408" s="1"/>
      <c r="J408" s="1"/>
      <c r="K408" s="1"/>
      <c r="L408" s="1" t="str" cm="1">
        <f t="array" ref="L408">_xlfn.REGEXEXTRACT(B408,"(?&lt;=//)[^/]+")</f>
        <v>bdsmstreak.com</v>
      </c>
      <c r="M408" s="1" t="s">
        <v>457</v>
      </c>
      <c r="N408" s="1" t="s">
        <v>1740</v>
      </c>
      <c r="O408" s="1" t="str" cm="1">
        <f t="array" ref="O408">IF(N408&lt;&gt;"NtApp",_xlfn.REGEXEXTRACT(N408,"\d+(?=p)"),"NtApp")</f>
        <v>NtApp</v>
      </c>
      <c r="P408" s="1" t="s">
        <v>1740</v>
      </c>
      <c r="Q408" s="1" t="b">
        <f t="shared" si="18"/>
        <v>0</v>
      </c>
      <c r="R408" s="1" t="s">
        <v>1692</v>
      </c>
      <c r="S408" s="1" t="s">
        <v>1692</v>
      </c>
      <c r="T408" s="1">
        <v>0</v>
      </c>
    </row>
    <row r="409" spans="1:20" ht="30" x14ac:dyDescent="0.25">
      <c r="A409" s="1" t="str">
        <f t="shared" si="17"/>
        <v>Pending</v>
      </c>
      <c r="B409" s="1" t="s">
        <v>969</v>
      </c>
      <c r="C409" s="1">
        <v>66</v>
      </c>
      <c r="D409" s="1" t="s">
        <v>571</v>
      </c>
      <c r="E409" s="1" t="s">
        <v>1925</v>
      </c>
      <c r="F409" s="1" t="s">
        <v>54</v>
      </c>
      <c r="G409" s="1" t="s">
        <v>802</v>
      </c>
      <c r="H409" s="1"/>
      <c r="I409" s="1"/>
      <c r="J409" s="1"/>
      <c r="K409" s="1"/>
      <c r="L409" s="1" t="str" cm="1">
        <f t="array" ref="L409">_xlfn.REGEXEXTRACT(B409,"(?&lt;=//)[^/]+")</f>
        <v>bdsmmansion.com</v>
      </c>
      <c r="M409" s="1" t="s">
        <v>457</v>
      </c>
      <c r="N409" s="1" t="s">
        <v>1740</v>
      </c>
      <c r="O409" s="1" t="str" cm="1">
        <f t="array" ref="O409">IF(N409&lt;&gt;"NtApp",_xlfn.REGEXEXTRACT(N409,"\d+(?=p)"),"NtApp")</f>
        <v>NtApp</v>
      </c>
      <c r="P409" s="1" t="s">
        <v>1740</v>
      </c>
      <c r="Q409" s="1" t="b">
        <f t="shared" si="18"/>
        <v>1</v>
      </c>
      <c r="R409" s="1" t="s">
        <v>1562</v>
      </c>
      <c r="S409" s="1" t="s">
        <v>1926</v>
      </c>
      <c r="T409" s="1">
        <v>0</v>
      </c>
    </row>
    <row r="410" spans="1:20" ht="30" x14ac:dyDescent="0.25">
      <c r="A410" s="1" t="str">
        <f t="shared" si="17"/>
        <v>Pending</v>
      </c>
      <c r="B410" s="1" t="s">
        <v>853</v>
      </c>
      <c r="C410" s="1">
        <v>67</v>
      </c>
      <c r="D410" s="1" t="s">
        <v>573</v>
      </c>
      <c r="E410" s="1" t="s">
        <v>335</v>
      </c>
      <c r="F410" s="1" t="s">
        <v>53</v>
      </c>
      <c r="G410" s="1"/>
      <c r="H410" s="1" t="s">
        <v>1956</v>
      </c>
      <c r="I410" s="1"/>
      <c r="J410" s="1"/>
      <c r="K410" s="1"/>
      <c r="L410" s="1" t="str" cm="1">
        <f t="array" ref="L410">_xlfn.REGEXEXTRACT(B410,"(?&lt;=//)[^/]+")</f>
        <v>bdsmstreak.com</v>
      </c>
      <c r="M410" s="1" t="s">
        <v>457</v>
      </c>
      <c r="N410" s="1" t="s">
        <v>1740</v>
      </c>
      <c r="O410" s="1" t="str" cm="1">
        <f t="array" ref="O410">IF(N410&lt;&gt;"NtApp",_xlfn.REGEXEXTRACT(N410,"\d+(?=p)"),"NtApp")</f>
        <v>NtApp</v>
      </c>
      <c r="P410" s="1" t="s">
        <v>1740</v>
      </c>
      <c r="Q410" s="1" t="b">
        <f t="shared" si="18"/>
        <v>0</v>
      </c>
      <c r="R410" s="1" t="s">
        <v>1700</v>
      </c>
      <c r="S410" s="1" t="s">
        <v>1700</v>
      </c>
      <c r="T410" s="1">
        <v>1</v>
      </c>
    </row>
    <row r="411" spans="1:20" ht="30" x14ac:dyDescent="0.25">
      <c r="A411" s="1" t="str">
        <f t="shared" si="17"/>
        <v>Pending</v>
      </c>
      <c r="B411" s="1" t="s">
        <v>1108</v>
      </c>
      <c r="C411" s="1">
        <v>67</v>
      </c>
      <c r="D411" s="1" t="s">
        <v>568</v>
      </c>
      <c r="E411" s="1" t="s">
        <v>723</v>
      </c>
      <c r="F411" s="1" t="s">
        <v>53</v>
      </c>
      <c r="G411" s="1" t="s">
        <v>1032</v>
      </c>
      <c r="H411" s="1"/>
      <c r="I411" s="1"/>
      <c r="J411" s="1"/>
      <c r="K411" s="1"/>
      <c r="L411" s="1" t="str" cm="1">
        <f t="array" ref="L411">_xlfn.REGEXEXTRACT(B411,"(?&lt;=//)[^/]+")</f>
        <v>hcbdsm.com</v>
      </c>
      <c r="M411" s="1" t="s">
        <v>457</v>
      </c>
      <c r="N411" s="1" t="s">
        <v>1740</v>
      </c>
      <c r="O411" s="1" t="str" cm="1">
        <f t="array" ref="O411">IF(N411&lt;&gt;"NtApp",_xlfn.REGEXEXTRACT(N411,"\d+(?=p)"),"NtApp")</f>
        <v>NtApp</v>
      </c>
      <c r="P411" s="1" t="s">
        <v>1740</v>
      </c>
      <c r="Q411" s="1" t="b">
        <f t="shared" si="18"/>
        <v>0</v>
      </c>
      <c r="R411" s="1" t="s">
        <v>1708</v>
      </c>
      <c r="S411" s="1" t="s">
        <v>1708</v>
      </c>
      <c r="T411" s="1">
        <v>1</v>
      </c>
    </row>
    <row r="412" spans="1:20" x14ac:dyDescent="0.25">
      <c r="A412" s="1" t="str">
        <f t="shared" si="17"/>
        <v>Pending</v>
      </c>
      <c r="B412" s="1" t="s">
        <v>1087</v>
      </c>
      <c r="C412" s="1">
        <v>67</v>
      </c>
      <c r="D412" s="1" t="s">
        <v>599</v>
      </c>
      <c r="E412" s="1" t="s">
        <v>1883</v>
      </c>
      <c r="F412" s="1" t="s">
        <v>54</v>
      </c>
      <c r="G412" s="1"/>
      <c r="H412" s="1"/>
      <c r="I412" s="1"/>
      <c r="J412" s="1"/>
      <c r="K412" s="1"/>
      <c r="L412" s="1" t="str" cm="1">
        <f t="array" ref="L412">_xlfn.REGEXEXTRACT(B412,"(?&lt;=//)[^/]+")</f>
        <v>bdsmstreak.com</v>
      </c>
      <c r="M412" s="1" t="s">
        <v>457</v>
      </c>
      <c r="N412" s="1" t="s">
        <v>1740</v>
      </c>
      <c r="O412" s="1" t="str" cm="1">
        <f t="array" ref="O412">IF(N412&lt;&gt;"NtApp",_xlfn.REGEXEXTRACT(N412,"\d+(?=p)"),"NtApp")</f>
        <v>NtApp</v>
      </c>
      <c r="P412" s="1" t="s">
        <v>1740</v>
      </c>
      <c r="Q412" s="1" t="b">
        <f t="shared" si="18"/>
        <v>1</v>
      </c>
      <c r="R412" s="1" t="s">
        <v>1537</v>
      </c>
      <c r="S412" s="1" t="s">
        <v>1537</v>
      </c>
      <c r="T412" s="1">
        <v>0</v>
      </c>
    </row>
    <row r="413" spans="1:20" ht="45" x14ac:dyDescent="0.25">
      <c r="A413" s="1" t="str">
        <f t="shared" si="17"/>
        <v>Pending</v>
      </c>
      <c r="B413" s="1" t="s">
        <v>1128</v>
      </c>
      <c r="C413" s="1">
        <v>67</v>
      </c>
      <c r="D413" s="1" t="s">
        <v>873</v>
      </c>
      <c r="E413" s="1" t="s">
        <v>1129</v>
      </c>
      <c r="F413" s="1" t="s">
        <v>53</v>
      </c>
      <c r="G413" s="1"/>
      <c r="H413" s="1"/>
      <c r="I413" s="1"/>
      <c r="J413" s="1"/>
      <c r="K413" s="1"/>
      <c r="L413" s="1" t="str" cm="1">
        <f t="array" ref="L413">_xlfn.REGEXEXTRACT(B413,"(?&lt;=//)[^/]+")</f>
        <v>bdsmstreak.com</v>
      </c>
      <c r="M413" s="1" t="s">
        <v>457</v>
      </c>
      <c r="N413" s="1" t="s">
        <v>1740</v>
      </c>
      <c r="O413" s="1" t="str" cm="1">
        <f t="array" ref="O413">IF(N413&lt;&gt;"NtApp",_xlfn.REGEXEXTRACT(N413,"\d+(?=p)"),"NtApp")</f>
        <v>NtApp</v>
      </c>
      <c r="P413" s="1" t="s">
        <v>1740</v>
      </c>
      <c r="Q413" s="1" t="b">
        <f t="shared" si="18"/>
        <v>0</v>
      </c>
      <c r="R413" s="1" t="s">
        <v>1645</v>
      </c>
      <c r="S413" s="1" t="s">
        <v>1887</v>
      </c>
      <c r="T413" s="1">
        <v>0</v>
      </c>
    </row>
    <row r="414" spans="1:20" ht="30" x14ac:dyDescent="0.25">
      <c r="A414" s="1" t="str">
        <f t="shared" si="17"/>
        <v>Pending</v>
      </c>
      <c r="B414" s="1" t="s">
        <v>1050</v>
      </c>
      <c r="C414" s="1">
        <v>68</v>
      </c>
      <c r="D414" s="1" t="s">
        <v>784</v>
      </c>
      <c r="E414" s="1" t="s">
        <v>839</v>
      </c>
      <c r="F414" s="1" t="s">
        <v>53</v>
      </c>
      <c r="G414" s="1" t="s">
        <v>735</v>
      </c>
      <c r="H414" s="1"/>
      <c r="I414" s="1"/>
      <c r="J414" s="1"/>
      <c r="K414" s="1"/>
      <c r="L414" s="1" t="str" cm="1">
        <f t="array" ref="L414">_xlfn.REGEXEXTRACT(B414,"(?&lt;=//)[^/]+")</f>
        <v>www.twistedfactory.com</v>
      </c>
      <c r="M414" s="1" t="s">
        <v>457</v>
      </c>
      <c r="N414" s="1" t="s">
        <v>1740</v>
      </c>
      <c r="O414" s="1" t="str" cm="1">
        <f t="array" ref="O414">IF(N414&lt;&gt;"NtApp",_xlfn.REGEXEXTRACT(N414,"\d+(?=p)"),"NtApp")</f>
        <v>NtApp</v>
      </c>
      <c r="P414" s="1" t="s">
        <v>1740</v>
      </c>
      <c r="Q414" s="1" t="b">
        <f t="shared" si="18"/>
        <v>0</v>
      </c>
      <c r="R414" s="1" t="s">
        <v>1182</v>
      </c>
      <c r="S414" s="1" t="s">
        <v>1182</v>
      </c>
      <c r="T414" s="1">
        <v>1</v>
      </c>
    </row>
    <row r="415" spans="1:20" x14ac:dyDescent="0.25">
      <c r="A415" s="1" t="str">
        <f t="shared" si="17"/>
        <v>Pending</v>
      </c>
      <c r="B415" s="1" t="s">
        <v>1010</v>
      </c>
      <c r="C415" s="1">
        <v>69</v>
      </c>
      <c r="D415" s="1" t="s">
        <v>577</v>
      </c>
      <c r="E415" s="1" t="s">
        <v>1011</v>
      </c>
      <c r="F415" s="1" t="s">
        <v>53</v>
      </c>
      <c r="G415" s="1"/>
      <c r="H415" s="1" t="s">
        <v>2058</v>
      </c>
      <c r="I415" s="1"/>
      <c r="J415" s="1"/>
      <c r="K415" s="1"/>
      <c r="L415" s="1" t="str" cm="1">
        <f t="array" ref="L415">_xlfn.REGEXEXTRACT(B415,"(?&lt;=//)[^/]+")</f>
        <v>bdsmstreak.com</v>
      </c>
      <c r="M415" s="1" t="s">
        <v>457</v>
      </c>
      <c r="N415" s="1" t="s">
        <v>1740</v>
      </c>
      <c r="O415" s="1" t="str" cm="1">
        <f t="array" ref="O415">IF(N415&lt;&gt;"NtApp",_xlfn.REGEXEXTRACT(N415,"\d+(?=p)"),"NtApp")</f>
        <v>NtApp</v>
      </c>
      <c r="P415" s="1" t="s">
        <v>1740</v>
      </c>
      <c r="Q415" s="1" t="b">
        <f t="shared" si="18"/>
        <v>0</v>
      </c>
      <c r="R415" s="1" t="s">
        <v>1633</v>
      </c>
      <c r="S415" s="1" t="s">
        <v>1633</v>
      </c>
      <c r="T415" s="1">
        <v>6</v>
      </c>
    </row>
    <row r="416" spans="1:20" x14ac:dyDescent="0.25">
      <c r="A416" s="1" t="str">
        <f t="shared" si="17"/>
        <v>Pending</v>
      </c>
      <c r="B416" s="1" t="s">
        <v>1134</v>
      </c>
      <c r="C416" s="1">
        <v>69</v>
      </c>
      <c r="D416" s="1" t="s">
        <v>891</v>
      </c>
      <c r="E416" s="1" t="s">
        <v>67</v>
      </c>
      <c r="F416" s="1" t="s">
        <v>53</v>
      </c>
      <c r="G416" s="1"/>
      <c r="H416" s="1"/>
      <c r="I416" s="1"/>
      <c r="J416" s="1"/>
      <c r="K416" s="1"/>
      <c r="L416" s="1" t="str" cm="1">
        <f t="array" ref="L416">_xlfn.REGEXEXTRACT(B416,"(?&lt;=//)[^/]+")</f>
        <v>bdsmstreak.com</v>
      </c>
      <c r="M416" s="1" t="s">
        <v>457</v>
      </c>
      <c r="N416" s="1" t="s">
        <v>1740</v>
      </c>
      <c r="O416" s="1" t="str" cm="1">
        <f t="array" ref="O416">IF(N416&lt;&gt;"NtApp",_xlfn.REGEXEXTRACT(N416,"\d+(?=p)"),"NtApp")</f>
        <v>NtApp</v>
      </c>
      <c r="P416" s="1" t="s">
        <v>1740</v>
      </c>
      <c r="Q416" s="1" t="b">
        <f t="shared" si="18"/>
        <v>0</v>
      </c>
      <c r="R416" s="1" t="s">
        <v>1730</v>
      </c>
      <c r="S416" s="1" t="s">
        <v>1730</v>
      </c>
      <c r="T416" s="1">
        <v>0</v>
      </c>
    </row>
    <row r="417" spans="1:20" ht="30" x14ac:dyDescent="0.25">
      <c r="A417" s="1" t="str">
        <f t="shared" si="17"/>
        <v>Pending</v>
      </c>
      <c r="B417" s="1" t="s">
        <v>923</v>
      </c>
      <c r="C417" s="1">
        <v>70</v>
      </c>
      <c r="D417" s="1" t="s">
        <v>784</v>
      </c>
      <c r="E417" s="1" t="s">
        <v>924</v>
      </c>
      <c r="F417" s="1" t="s">
        <v>53</v>
      </c>
      <c r="G417" s="1"/>
      <c r="H417" s="1" t="s">
        <v>1147</v>
      </c>
      <c r="I417" s="1"/>
      <c r="J417" s="1"/>
      <c r="K417" s="1"/>
      <c r="L417" s="1" t="str" cm="1">
        <f t="array" ref="L417">_xlfn.REGEXEXTRACT(B417,"(?&lt;=//)[^/]+")</f>
        <v>www.twistedfactory.com</v>
      </c>
      <c r="M417" s="1" t="s">
        <v>457</v>
      </c>
      <c r="N417" s="1" t="s">
        <v>1740</v>
      </c>
      <c r="O417" s="1" t="str" cm="1">
        <f t="array" ref="O417">IF(N417&lt;&gt;"NtApp",_xlfn.REGEXEXTRACT(N417,"\d+(?=p)"),"NtApp")</f>
        <v>NtApp</v>
      </c>
      <c r="P417" s="1" t="s">
        <v>1740</v>
      </c>
      <c r="Q417" s="1" t="b">
        <f t="shared" si="18"/>
        <v>0</v>
      </c>
      <c r="R417" s="1" t="s">
        <v>1183</v>
      </c>
      <c r="S417" s="1" t="s">
        <v>1183</v>
      </c>
      <c r="T417" s="1">
        <v>3</v>
      </c>
    </row>
    <row r="418" spans="1:20" ht="30" x14ac:dyDescent="0.25">
      <c r="A418" s="1" t="str">
        <f t="shared" si="17"/>
        <v>Pending</v>
      </c>
      <c r="B418" s="1" t="s">
        <v>1059</v>
      </c>
      <c r="C418" s="1">
        <v>70</v>
      </c>
      <c r="D418" s="1" t="s">
        <v>575</v>
      </c>
      <c r="E418" s="1" t="s">
        <v>1060</v>
      </c>
      <c r="F418" s="1" t="s">
        <v>53</v>
      </c>
      <c r="G418" s="1" t="s">
        <v>793</v>
      </c>
      <c r="H418" s="1"/>
      <c r="I418" s="1"/>
      <c r="J418" s="1"/>
      <c r="K418" s="1"/>
      <c r="L418" s="1" t="str" cm="1">
        <f t="array" ref="L418">_xlfn.REGEXEXTRACT(B418,"(?&lt;=//)[^/]+")</f>
        <v>bdsmstreak.com</v>
      </c>
      <c r="M418" s="1" t="s">
        <v>457</v>
      </c>
      <c r="N418" s="1" t="s">
        <v>1740</v>
      </c>
      <c r="O418" s="1" t="str" cm="1">
        <f t="array" ref="O418">IF(N418&lt;&gt;"NtApp",_xlfn.REGEXEXTRACT(N418,"\d+(?=p)"),"NtApp")</f>
        <v>NtApp</v>
      </c>
      <c r="P418" s="1" t="s">
        <v>1740</v>
      </c>
      <c r="Q418" s="1" t="b">
        <f t="shared" si="18"/>
        <v>1</v>
      </c>
      <c r="R418" s="1" t="s">
        <v>1635</v>
      </c>
      <c r="S418" s="1" t="s">
        <v>1635</v>
      </c>
      <c r="T418" s="1">
        <v>1</v>
      </c>
    </row>
    <row r="419" spans="1:20" ht="30" x14ac:dyDescent="0.25">
      <c r="A419" s="1" t="str">
        <f t="shared" si="17"/>
        <v>Pending</v>
      </c>
      <c r="B419" s="1" t="s">
        <v>1065</v>
      </c>
      <c r="C419" s="1">
        <v>70</v>
      </c>
      <c r="D419" s="1" t="s">
        <v>1297</v>
      </c>
      <c r="E419" s="1" t="s">
        <v>1066</v>
      </c>
      <c r="F419" s="1" t="s">
        <v>53</v>
      </c>
      <c r="G419" s="1"/>
      <c r="H419" s="1"/>
      <c r="I419" s="1"/>
      <c r="J419" s="1"/>
      <c r="K419" s="1"/>
      <c r="L419" s="1" t="str" cm="1">
        <f t="array" ref="L419">_xlfn.REGEXEXTRACT(B419,"(?&lt;=//)[^/]+")</f>
        <v>bdsmstreak.com</v>
      </c>
      <c r="M419" s="1" t="s">
        <v>457</v>
      </c>
      <c r="N419" s="1" t="s">
        <v>1740</v>
      </c>
      <c r="O419" s="1" t="str" cm="1">
        <f t="array" ref="O419">IF(N419&lt;&gt;"NtApp",_xlfn.REGEXEXTRACT(N419,"\d+(?=p)"),"NtApp")</f>
        <v>NtApp</v>
      </c>
      <c r="P419" s="1" t="s">
        <v>1740</v>
      </c>
      <c r="Q419" s="1" t="b">
        <f t="shared" si="18"/>
        <v>0</v>
      </c>
      <c r="R419" s="1" t="s">
        <v>1857</v>
      </c>
      <c r="S419" s="1" t="s">
        <v>1857</v>
      </c>
      <c r="T419" s="1">
        <v>0</v>
      </c>
    </row>
    <row r="420" spans="1:20" ht="45" x14ac:dyDescent="0.25">
      <c r="A420" s="1" t="str">
        <f t="shared" si="17"/>
        <v>Pending</v>
      </c>
      <c r="B420" s="1" t="s">
        <v>1063</v>
      </c>
      <c r="C420" s="1">
        <v>70</v>
      </c>
      <c r="D420" s="1" t="s">
        <v>569</v>
      </c>
      <c r="E420" s="1" t="s">
        <v>1064</v>
      </c>
      <c r="F420" s="1" t="s">
        <v>53</v>
      </c>
      <c r="G420" s="1"/>
      <c r="H420" s="1"/>
      <c r="I420" s="1"/>
      <c r="J420" s="1"/>
      <c r="K420" s="1"/>
      <c r="L420" s="1" t="str" cm="1">
        <f t="array" ref="L420">_xlfn.REGEXEXTRACT(B420,"(?&lt;=//)[^/]+")</f>
        <v>bdsmstreak.com</v>
      </c>
      <c r="M420" s="1" t="s">
        <v>457</v>
      </c>
      <c r="N420" s="1" t="s">
        <v>1740</v>
      </c>
      <c r="O420" s="1" t="str" cm="1">
        <f t="array" ref="O420">IF(N420&lt;&gt;"NtApp",_xlfn.REGEXEXTRACT(N420,"\d+(?=p)"),"NtApp")</f>
        <v>NtApp</v>
      </c>
      <c r="P420" s="1" t="s">
        <v>1740</v>
      </c>
      <c r="Q420" s="1" t="b">
        <f t="shared" si="18"/>
        <v>0</v>
      </c>
      <c r="R420" s="1" t="s">
        <v>1722</v>
      </c>
      <c r="S420" s="1" t="s">
        <v>1721</v>
      </c>
      <c r="T420" s="1">
        <v>0</v>
      </c>
    </row>
    <row r="421" spans="1:20" ht="45" x14ac:dyDescent="0.25">
      <c r="A421" s="1" t="str">
        <f t="shared" si="17"/>
        <v>Pending</v>
      </c>
      <c r="B421" s="1" t="s">
        <v>894</v>
      </c>
      <c r="C421" s="1">
        <v>70</v>
      </c>
      <c r="D421" s="1" t="s">
        <v>571</v>
      </c>
      <c r="E421" s="1" t="s">
        <v>895</v>
      </c>
      <c r="F421" s="1" t="s">
        <v>54</v>
      </c>
      <c r="G421" s="1" t="s">
        <v>1509</v>
      </c>
      <c r="H421" s="1"/>
      <c r="I421" s="1"/>
      <c r="J421" s="1"/>
      <c r="K421" s="1"/>
      <c r="L421" s="1" t="str" cm="1">
        <f t="array" ref="L421">_xlfn.REGEXEXTRACT(B421,"(?&lt;=//)[^/]+")</f>
        <v>bdsmstreak.com</v>
      </c>
      <c r="M421" s="1" t="s">
        <v>457</v>
      </c>
      <c r="N421" s="1" t="s">
        <v>1740</v>
      </c>
      <c r="O421" s="1" t="str" cm="1">
        <f t="array" ref="O421">IF(N421&lt;&gt;"NtApp",_xlfn.REGEXEXTRACT(N421,"\d+(?=p)"),"NtApp")</f>
        <v>NtApp</v>
      </c>
      <c r="P421" s="1" t="s">
        <v>1740</v>
      </c>
      <c r="Q421" s="1" t="b">
        <f t="shared" si="18"/>
        <v>1</v>
      </c>
      <c r="R421" s="1" t="s">
        <v>1917</v>
      </c>
      <c r="S421" s="1" t="s">
        <v>1918</v>
      </c>
      <c r="T421" s="1">
        <v>0</v>
      </c>
    </row>
    <row r="422" spans="1:20" ht="30" x14ac:dyDescent="0.25">
      <c r="A422" s="1" t="str">
        <f t="shared" si="17"/>
        <v>Pending</v>
      </c>
      <c r="B422" s="1" t="s">
        <v>1081</v>
      </c>
      <c r="C422" s="1">
        <v>71</v>
      </c>
      <c r="D422" s="1" t="s">
        <v>599</v>
      </c>
      <c r="E422" s="1" t="s">
        <v>1082</v>
      </c>
      <c r="F422" s="1" t="s">
        <v>54</v>
      </c>
      <c r="G422" s="1" t="s">
        <v>1747</v>
      </c>
      <c r="H422" s="1"/>
      <c r="I422" s="1"/>
      <c r="J422" s="1"/>
      <c r="K422" s="1"/>
      <c r="L422" s="1" t="str" cm="1">
        <f t="array" ref="L422">_xlfn.REGEXEXTRACT(B422,"(?&lt;=//)[^/]+")</f>
        <v>hcbdsm.com</v>
      </c>
      <c r="M422" s="1" t="s">
        <v>457</v>
      </c>
      <c r="N422" s="1" t="s">
        <v>1740</v>
      </c>
      <c r="O422" s="1" t="str" cm="1">
        <f t="array" ref="O422">IF(N422&lt;&gt;"NtApp",_xlfn.REGEXEXTRACT(N422,"\d+(?=p)"),"NtApp")</f>
        <v>NtApp</v>
      </c>
      <c r="P422" s="1" t="s">
        <v>1740</v>
      </c>
      <c r="Q422" s="1" t="b">
        <f t="shared" si="18"/>
        <v>1</v>
      </c>
      <c r="R422" s="1" t="s">
        <v>1539</v>
      </c>
      <c r="S422" s="1" t="s">
        <v>1539</v>
      </c>
      <c r="T422" s="1">
        <v>3</v>
      </c>
    </row>
    <row r="423" spans="1:20" ht="30" x14ac:dyDescent="0.25">
      <c r="A423" s="1" t="str">
        <f t="shared" si="17"/>
        <v>Pending</v>
      </c>
      <c r="B423" s="1" t="s">
        <v>886</v>
      </c>
      <c r="C423" s="1">
        <v>71</v>
      </c>
      <c r="D423" s="1" t="s">
        <v>702</v>
      </c>
      <c r="E423" s="1" t="s">
        <v>887</v>
      </c>
      <c r="F423" s="1" t="s">
        <v>53</v>
      </c>
      <c r="G423" s="1"/>
      <c r="H423" s="1"/>
      <c r="I423" s="1"/>
      <c r="J423" s="1"/>
      <c r="K423" s="1"/>
      <c r="L423" s="1" t="str" cm="1">
        <f t="array" ref="L423">_xlfn.REGEXEXTRACT(B423,"(?&lt;=//)[^/]+")</f>
        <v>bdsmstreak.com</v>
      </c>
      <c r="M423" s="1" t="s">
        <v>457</v>
      </c>
      <c r="N423" s="1" t="s">
        <v>1740</v>
      </c>
      <c r="O423" s="1" t="str" cm="1">
        <f t="array" ref="O423">IF(N423&lt;&gt;"NtApp",_xlfn.REGEXEXTRACT(N423,"\d+(?=p)"),"NtApp")</f>
        <v>NtApp</v>
      </c>
      <c r="P423" s="1" t="s">
        <v>1740</v>
      </c>
      <c r="Q423" s="1" t="b">
        <f t="shared" si="18"/>
        <v>1</v>
      </c>
      <c r="R423" s="1" t="s">
        <v>1634</v>
      </c>
      <c r="S423" s="1" t="s">
        <v>1634</v>
      </c>
      <c r="T423" s="1">
        <v>0</v>
      </c>
    </row>
    <row r="424" spans="1:20" ht="30" x14ac:dyDescent="0.25">
      <c r="A424" s="1" t="str">
        <f t="shared" si="17"/>
        <v>Pending</v>
      </c>
      <c r="B424" s="1" t="s">
        <v>754</v>
      </c>
      <c r="C424" s="1">
        <v>71</v>
      </c>
      <c r="D424" s="1" t="s">
        <v>571</v>
      </c>
      <c r="E424" s="1" t="s">
        <v>767</v>
      </c>
      <c r="F424" s="1" t="s">
        <v>54</v>
      </c>
      <c r="G424" s="1" t="s">
        <v>808</v>
      </c>
      <c r="H424" s="1"/>
      <c r="I424" s="1"/>
      <c r="J424" s="1"/>
      <c r="K424" s="1"/>
      <c r="L424" s="1" t="str" cm="1">
        <f t="array" ref="L424">_xlfn.REGEXEXTRACT(B424,"(?&lt;=//)[^/]+")</f>
        <v>hcbdsm.com</v>
      </c>
      <c r="M424" s="1" t="s">
        <v>457</v>
      </c>
      <c r="N424" s="1" t="s">
        <v>1740</v>
      </c>
      <c r="O424" s="1" t="str" cm="1">
        <f t="array" ref="O424">IF(N424&lt;&gt;"NtApp",_xlfn.REGEXEXTRACT(N424,"\d+(?=p)"),"NtApp")</f>
        <v>NtApp</v>
      </c>
      <c r="P424" s="1" t="s">
        <v>1740</v>
      </c>
      <c r="Q424" s="1" t="b">
        <f t="shared" si="18"/>
        <v>1</v>
      </c>
      <c r="R424" s="1" t="s">
        <v>1563</v>
      </c>
      <c r="S424" s="1" t="s">
        <v>1563</v>
      </c>
      <c r="T424" s="1">
        <v>0</v>
      </c>
    </row>
    <row r="425" spans="1:20" ht="30" x14ac:dyDescent="0.25">
      <c r="A425" s="1" t="str">
        <f t="shared" si="17"/>
        <v>Pending</v>
      </c>
      <c r="B425" s="1" t="s">
        <v>854</v>
      </c>
      <c r="C425" s="1">
        <v>71</v>
      </c>
      <c r="D425" s="1" t="s">
        <v>571</v>
      </c>
      <c r="E425" s="1" t="s">
        <v>855</v>
      </c>
      <c r="F425" s="1" t="s">
        <v>54</v>
      </c>
      <c r="G425" s="1" t="s">
        <v>802</v>
      </c>
      <c r="H425" s="1"/>
      <c r="I425" s="1"/>
      <c r="J425" s="1"/>
      <c r="K425" s="1"/>
      <c r="L425" s="1" t="str" cm="1">
        <f t="array" ref="L425">_xlfn.REGEXEXTRACT(B425,"(?&lt;=//)[^/]+")</f>
        <v>bdsmstreak.com</v>
      </c>
      <c r="M425" s="1" t="s">
        <v>457</v>
      </c>
      <c r="N425" s="1" t="s">
        <v>1740</v>
      </c>
      <c r="O425" s="1" t="str" cm="1">
        <f t="array" ref="O425">IF(N425&lt;&gt;"NtApp",_xlfn.REGEXEXTRACT(N425,"\d+(?=p)"),"NtApp")</f>
        <v>NtApp</v>
      </c>
      <c r="P425" s="1" t="s">
        <v>1740</v>
      </c>
      <c r="Q425" s="1" t="b">
        <f t="shared" si="18"/>
        <v>1</v>
      </c>
      <c r="R425" s="1" t="s">
        <v>1564</v>
      </c>
      <c r="S425" s="1" t="s">
        <v>1564</v>
      </c>
      <c r="T425" s="1">
        <v>0</v>
      </c>
    </row>
    <row r="426" spans="1:20" ht="30" x14ac:dyDescent="0.25">
      <c r="A426" s="1" t="str">
        <f t="shared" si="17"/>
        <v>Pending</v>
      </c>
      <c r="B426" s="1" t="s">
        <v>856</v>
      </c>
      <c r="C426" s="1">
        <v>72</v>
      </c>
      <c r="D426" s="1" t="s">
        <v>571</v>
      </c>
      <c r="E426" s="1" t="s">
        <v>857</v>
      </c>
      <c r="F426" s="1" t="s">
        <v>54</v>
      </c>
      <c r="G426" s="1" t="s">
        <v>802</v>
      </c>
      <c r="H426" s="1"/>
      <c r="I426" s="1"/>
      <c r="J426" s="1"/>
      <c r="K426" s="1"/>
      <c r="L426" s="1" t="str" cm="1">
        <f t="array" ref="L426">_xlfn.REGEXEXTRACT(B426,"(?&lt;=//)[^/]+")</f>
        <v>bdsmstreak.com</v>
      </c>
      <c r="M426" s="1" t="s">
        <v>457</v>
      </c>
      <c r="N426" s="1" t="s">
        <v>1740</v>
      </c>
      <c r="O426" s="1" t="str" cm="1">
        <f t="array" ref="O426">IF(N426&lt;&gt;"NtApp",_xlfn.REGEXEXTRACT(N426,"\d+(?=p)"),"NtApp")</f>
        <v>NtApp</v>
      </c>
      <c r="P426" s="1" t="s">
        <v>1740</v>
      </c>
      <c r="Q426" s="1" t="b">
        <f t="shared" si="18"/>
        <v>1</v>
      </c>
      <c r="R426" s="1" t="s">
        <v>1507</v>
      </c>
      <c r="S426" s="1" t="s">
        <v>1506</v>
      </c>
      <c r="T426" s="1">
        <v>0</v>
      </c>
    </row>
    <row r="427" spans="1:20" ht="45" x14ac:dyDescent="0.25">
      <c r="A427" s="1" t="str">
        <f t="shared" si="17"/>
        <v>Pending</v>
      </c>
      <c r="B427" s="1" t="s">
        <v>962</v>
      </c>
      <c r="C427" s="1">
        <v>73</v>
      </c>
      <c r="D427" s="1" t="s">
        <v>573</v>
      </c>
      <c r="E427" s="1" t="s">
        <v>742</v>
      </c>
      <c r="F427" s="1" t="s">
        <v>53</v>
      </c>
      <c r="G427" s="1" t="s">
        <v>889</v>
      </c>
      <c r="H427" s="1" t="s">
        <v>1951</v>
      </c>
      <c r="I427" s="1"/>
      <c r="J427" s="1"/>
      <c r="K427" s="1" t="s">
        <v>889</v>
      </c>
      <c r="L427" s="1" t="str" cm="1">
        <f t="array" ref="L427">_xlfn.REGEXEXTRACT(B427,"(?&lt;=//)[^/]+")</f>
        <v>bdsmstreak.com</v>
      </c>
      <c r="M427" s="1" t="s">
        <v>457</v>
      </c>
      <c r="N427" s="1" t="s">
        <v>1740</v>
      </c>
      <c r="O427" s="1" t="str" cm="1">
        <f t="array" ref="O427">IF(N427&lt;&gt;"NtApp",_xlfn.REGEXEXTRACT(N427,"\d+(?=p)"),"NtApp")</f>
        <v>NtApp</v>
      </c>
      <c r="P427" s="1" t="s">
        <v>1740</v>
      </c>
      <c r="Q427" s="1" t="b">
        <f t="shared" si="18"/>
        <v>0</v>
      </c>
      <c r="R427" s="1" t="s">
        <v>1701</v>
      </c>
      <c r="S427" s="1" t="s">
        <v>1694</v>
      </c>
      <c r="T427" s="1">
        <v>6</v>
      </c>
    </row>
    <row r="428" spans="1:20" ht="45" x14ac:dyDescent="0.25">
      <c r="A428" s="1" t="str">
        <f t="shared" si="17"/>
        <v>Pending</v>
      </c>
      <c r="B428" s="1" t="s">
        <v>878</v>
      </c>
      <c r="C428" s="1">
        <v>74</v>
      </c>
      <c r="D428" s="1" t="s">
        <v>571</v>
      </c>
      <c r="E428" s="1" t="s">
        <v>1928</v>
      </c>
      <c r="F428" s="1" t="s">
        <v>54</v>
      </c>
      <c r="G428" s="1" t="s">
        <v>1751</v>
      </c>
      <c r="H428" s="1"/>
      <c r="I428" s="1"/>
      <c r="J428" s="1"/>
      <c r="K428" s="1"/>
      <c r="L428" s="1" t="str" cm="1">
        <f t="array" ref="L428">_xlfn.REGEXEXTRACT(B428,"(?&lt;=//)[^/]+")</f>
        <v>hcbdsm.com</v>
      </c>
      <c r="M428" s="1" t="s">
        <v>457</v>
      </c>
      <c r="N428" s="1" t="s">
        <v>1740</v>
      </c>
      <c r="O428" s="1" t="str" cm="1">
        <f t="array" ref="O428">IF(N428&lt;&gt;"NtApp",_xlfn.REGEXEXTRACT(N428,"\d+(?=p)"),"NtApp")</f>
        <v>NtApp</v>
      </c>
      <c r="P428" s="1" t="s">
        <v>1740</v>
      </c>
      <c r="Q428" s="1" t="b">
        <f t="shared" si="18"/>
        <v>1</v>
      </c>
      <c r="R428" s="1" t="s">
        <v>1566</v>
      </c>
      <c r="S428" s="1" t="s">
        <v>1566</v>
      </c>
      <c r="T428" s="1">
        <v>6</v>
      </c>
    </row>
    <row r="429" spans="1:20" x14ac:dyDescent="0.25">
      <c r="A429" s="1" t="str">
        <f t="shared" si="17"/>
        <v>Pending</v>
      </c>
      <c r="B429" s="1" t="s">
        <v>1084</v>
      </c>
      <c r="C429" s="1">
        <v>74</v>
      </c>
      <c r="D429" s="1" t="s">
        <v>575</v>
      </c>
      <c r="E429" s="1" t="s">
        <v>1085</v>
      </c>
      <c r="F429" s="1" t="s">
        <v>54</v>
      </c>
      <c r="G429" s="1" t="s">
        <v>1086</v>
      </c>
      <c r="H429" s="1"/>
      <c r="I429" s="1"/>
      <c r="J429" s="1"/>
      <c r="K429" s="1"/>
      <c r="L429" s="1" t="str" cm="1">
        <f t="array" ref="L429">_xlfn.REGEXEXTRACT(B429,"(?&lt;=//)[^/]+")</f>
        <v>www.kink.com</v>
      </c>
      <c r="M429" s="1" t="s">
        <v>457</v>
      </c>
      <c r="N429" s="1" t="s">
        <v>1740</v>
      </c>
      <c r="O429" s="1" t="str" cm="1">
        <f t="array" ref="O429">IF(N429&lt;&gt;"NtApp",_xlfn.REGEXEXTRACT(N429,"\d+(?=p)"),"NtApp")</f>
        <v>NtApp</v>
      </c>
      <c r="P429" s="1" t="s">
        <v>1740</v>
      </c>
      <c r="Q429" s="1" t="b">
        <f t="shared" si="18"/>
        <v>1</v>
      </c>
      <c r="R429" s="1" t="s">
        <v>1184</v>
      </c>
      <c r="S429" s="1" t="s">
        <v>1184</v>
      </c>
      <c r="T429" s="1">
        <v>2</v>
      </c>
    </row>
    <row r="430" spans="1:20" ht="30" x14ac:dyDescent="0.25">
      <c r="A430" s="1" t="str">
        <f t="shared" si="17"/>
        <v>Pending</v>
      </c>
      <c r="B430" s="1" t="s">
        <v>949</v>
      </c>
      <c r="C430" s="1">
        <v>74</v>
      </c>
      <c r="D430" s="1" t="s">
        <v>571</v>
      </c>
      <c r="E430" s="1" t="s">
        <v>950</v>
      </c>
      <c r="F430" s="1" t="s">
        <v>54</v>
      </c>
      <c r="G430" s="1" t="s">
        <v>1752</v>
      </c>
      <c r="H430" s="1"/>
      <c r="I430" s="1"/>
      <c r="J430" s="1"/>
      <c r="K430" s="1"/>
      <c r="L430" s="1" t="str" cm="1">
        <f t="array" ref="L430">_xlfn.REGEXEXTRACT(B430,"(?&lt;=//)[^/]+")</f>
        <v>hcbdsm.com</v>
      </c>
      <c r="M430" s="1" t="s">
        <v>457</v>
      </c>
      <c r="N430" s="1" t="s">
        <v>1740</v>
      </c>
      <c r="O430" s="1" t="str" cm="1">
        <f t="array" ref="O430">IF(N430&lt;&gt;"NtApp",_xlfn.REGEXEXTRACT(N430,"\d+(?=p)"),"NtApp")</f>
        <v>NtApp</v>
      </c>
      <c r="P430" s="1" t="s">
        <v>1740</v>
      </c>
      <c r="Q430" s="1" t="b">
        <f t="shared" si="18"/>
        <v>1</v>
      </c>
      <c r="R430" s="1" t="s">
        <v>1568</v>
      </c>
      <c r="S430" s="1" t="s">
        <v>1567</v>
      </c>
      <c r="T430" s="1">
        <v>2</v>
      </c>
    </row>
    <row r="431" spans="1:20" ht="30" x14ac:dyDescent="0.25">
      <c r="A431" s="1" t="str">
        <f t="shared" si="17"/>
        <v>Pending</v>
      </c>
      <c r="B431" s="1" t="s">
        <v>747</v>
      </c>
      <c r="C431" s="1">
        <v>74</v>
      </c>
      <c r="D431" s="1" t="s">
        <v>704</v>
      </c>
      <c r="E431" s="1" t="s">
        <v>762</v>
      </c>
      <c r="F431" s="1" t="s">
        <v>52</v>
      </c>
      <c r="G431" s="1" t="s">
        <v>1777</v>
      </c>
      <c r="H431" s="1"/>
      <c r="I431" s="1"/>
      <c r="J431" s="1"/>
      <c r="K431" s="1"/>
      <c r="L431" s="1" t="str" cm="1">
        <f t="array" ref="L431">_xlfn.REGEXEXTRACT(B431,"(?&lt;=//)[^/]+")</f>
        <v>heavyfetish.com</v>
      </c>
      <c r="M431" s="1" t="s">
        <v>457</v>
      </c>
      <c r="N431" s="1" t="s">
        <v>1740</v>
      </c>
      <c r="O431" s="1" t="str" cm="1">
        <f t="array" ref="O431">IF(N431&lt;&gt;"NtApp",_xlfn.REGEXEXTRACT(N431,"\d+(?=p)"),"NtApp")</f>
        <v>NtApp</v>
      </c>
      <c r="P431" s="1" t="s">
        <v>1740</v>
      </c>
      <c r="Q431" s="1" t="b">
        <f t="shared" si="18"/>
        <v>1</v>
      </c>
      <c r="R431" s="1" t="s">
        <v>1446</v>
      </c>
      <c r="S431" s="1" t="s">
        <v>1446</v>
      </c>
      <c r="T431" s="1">
        <v>0</v>
      </c>
    </row>
    <row r="432" spans="1:20" ht="45" x14ac:dyDescent="0.25">
      <c r="A432" s="1" t="str">
        <f t="shared" si="17"/>
        <v>Pending</v>
      </c>
      <c r="B432" s="1" t="s">
        <v>622</v>
      </c>
      <c r="C432" s="1">
        <v>74</v>
      </c>
      <c r="D432" s="1" t="s">
        <v>571</v>
      </c>
      <c r="E432" s="1" t="s">
        <v>1771</v>
      </c>
      <c r="F432" s="1" t="s">
        <v>54</v>
      </c>
      <c r="G432" s="1" t="s">
        <v>802</v>
      </c>
      <c r="H432" s="1"/>
      <c r="I432" s="1"/>
      <c r="J432" s="1"/>
      <c r="K432" s="1" t="s">
        <v>489</v>
      </c>
      <c r="L432" s="1" t="str" cm="1">
        <f t="array" ref="L432">_xlfn.REGEXEXTRACT(B432,"(?&lt;=//)[^/]+")</f>
        <v>bdsmmansion.com</v>
      </c>
      <c r="M432" s="1" t="s">
        <v>457</v>
      </c>
      <c r="N432" s="1" t="s">
        <v>1740</v>
      </c>
      <c r="O432" s="1" t="str" cm="1">
        <f t="array" ref="O432">IF(N432&lt;&gt;"NtApp",_xlfn.REGEXEXTRACT(N432,"\d+(?=p)"),"NtApp")</f>
        <v>NtApp</v>
      </c>
      <c r="P432" s="1" t="s">
        <v>1740</v>
      </c>
      <c r="Q432" s="1" t="b">
        <f t="shared" si="18"/>
        <v>1</v>
      </c>
      <c r="R432" s="1" t="s">
        <v>1565</v>
      </c>
      <c r="S432" s="1" t="s">
        <v>1927</v>
      </c>
      <c r="T432" s="1">
        <v>0</v>
      </c>
    </row>
    <row r="433" spans="1:20" ht="30" x14ac:dyDescent="0.25">
      <c r="A433" s="1" t="str">
        <f t="shared" si="17"/>
        <v>Pending</v>
      </c>
      <c r="B433" s="1" t="s">
        <v>966</v>
      </c>
      <c r="C433" s="1">
        <v>75</v>
      </c>
      <c r="D433" s="1" t="s">
        <v>572</v>
      </c>
      <c r="E433" s="1" t="s">
        <v>967</v>
      </c>
      <c r="F433" s="1" t="s">
        <v>54</v>
      </c>
      <c r="G433" s="1" t="s">
        <v>2105</v>
      </c>
      <c r="H433" s="1" t="s">
        <v>1745</v>
      </c>
      <c r="I433" s="1"/>
      <c r="J433" s="1"/>
      <c r="K433" s="1"/>
      <c r="L433" s="1" t="str" cm="1">
        <f t="array" ref="L433">_xlfn.REGEXEXTRACT(B433,"(?&lt;=//)[^/]+")</f>
        <v>www.kink.com</v>
      </c>
      <c r="M433" s="1" t="s">
        <v>457</v>
      </c>
      <c r="N433" s="1" t="s">
        <v>1740</v>
      </c>
      <c r="O433" s="1" t="str" cm="1">
        <f t="array" ref="O433">IF(N433&lt;&gt;"NtApp",_xlfn.REGEXEXTRACT(N433,"\d+(?=p)"),"NtApp")</f>
        <v>NtApp</v>
      </c>
      <c r="P433" s="1" t="s">
        <v>1740</v>
      </c>
      <c r="Q433" s="1" t="b">
        <f t="shared" si="18"/>
        <v>1</v>
      </c>
      <c r="R433" s="1" t="s">
        <v>1185</v>
      </c>
      <c r="S433" s="1" t="s">
        <v>1185</v>
      </c>
      <c r="T433" s="1">
        <v>4</v>
      </c>
    </row>
    <row r="434" spans="1:20" ht="30" x14ac:dyDescent="0.25">
      <c r="A434" s="1" t="str">
        <f t="shared" si="17"/>
        <v>Pending</v>
      </c>
      <c r="B434" s="1" t="s">
        <v>954</v>
      </c>
      <c r="C434" s="1">
        <v>75</v>
      </c>
      <c r="D434" s="1" t="s">
        <v>575</v>
      </c>
      <c r="E434" s="1" t="s">
        <v>711</v>
      </c>
      <c r="F434" s="1" t="s">
        <v>53</v>
      </c>
      <c r="G434" s="1" t="s">
        <v>731</v>
      </c>
      <c r="H434" s="1"/>
      <c r="I434" s="1"/>
      <c r="J434" s="1"/>
      <c r="K434" s="1"/>
      <c r="L434" s="1" t="str" cm="1">
        <f t="array" ref="L434">_xlfn.REGEXEXTRACT(B434,"(?&lt;=//)[^/]+")</f>
        <v>bdsmstreak.com</v>
      </c>
      <c r="M434" s="1" t="s">
        <v>457</v>
      </c>
      <c r="N434" s="1" t="s">
        <v>1740</v>
      </c>
      <c r="O434" s="1" t="str" cm="1">
        <f t="array" ref="O434">IF(N434&lt;&gt;"NtApp",_xlfn.REGEXEXTRACT(N434,"\d+(?=p)"),"NtApp")</f>
        <v>NtApp</v>
      </c>
      <c r="P434" s="1" t="s">
        <v>1740</v>
      </c>
      <c r="Q434" s="1" t="b">
        <f t="shared" ref="Q434:Q465" si="19">ISNUMBER(SEARCH(",",E434))</f>
        <v>0</v>
      </c>
      <c r="R434" s="1" t="s">
        <v>1636</v>
      </c>
      <c r="S434" s="1" t="s">
        <v>1636</v>
      </c>
      <c r="T434" s="1">
        <v>3</v>
      </c>
    </row>
    <row r="435" spans="1:20" ht="30" x14ac:dyDescent="0.25">
      <c r="A435" s="1" t="str">
        <f t="shared" si="17"/>
        <v>Pending</v>
      </c>
      <c r="B435" s="1" t="s">
        <v>1757</v>
      </c>
      <c r="C435" s="1">
        <v>75</v>
      </c>
      <c r="D435" s="1" t="s">
        <v>1021</v>
      </c>
      <c r="E435" s="1" t="s">
        <v>1022</v>
      </c>
      <c r="F435" s="1" t="s">
        <v>53</v>
      </c>
      <c r="G435" s="1"/>
      <c r="H435" s="1"/>
      <c r="I435" s="1"/>
      <c r="J435" s="1"/>
      <c r="K435" s="1"/>
      <c r="L435" s="1" t="str" cm="1">
        <f t="array" ref="L435">_xlfn.REGEXEXTRACT(B435,"(?&lt;=//)[^/]+")</f>
        <v>hcbdsm.com</v>
      </c>
      <c r="M435" s="1" t="s">
        <v>457</v>
      </c>
      <c r="N435" s="1" t="s">
        <v>1740</v>
      </c>
      <c r="O435" s="1" t="str" cm="1">
        <f t="array" ref="O435">IF(N435&lt;&gt;"NtApp",_xlfn.REGEXEXTRACT(N435,"\d+(?=p)"),"NtApp")</f>
        <v>NtApp</v>
      </c>
      <c r="P435" s="1" t="s">
        <v>1740</v>
      </c>
      <c r="Q435" s="1" t="b">
        <f t="shared" si="19"/>
        <v>0</v>
      </c>
      <c r="R435" s="1" t="s">
        <v>1470</v>
      </c>
      <c r="S435" s="1" t="s">
        <v>1470</v>
      </c>
      <c r="T435" s="1">
        <v>1</v>
      </c>
    </row>
    <row r="436" spans="1:20" ht="30" x14ac:dyDescent="0.25">
      <c r="A436" s="1" t="str">
        <f t="shared" si="17"/>
        <v>Pending</v>
      </c>
      <c r="B436" s="1" t="s">
        <v>694</v>
      </c>
      <c r="C436" s="1">
        <v>75</v>
      </c>
      <c r="D436" s="1" t="s">
        <v>572</v>
      </c>
      <c r="E436" s="1" t="s">
        <v>720</v>
      </c>
      <c r="F436" s="1" t="s">
        <v>54</v>
      </c>
      <c r="G436" s="1" t="s">
        <v>802</v>
      </c>
      <c r="H436" s="1"/>
      <c r="I436" s="1"/>
      <c r="J436" s="1"/>
      <c r="K436" s="1" t="s">
        <v>582</v>
      </c>
      <c r="L436" s="1" t="str" cm="1">
        <f t="array" ref="L436">_xlfn.REGEXEXTRACT(B436,"(?&lt;=//)[^/]+")</f>
        <v>www.porntry.com</v>
      </c>
      <c r="M436" s="1" t="s">
        <v>457</v>
      </c>
      <c r="N436" s="1" t="s">
        <v>1740</v>
      </c>
      <c r="O436" s="1" t="str" cm="1">
        <f t="array" ref="O436">IF(N436&lt;&gt;"NtApp",_xlfn.REGEXEXTRACT(N436,"\d+(?=p)"),"NtApp")</f>
        <v>NtApp</v>
      </c>
      <c r="P436" s="1" t="s">
        <v>1740</v>
      </c>
      <c r="Q436" s="1" t="b">
        <f t="shared" si="19"/>
        <v>1</v>
      </c>
      <c r="R436" s="1" t="s">
        <v>1579</v>
      </c>
      <c r="S436" s="1" t="s">
        <v>1578</v>
      </c>
      <c r="T436" s="1">
        <v>0</v>
      </c>
    </row>
    <row r="437" spans="1:20" ht="30" x14ac:dyDescent="0.25">
      <c r="A437" s="1" t="str">
        <f t="shared" si="17"/>
        <v>Pending</v>
      </c>
      <c r="B437" s="1" t="s">
        <v>983</v>
      </c>
      <c r="C437" s="1">
        <v>76</v>
      </c>
      <c r="D437" s="1" t="s">
        <v>577</v>
      </c>
      <c r="E437" s="1" t="s">
        <v>984</v>
      </c>
      <c r="F437" s="1" t="s">
        <v>54</v>
      </c>
      <c r="G437" s="1" t="s">
        <v>1744</v>
      </c>
      <c r="H437" s="1"/>
      <c r="I437" s="1"/>
      <c r="J437" s="1"/>
      <c r="K437" s="1"/>
      <c r="L437" s="1" t="str" cm="1">
        <f t="array" ref="L437">_xlfn.REGEXEXTRACT(B437,"(?&lt;=//)[^/]+")</f>
        <v>bdsmstreak.com</v>
      </c>
      <c r="M437" s="1" t="s">
        <v>457</v>
      </c>
      <c r="N437" s="1" t="s">
        <v>1740</v>
      </c>
      <c r="O437" s="1" t="str" cm="1">
        <f t="array" ref="O437">IF(N437&lt;&gt;"NtApp",_xlfn.REGEXEXTRACT(N437,"\d+(?=p)"),"NtApp")</f>
        <v>NtApp</v>
      </c>
      <c r="P437" s="1" t="s">
        <v>1740</v>
      </c>
      <c r="Q437" s="1" t="b">
        <f t="shared" si="19"/>
        <v>1</v>
      </c>
      <c r="R437" s="1" t="s">
        <v>1517</v>
      </c>
      <c r="S437" s="1" t="s">
        <v>1517</v>
      </c>
      <c r="T437" s="1">
        <v>3</v>
      </c>
    </row>
    <row r="438" spans="1:20" ht="30" x14ac:dyDescent="0.25">
      <c r="A438" s="1" t="str">
        <f t="shared" si="17"/>
        <v>Pending</v>
      </c>
      <c r="B438" s="1" t="s">
        <v>695</v>
      </c>
      <c r="C438" s="1">
        <v>76</v>
      </c>
      <c r="D438" s="1" t="s">
        <v>575</v>
      </c>
      <c r="E438" s="1" t="s">
        <v>721</v>
      </c>
      <c r="F438" s="1" t="s">
        <v>156</v>
      </c>
      <c r="G438" s="1" t="s">
        <v>802</v>
      </c>
      <c r="H438" s="1"/>
      <c r="I438" s="1"/>
      <c r="J438" s="1"/>
      <c r="K438" s="1" t="s">
        <v>738</v>
      </c>
      <c r="L438" s="1" t="str" cm="1">
        <f t="array" ref="L438">_xlfn.REGEXEXTRACT(B438,"(?&lt;=//)[^/]+")</f>
        <v>bdsmstreak.com</v>
      </c>
      <c r="M438" s="1" t="s">
        <v>457</v>
      </c>
      <c r="N438" s="1" t="s">
        <v>1740</v>
      </c>
      <c r="O438" s="1" t="str" cm="1">
        <f t="array" ref="O438">IF(N438&lt;&gt;"NtApp",_xlfn.REGEXEXTRACT(N438,"\d+(?=p)"),"NtApp")</f>
        <v>NtApp</v>
      </c>
      <c r="P438" s="1" t="s">
        <v>1740</v>
      </c>
      <c r="Q438" s="1" t="b">
        <f t="shared" si="19"/>
        <v>1</v>
      </c>
      <c r="R438" s="1" t="s">
        <v>1407</v>
      </c>
      <c r="S438" s="1" t="s">
        <v>1407</v>
      </c>
      <c r="T438" s="1">
        <v>0</v>
      </c>
    </row>
    <row r="439" spans="1:20" ht="30" x14ac:dyDescent="0.25">
      <c r="A439" s="1" t="str">
        <f t="shared" si="17"/>
        <v>Pending</v>
      </c>
      <c r="B439" s="1" t="s">
        <v>1124</v>
      </c>
      <c r="C439" s="1">
        <v>77</v>
      </c>
      <c r="D439" s="1" t="s">
        <v>572</v>
      </c>
      <c r="E439" s="1" t="s">
        <v>1125</v>
      </c>
      <c r="F439" s="1" t="s">
        <v>54</v>
      </c>
      <c r="G439" s="1" t="s">
        <v>808</v>
      </c>
      <c r="H439" s="1"/>
      <c r="I439" s="1"/>
      <c r="J439" s="1"/>
      <c r="K439" s="1"/>
      <c r="L439" s="1" t="str" cm="1">
        <f t="array" ref="L439">_xlfn.REGEXEXTRACT(B439,"(?&lt;=//)[^/]+")</f>
        <v>www.kink.com</v>
      </c>
      <c r="M439" s="1" t="s">
        <v>457</v>
      </c>
      <c r="N439" s="1" t="s">
        <v>1740</v>
      </c>
      <c r="O439" s="1" t="str" cm="1">
        <f t="array" ref="O439">IF(N439&lt;&gt;"NtApp",_xlfn.REGEXEXTRACT(N439,"\d+(?=p)"),"NtApp")</f>
        <v>NtApp</v>
      </c>
      <c r="P439" s="1" t="s">
        <v>1740</v>
      </c>
      <c r="Q439" s="1" t="b">
        <f t="shared" si="19"/>
        <v>1</v>
      </c>
      <c r="R439" s="1" t="s">
        <v>1186</v>
      </c>
      <c r="S439" s="1" t="s">
        <v>1186</v>
      </c>
      <c r="T439" s="1">
        <v>1</v>
      </c>
    </row>
    <row r="440" spans="1:20" x14ac:dyDescent="0.25">
      <c r="A440" s="1" t="str">
        <f t="shared" si="17"/>
        <v>Pending</v>
      </c>
      <c r="B440" s="1" t="s">
        <v>740</v>
      </c>
      <c r="C440" s="1">
        <v>77</v>
      </c>
      <c r="D440" s="1" t="s">
        <v>577</v>
      </c>
      <c r="E440" s="1" t="s">
        <v>742</v>
      </c>
      <c r="F440" s="1" t="s">
        <v>53</v>
      </c>
      <c r="G440" s="1"/>
      <c r="H440" s="1"/>
      <c r="I440" s="1"/>
      <c r="J440" s="1"/>
      <c r="K440" s="1" t="s">
        <v>1870</v>
      </c>
      <c r="L440" s="1" t="str" cm="1">
        <f t="array" ref="L440">_xlfn.REGEXEXTRACT(B440,"(?&lt;=//)[^/]+")</f>
        <v>www.kink.com</v>
      </c>
      <c r="M440" s="1" t="s">
        <v>457</v>
      </c>
      <c r="N440" s="1" t="s">
        <v>1740</v>
      </c>
      <c r="O440" s="1" t="str" cm="1">
        <f t="array" ref="O440">IF(N440&lt;&gt;"NtApp",_xlfn.REGEXEXTRACT(N440,"\d+(?=p)"),"NtApp")</f>
        <v>NtApp</v>
      </c>
      <c r="P440" s="1" t="s">
        <v>1740</v>
      </c>
      <c r="Q440" s="1" t="b">
        <f t="shared" si="19"/>
        <v>0</v>
      </c>
      <c r="R440" s="1" t="s">
        <v>1871</v>
      </c>
      <c r="S440" s="1" t="s">
        <v>1871</v>
      </c>
      <c r="T440" s="1">
        <v>0</v>
      </c>
    </row>
    <row r="441" spans="1:20" ht="30" x14ac:dyDescent="0.25">
      <c r="A441" s="1" t="str">
        <f t="shared" si="17"/>
        <v>Pending</v>
      </c>
      <c r="B441" s="1" t="s">
        <v>748</v>
      </c>
      <c r="C441" s="1">
        <v>77</v>
      </c>
      <c r="D441" s="1" t="s">
        <v>599</v>
      </c>
      <c r="E441" s="1" t="s">
        <v>1884</v>
      </c>
      <c r="F441" s="1" t="s">
        <v>54</v>
      </c>
      <c r="G441" s="1" t="s">
        <v>802</v>
      </c>
      <c r="H441" s="1"/>
      <c r="I441" s="1"/>
      <c r="J441" s="1"/>
      <c r="K441" s="1" t="s">
        <v>889</v>
      </c>
      <c r="L441" s="1" t="str" cm="1">
        <f t="array" ref="L441">_xlfn.REGEXEXTRACT(B441,"(?&lt;=//)[^/]+")</f>
        <v>bdsmstreak.com</v>
      </c>
      <c r="M441" s="1" t="s">
        <v>457</v>
      </c>
      <c r="N441" s="1" t="s">
        <v>1740</v>
      </c>
      <c r="O441" s="1" t="str" cm="1">
        <f t="array" ref="O441">IF(N441&lt;&gt;"NtApp",_xlfn.REGEXEXTRACT(N441,"\d+(?=p)"),"NtApp")</f>
        <v>NtApp</v>
      </c>
      <c r="P441" s="1" t="s">
        <v>1740</v>
      </c>
      <c r="Q441" s="1" t="b">
        <f t="shared" si="19"/>
        <v>1</v>
      </c>
      <c r="R441" s="1" t="s">
        <v>1543</v>
      </c>
      <c r="S441" s="1" t="s">
        <v>1543</v>
      </c>
      <c r="T441" s="1">
        <v>0</v>
      </c>
    </row>
    <row r="442" spans="1:20" ht="30" x14ac:dyDescent="0.25">
      <c r="A442" s="1" t="str">
        <f t="shared" si="17"/>
        <v>Pending</v>
      </c>
      <c r="B442" s="1" t="s">
        <v>696</v>
      </c>
      <c r="C442" s="1">
        <v>77</v>
      </c>
      <c r="D442" s="1" t="s">
        <v>575</v>
      </c>
      <c r="E442" s="1" t="s">
        <v>722</v>
      </c>
      <c r="F442" s="1" t="s">
        <v>54</v>
      </c>
      <c r="G442" s="1" t="s">
        <v>801</v>
      </c>
      <c r="H442" s="1"/>
      <c r="I442" s="1"/>
      <c r="J442" s="1"/>
      <c r="K442" s="1" t="s">
        <v>732</v>
      </c>
      <c r="L442" s="1" t="str" cm="1">
        <f t="array" ref="L442">_xlfn.REGEXEXTRACT(B442,"(?&lt;=//)[^/]+")</f>
        <v>hcbdsm.com</v>
      </c>
      <c r="M442" s="1" t="s">
        <v>457</v>
      </c>
      <c r="N442" s="1" t="s">
        <v>1740</v>
      </c>
      <c r="O442" s="1" t="str" cm="1">
        <f t="array" ref="O442">IF(N442&lt;&gt;"NtApp",_xlfn.REGEXEXTRACT(N442,"\d+(?=p)"),"NtApp")</f>
        <v>NtApp</v>
      </c>
      <c r="P442" s="1" t="s">
        <v>1740</v>
      </c>
      <c r="Q442" s="1" t="b">
        <f t="shared" si="19"/>
        <v>1</v>
      </c>
      <c r="R442" s="1" t="s">
        <v>1548</v>
      </c>
      <c r="S442" s="1" t="s">
        <v>1548</v>
      </c>
      <c r="T442" s="1">
        <v>0</v>
      </c>
    </row>
    <row r="443" spans="1:20" ht="30" x14ac:dyDescent="0.25">
      <c r="A443" s="1" t="str">
        <f t="shared" si="17"/>
        <v>Pending</v>
      </c>
      <c r="B443" s="1" t="s">
        <v>867</v>
      </c>
      <c r="C443" s="1">
        <v>78</v>
      </c>
      <c r="D443" s="1" t="s">
        <v>575</v>
      </c>
      <c r="E443" s="1" t="s">
        <v>868</v>
      </c>
      <c r="F443" s="1" t="s">
        <v>54</v>
      </c>
      <c r="G443" s="1" t="s">
        <v>1749</v>
      </c>
      <c r="H443" s="1"/>
      <c r="I443" s="1"/>
      <c r="J443" s="1"/>
      <c r="K443" s="1"/>
      <c r="L443" s="1" t="str" cm="1">
        <f t="array" ref="L443">_xlfn.REGEXEXTRACT(B443,"(?&lt;=//)[^/]+")</f>
        <v>bdsmstreak.com</v>
      </c>
      <c r="M443" s="1" t="s">
        <v>457</v>
      </c>
      <c r="N443" s="1" t="s">
        <v>1740</v>
      </c>
      <c r="O443" s="1" t="str" cm="1">
        <f t="array" ref="O443">IF(N443&lt;&gt;"NtApp",_xlfn.REGEXEXTRACT(N443,"\d+(?=p)"),"NtApp")</f>
        <v>NtApp</v>
      </c>
      <c r="P443" s="1" t="s">
        <v>1740</v>
      </c>
      <c r="Q443" s="1" t="b">
        <f t="shared" si="19"/>
        <v>1</v>
      </c>
      <c r="R443" s="1" t="s">
        <v>1549</v>
      </c>
      <c r="S443" s="1" t="s">
        <v>1549</v>
      </c>
      <c r="T443" s="1">
        <v>3</v>
      </c>
    </row>
    <row r="444" spans="1:20" ht="30" x14ac:dyDescent="0.25">
      <c r="A444" s="1" t="str">
        <f t="shared" si="17"/>
        <v>Pending</v>
      </c>
      <c r="B444" s="1" t="s">
        <v>1042</v>
      </c>
      <c r="C444" s="1">
        <v>78</v>
      </c>
      <c r="D444" s="1" t="s">
        <v>577</v>
      </c>
      <c r="E444" s="1" t="s">
        <v>1880</v>
      </c>
      <c r="F444" s="1" t="s">
        <v>53</v>
      </c>
      <c r="G444" s="1" t="s">
        <v>1043</v>
      </c>
      <c r="H444" s="1"/>
      <c r="I444" s="1"/>
      <c r="J444" s="1"/>
      <c r="K444" s="1"/>
      <c r="L444" s="1" t="str" cm="1">
        <f t="array" ref="L444">_xlfn.REGEXEXTRACT(B444,"(?&lt;=//)[^/]+")</f>
        <v>bdsmstreak.com</v>
      </c>
      <c r="M444" s="1" t="s">
        <v>457</v>
      </c>
      <c r="N444" s="1" t="s">
        <v>1740</v>
      </c>
      <c r="O444" s="1" t="str" cm="1">
        <f t="array" ref="O444">IF(N444&lt;&gt;"NtApp",_xlfn.REGEXEXTRACT(N444,"\d+(?=p)"),"NtApp")</f>
        <v>NtApp</v>
      </c>
      <c r="P444" s="1" t="s">
        <v>1740</v>
      </c>
      <c r="Q444" s="1" t="b">
        <f t="shared" si="19"/>
        <v>1</v>
      </c>
      <c r="R444" s="1" t="s">
        <v>1881</v>
      </c>
      <c r="S444" s="1" t="s">
        <v>1881</v>
      </c>
      <c r="T444" s="1">
        <v>1</v>
      </c>
    </row>
    <row r="445" spans="1:20" ht="30" x14ac:dyDescent="0.25">
      <c r="A445" s="1" t="str">
        <f t="shared" si="17"/>
        <v>Pending</v>
      </c>
      <c r="B445" s="1" t="s">
        <v>697</v>
      </c>
      <c r="C445" s="1">
        <v>78</v>
      </c>
      <c r="D445" s="1" t="s">
        <v>573</v>
      </c>
      <c r="E445" s="1" t="s">
        <v>723</v>
      </c>
      <c r="F445" s="1" t="s">
        <v>53</v>
      </c>
      <c r="G445" s="1"/>
      <c r="H445" s="1"/>
      <c r="I445" s="1"/>
      <c r="J445" s="1"/>
      <c r="K445" s="1"/>
      <c r="L445" s="1" t="str" cm="1">
        <f t="array" ref="L445">_xlfn.REGEXEXTRACT(B445,"(?&lt;=//)[^/]+")</f>
        <v>bdsmstreak.com</v>
      </c>
      <c r="M445" s="1" t="s">
        <v>457</v>
      </c>
      <c r="N445" s="1" t="s">
        <v>1740</v>
      </c>
      <c r="O445" s="1" t="str" cm="1">
        <f t="array" ref="O445">IF(N445&lt;&gt;"NtApp",_xlfn.REGEXEXTRACT(N445,"\d+(?=p)"),"NtApp")</f>
        <v>NtApp</v>
      </c>
      <c r="P445" s="1" t="s">
        <v>1740</v>
      </c>
      <c r="Q445" s="1" t="b">
        <f t="shared" si="19"/>
        <v>0</v>
      </c>
      <c r="R445" s="1" t="s">
        <v>1695</v>
      </c>
      <c r="S445" s="1" t="s">
        <v>1695</v>
      </c>
      <c r="T445" s="1">
        <v>0</v>
      </c>
    </row>
    <row r="446" spans="1:20" ht="30" x14ac:dyDescent="0.25">
      <c r="A446" s="1" t="str">
        <f t="shared" si="17"/>
        <v>Pending</v>
      </c>
      <c r="B446" s="1" t="s">
        <v>1067</v>
      </c>
      <c r="C446" s="1">
        <v>79</v>
      </c>
      <c r="D446" s="1" t="s">
        <v>569</v>
      </c>
      <c r="E446" s="1" t="s">
        <v>1068</v>
      </c>
      <c r="F446" s="1" t="s">
        <v>53</v>
      </c>
      <c r="G446" s="1" t="s">
        <v>1069</v>
      </c>
      <c r="H446" s="1"/>
      <c r="I446" s="1"/>
      <c r="J446" s="1"/>
      <c r="K446" s="1"/>
      <c r="L446" s="1" t="str" cm="1">
        <f t="array" ref="L446">_xlfn.REGEXEXTRACT(B446,"(?&lt;=//)[^/]+")</f>
        <v>bdsmstreak.com</v>
      </c>
      <c r="M446" s="1" t="s">
        <v>457</v>
      </c>
      <c r="N446" s="1" t="s">
        <v>1740</v>
      </c>
      <c r="O446" s="1" t="str" cm="1">
        <f t="array" ref="O446">IF(N446&lt;&gt;"NtApp",_xlfn.REGEXEXTRACT(N446,"\d+(?=p)"),"NtApp")</f>
        <v>NtApp</v>
      </c>
      <c r="P446" s="1" t="s">
        <v>1740</v>
      </c>
      <c r="Q446" s="1" t="b">
        <f t="shared" si="19"/>
        <v>1</v>
      </c>
      <c r="R446" s="1" t="s">
        <v>1724</v>
      </c>
      <c r="S446" s="1" t="s">
        <v>1723</v>
      </c>
      <c r="T446" s="1">
        <v>1</v>
      </c>
    </row>
    <row r="447" spans="1:20" x14ac:dyDescent="0.25">
      <c r="A447" s="1" t="str">
        <f t="shared" si="17"/>
        <v>Pending</v>
      </c>
      <c r="B447" s="1" t="s">
        <v>1019</v>
      </c>
      <c r="C447" s="1">
        <v>80</v>
      </c>
      <c r="D447" s="1" t="s">
        <v>703</v>
      </c>
      <c r="E447" s="1" t="s">
        <v>1020</v>
      </c>
      <c r="F447" s="1" t="s">
        <v>53</v>
      </c>
      <c r="G447" s="1" t="s">
        <v>1775</v>
      </c>
      <c r="H447" s="1"/>
      <c r="I447" s="1"/>
      <c r="J447" s="1"/>
      <c r="K447" s="1"/>
      <c r="L447" s="1" t="str" cm="1">
        <f t="array" ref="L447">_xlfn.REGEXEXTRACT(B447,"(?&lt;=//)[^/]+")</f>
        <v>www.kink.com</v>
      </c>
      <c r="M447" s="1" t="s">
        <v>457</v>
      </c>
      <c r="N447" s="1" t="s">
        <v>1740</v>
      </c>
      <c r="O447" s="1" t="str" cm="1">
        <f t="array" ref="O447">IF(N447&lt;&gt;"NtApp",_xlfn.REGEXEXTRACT(N447,"\d+(?=p)"),"NtApp")</f>
        <v>NtApp</v>
      </c>
      <c r="P447" s="1" t="s">
        <v>1740</v>
      </c>
      <c r="Q447" s="1" t="b">
        <f t="shared" si="19"/>
        <v>1</v>
      </c>
      <c r="R447" s="1" t="s">
        <v>1187</v>
      </c>
      <c r="S447" s="1" t="s">
        <v>1187</v>
      </c>
      <c r="T447" s="1">
        <v>3</v>
      </c>
    </row>
    <row r="448" spans="1:20" ht="30" x14ac:dyDescent="0.25">
      <c r="A448" s="1" t="str">
        <f t="shared" si="17"/>
        <v>Pending</v>
      </c>
      <c r="B448" s="1" t="s">
        <v>928</v>
      </c>
      <c r="C448" s="1">
        <v>80</v>
      </c>
      <c r="D448" s="1" t="s">
        <v>577</v>
      </c>
      <c r="E448" s="1" t="s">
        <v>929</v>
      </c>
      <c r="F448" s="1" t="s">
        <v>53</v>
      </c>
      <c r="G448" s="1"/>
      <c r="H448" s="1"/>
      <c r="I448" s="1"/>
      <c r="J448" s="1"/>
      <c r="K448" s="1"/>
      <c r="L448" s="1" t="str" cm="1">
        <f t="array" ref="L448">_xlfn.REGEXEXTRACT(B448,"(?&lt;=//)[^/]+")</f>
        <v>hcbdsm.com</v>
      </c>
      <c r="M448" s="1" t="s">
        <v>457</v>
      </c>
      <c r="N448" s="1" t="s">
        <v>1740</v>
      </c>
      <c r="O448" s="1" t="str" cm="1">
        <f t="array" ref="O448">IF(N448&lt;&gt;"NtApp",_xlfn.REGEXEXTRACT(N448,"\d+(?=p)"),"NtApp")</f>
        <v>NtApp</v>
      </c>
      <c r="P448" s="1" t="s">
        <v>1740</v>
      </c>
      <c r="Q448" s="1" t="b">
        <f t="shared" si="19"/>
        <v>0</v>
      </c>
      <c r="R448" s="1" t="s">
        <v>1639</v>
      </c>
      <c r="S448" s="1" t="s">
        <v>1638</v>
      </c>
      <c r="T448" s="1">
        <v>0</v>
      </c>
    </row>
    <row r="449" spans="1:20" ht="45" x14ac:dyDescent="0.25">
      <c r="A449" s="1" t="str">
        <f t="shared" si="17"/>
        <v>Pending</v>
      </c>
      <c r="B449" s="1" t="s">
        <v>814</v>
      </c>
      <c r="C449" s="1">
        <v>80</v>
      </c>
      <c r="D449" s="1" t="s">
        <v>571</v>
      </c>
      <c r="E449" s="1" t="s">
        <v>724</v>
      </c>
      <c r="F449" s="1" t="s">
        <v>54</v>
      </c>
      <c r="G449" s="1" t="s">
        <v>808</v>
      </c>
      <c r="H449" s="1"/>
      <c r="I449" s="1"/>
      <c r="J449" s="1"/>
      <c r="K449" s="1"/>
      <c r="L449" s="1" t="str" cm="1">
        <f t="array" ref="L449">_xlfn.REGEXEXTRACT(B449,"(?&lt;=//)[^/]+")</f>
        <v>bdsmmansion.com</v>
      </c>
      <c r="M449" s="1" t="s">
        <v>457</v>
      </c>
      <c r="N449" s="1" t="s">
        <v>1740</v>
      </c>
      <c r="O449" s="1" t="str" cm="1">
        <f t="array" ref="O449">IF(N449&lt;&gt;"NtApp",_xlfn.REGEXEXTRACT(N449,"\d+(?=p)"),"NtApp")</f>
        <v>NtApp</v>
      </c>
      <c r="P449" s="1" t="s">
        <v>1740</v>
      </c>
      <c r="Q449" s="1" t="b">
        <f t="shared" si="19"/>
        <v>1</v>
      </c>
      <c r="R449" s="1" t="s">
        <v>1569</v>
      </c>
      <c r="S449" s="1" t="s">
        <v>1929</v>
      </c>
      <c r="T449" s="1">
        <v>0</v>
      </c>
    </row>
    <row r="450" spans="1:20" ht="30" x14ac:dyDescent="0.25">
      <c r="A450" s="1" t="str">
        <f t="shared" ref="A450:A473" si="20">IF(ISBLANK(I450)=TRUE,"Pending","Done")</f>
        <v>Pending</v>
      </c>
      <c r="B450" s="1" t="s">
        <v>2066</v>
      </c>
      <c r="C450" s="1">
        <v>81</v>
      </c>
      <c r="D450" s="1" t="s">
        <v>577</v>
      </c>
      <c r="E450" s="1" t="s">
        <v>979</v>
      </c>
      <c r="F450" s="1" t="s">
        <v>54</v>
      </c>
      <c r="G450" s="1" t="s">
        <v>1746</v>
      </c>
      <c r="H450" s="1"/>
      <c r="I450" s="1"/>
      <c r="J450" s="1"/>
      <c r="K450" s="1"/>
      <c r="L450" s="1" t="str" cm="1">
        <f t="array" ref="L450">_xlfn.REGEXEXTRACT(B450,"(?&lt;=//)[^/]+")</f>
        <v>hcbdsm.com</v>
      </c>
      <c r="M450" s="1" t="s">
        <v>457</v>
      </c>
      <c r="N450" s="1" t="s">
        <v>1740</v>
      </c>
      <c r="O450" s="1" t="str" cm="1">
        <f t="array" ref="O450">IF(N450&lt;&gt;"NtApp",_xlfn.REGEXEXTRACT(N450,"\d+(?=p)"),"NtApp")</f>
        <v>NtApp</v>
      </c>
      <c r="P450" s="1" t="s">
        <v>1740</v>
      </c>
      <c r="Q450" s="1" t="b">
        <f t="shared" si="19"/>
        <v>1</v>
      </c>
      <c r="R450" s="1" t="s">
        <v>1519</v>
      </c>
      <c r="S450" s="1" t="s">
        <v>1519</v>
      </c>
      <c r="T450" s="1">
        <v>2</v>
      </c>
    </row>
    <row r="451" spans="1:20" ht="30" x14ac:dyDescent="0.25">
      <c r="A451" s="1" t="str">
        <f t="shared" si="20"/>
        <v>Pending</v>
      </c>
      <c r="B451" s="1" t="s">
        <v>1420</v>
      </c>
      <c r="C451" s="1">
        <v>81</v>
      </c>
      <c r="D451" s="1" t="s">
        <v>704</v>
      </c>
      <c r="E451" s="1" t="s">
        <v>1049</v>
      </c>
      <c r="F451" s="1" t="s">
        <v>126</v>
      </c>
      <c r="G451" s="1" t="s">
        <v>793</v>
      </c>
      <c r="H451" s="1"/>
      <c r="I451" s="1"/>
      <c r="J451" s="1"/>
      <c r="K451" s="1"/>
      <c r="L451" s="1" t="str" cm="1">
        <f t="array" ref="L451">_xlfn.REGEXEXTRACT(B451,"(?&lt;=//)[^/]+")</f>
        <v>www.porntry.com</v>
      </c>
      <c r="M451" s="1" t="s">
        <v>457</v>
      </c>
      <c r="N451" s="1" t="s">
        <v>1740</v>
      </c>
      <c r="O451" s="1" t="str" cm="1">
        <f t="array" ref="O451">IF(N451&lt;&gt;"NtApp",_xlfn.REGEXEXTRACT(N451,"\d+(?=p)"),"NtApp")</f>
        <v>NtApp</v>
      </c>
      <c r="P451" s="1" t="s">
        <v>1740</v>
      </c>
      <c r="Q451" s="1" t="b">
        <f t="shared" si="19"/>
        <v>1</v>
      </c>
      <c r="R451" s="1" t="s">
        <v>1188</v>
      </c>
      <c r="S451" s="1" t="s">
        <v>1421</v>
      </c>
      <c r="T451" s="1">
        <v>1</v>
      </c>
    </row>
    <row r="452" spans="1:20" ht="30" x14ac:dyDescent="0.25">
      <c r="A452" s="1" t="str">
        <f t="shared" si="20"/>
        <v>Pending</v>
      </c>
      <c r="B452" s="1" t="s">
        <v>932</v>
      </c>
      <c r="C452" s="1">
        <v>81</v>
      </c>
      <c r="D452" s="1" t="s">
        <v>577</v>
      </c>
      <c r="E452" s="1" t="s">
        <v>1773</v>
      </c>
      <c r="F452" s="1" t="s">
        <v>54</v>
      </c>
      <c r="G452" s="1" t="s">
        <v>803</v>
      </c>
      <c r="H452" s="1"/>
      <c r="I452" s="1"/>
      <c r="J452" s="1"/>
      <c r="K452" s="1" t="s">
        <v>889</v>
      </c>
      <c r="L452" s="1" t="str" cm="1">
        <f t="array" ref="L452">_xlfn.REGEXEXTRACT(B452,"(?&lt;=//)[^/]+")</f>
        <v>bdsmstreak.com</v>
      </c>
      <c r="M452" s="1" t="s">
        <v>457</v>
      </c>
      <c r="N452" s="1" t="s">
        <v>1740</v>
      </c>
      <c r="O452" s="1" t="str" cm="1">
        <f t="array" ref="O452">IF(N452&lt;&gt;"NtApp",_xlfn.REGEXEXTRACT(N452,"\d+(?=p)"),"NtApp")</f>
        <v>NtApp</v>
      </c>
      <c r="P452" s="1" t="s">
        <v>1740</v>
      </c>
      <c r="Q452" s="1" t="b">
        <f t="shared" si="19"/>
        <v>1</v>
      </c>
      <c r="R452" s="1" t="s">
        <v>1864</v>
      </c>
      <c r="S452" s="1" t="s">
        <v>1520</v>
      </c>
      <c r="T452" s="1">
        <v>0</v>
      </c>
    </row>
    <row r="453" spans="1:20" x14ac:dyDescent="0.25">
      <c r="A453" s="1" t="str">
        <f t="shared" si="20"/>
        <v>Pending</v>
      </c>
      <c r="B453" s="1" t="s">
        <v>899</v>
      </c>
      <c r="C453" s="1">
        <v>81</v>
      </c>
      <c r="D453" s="1" t="s">
        <v>704</v>
      </c>
      <c r="E453" s="1" t="s">
        <v>900</v>
      </c>
      <c r="F453" s="1" t="s">
        <v>53</v>
      </c>
      <c r="G453" s="1"/>
      <c r="H453" s="1"/>
      <c r="I453" s="1"/>
      <c r="J453" s="1"/>
      <c r="K453" s="1"/>
      <c r="L453" s="1" t="str" cm="1">
        <f t="array" ref="L453">_xlfn.REGEXEXTRACT(B453,"(?&lt;=//)[^/]+")</f>
        <v>bdsmstreak.com</v>
      </c>
      <c r="M453" s="1" t="s">
        <v>457</v>
      </c>
      <c r="N453" s="1" t="s">
        <v>1740</v>
      </c>
      <c r="O453" s="1" t="str" cm="1">
        <f t="array" ref="O453">IF(N453&lt;&gt;"NtApp",_xlfn.REGEXEXTRACT(N453,"\d+(?=p)"),"NtApp")</f>
        <v>NtApp</v>
      </c>
      <c r="P453" s="1" t="s">
        <v>1740</v>
      </c>
      <c r="Q453" s="1" t="b">
        <f t="shared" si="19"/>
        <v>1</v>
      </c>
      <c r="R453" s="1" t="s">
        <v>1637</v>
      </c>
      <c r="S453" s="1" t="s">
        <v>1637</v>
      </c>
      <c r="T453" s="1">
        <v>0</v>
      </c>
    </row>
    <row r="454" spans="1:20" x14ac:dyDescent="0.25">
      <c r="A454" s="1" t="str">
        <f t="shared" si="20"/>
        <v>Pending</v>
      </c>
      <c r="B454" s="1" t="s">
        <v>1070</v>
      </c>
      <c r="C454" s="1">
        <v>84</v>
      </c>
      <c r="D454" s="1" t="s">
        <v>573</v>
      </c>
      <c r="E454" s="1" t="s">
        <v>1071</v>
      </c>
      <c r="F454" s="1" t="s">
        <v>53</v>
      </c>
      <c r="G454" s="1" t="s">
        <v>793</v>
      </c>
      <c r="H454" s="1"/>
      <c r="I454" s="1"/>
      <c r="J454" s="1"/>
      <c r="K454" s="1"/>
      <c r="L454" s="1" t="str" cm="1">
        <f t="array" ref="L454">_xlfn.REGEXEXTRACT(B454,"(?&lt;=//)[^/]+")</f>
        <v>www.kink.com</v>
      </c>
      <c r="M454" s="1" t="s">
        <v>457</v>
      </c>
      <c r="N454" s="1" t="s">
        <v>1740</v>
      </c>
      <c r="O454" s="1" t="str" cm="1">
        <f t="array" ref="O454">IF(N454&lt;&gt;"NtApp",_xlfn.REGEXEXTRACT(N454,"\d+(?=p)"),"NtApp")</f>
        <v>NtApp</v>
      </c>
      <c r="P454" s="1" t="s">
        <v>1740</v>
      </c>
      <c r="Q454" s="1" t="b">
        <f t="shared" si="19"/>
        <v>1</v>
      </c>
      <c r="R454" s="1" t="s">
        <v>1189</v>
      </c>
      <c r="S454" s="1" t="s">
        <v>1189</v>
      </c>
      <c r="T454" s="1">
        <v>1</v>
      </c>
    </row>
    <row r="455" spans="1:20" ht="30" x14ac:dyDescent="0.25">
      <c r="A455" s="1" t="str">
        <f t="shared" si="20"/>
        <v>Pending</v>
      </c>
      <c r="B455" s="1" t="s">
        <v>812</v>
      </c>
      <c r="C455" s="1">
        <v>85</v>
      </c>
      <c r="D455" s="1" t="s">
        <v>575</v>
      </c>
      <c r="E455" s="1" t="s">
        <v>725</v>
      </c>
      <c r="F455" s="1" t="s">
        <v>54</v>
      </c>
      <c r="G455" s="1" t="s">
        <v>801</v>
      </c>
      <c r="H455" s="1"/>
      <c r="I455" s="1"/>
      <c r="J455" s="1"/>
      <c r="K455" s="1" t="s">
        <v>738</v>
      </c>
      <c r="L455" s="1" t="str" cm="1">
        <f t="array" ref="L455">_xlfn.REGEXEXTRACT(B455,"(?&lt;=//)[^/]+")</f>
        <v>bdsmstreak.com</v>
      </c>
      <c r="M455" s="1" t="s">
        <v>457</v>
      </c>
      <c r="N455" s="1" t="s">
        <v>1740</v>
      </c>
      <c r="O455" s="1" t="str" cm="1">
        <f t="array" ref="O455">IF(N455&lt;&gt;"NtApp",_xlfn.REGEXEXTRACT(N455,"\d+(?=p)"),"NtApp")</f>
        <v>NtApp</v>
      </c>
      <c r="P455" s="1" t="s">
        <v>1740</v>
      </c>
      <c r="Q455" s="1" t="b">
        <f t="shared" si="19"/>
        <v>1</v>
      </c>
      <c r="R455" s="1" t="s">
        <v>1540</v>
      </c>
      <c r="S455" s="1" t="s">
        <v>1540</v>
      </c>
      <c r="T455" s="1">
        <v>0</v>
      </c>
    </row>
    <row r="456" spans="1:20" ht="30" x14ac:dyDescent="0.25">
      <c r="A456" s="1" t="str">
        <f t="shared" si="20"/>
        <v>Pending</v>
      </c>
      <c r="B456" s="1" t="s">
        <v>908</v>
      </c>
      <c r="C456" s="1">
        <v>87</v>
      </c>
      <c r="D456" s="1" t="s">
        <v>575</v>
      </c>
      <c r="E456" s="1" t="s">
        <v>909</v>
      </c>
      <c r="F456" s="1" t="s">
        <v>156</v>
      </c>
      <c r="G456" s="1" t="s">
        <v>1754</v>
      </c>
      <c r="H456" s="1"/>
      <c r="I456" s="1"/>
      <c r="J456" s="1"/>
      <c r="K456" s="1"/>
      <c r="L456" s="1" t="str" cm="1">
        <f t="array" ref="L456">_xlfn.REGEXEXTRACT(B456,"(?&lt;=//)[^/]+")</f>
        <v>bdsmstreak.com</v>
      </c>
      <c r="M456" s="1" t="s">
        <v>457</v>
      </c>
      <c r="N456" s="1" t="s">
        <v>1740</v>
      </c>
      <c r="O456" s="1" t="str" cm="1">
        <f t="array" ref="O456">IF(N456&lt;&gt;"NtApp",_xlfn.REGEXEXTRACT(N456,"\d+(?=p)"),"NtApp")</f>
        <v>NtApp</v>
      </c>
      <c r="P456" s="1" t="s">
        <v>1740</v>
      </c>
      <c r="Q456" s="1" t="b">
        <f t="shared" si="19"/>
        <v>1</v>
      </c>
      <c r="R456" s="1" t="s">
        <v>1408</v>
      </c>
      <c r="S456" s="1" t="s">
        <v>1408</v>
      </c>
      <c r="T456" s="1">
        <v>3</v>
      </c>
    </row>
    <row r="457" spans="1:20" ht="45" x14ac:dyDescent="0.25">
      <c r="A457" s="1" t="str">
        <f t="shared" si="20"/>
        <v>Pending</v>
      </c>
      <c r="B457" s="1" t="s">
        <v>1121</v>
      </c>
      <c r="C457" s="1">
        <v>90</v>
      </c>
      <c r="D457" s="1" t="s">
        <v>573</v>
      </c>
      <c r="E457" s="1" t="s">
        <v>230</v>
      </c>
      <c r="F457" s="1" t="s">
        <v>53</v>
      </c>
      <c r="G457" s="1" t="s">
        <v>889</v>
      </c>
      <c r="H457" s="1"/>
      <c r="I457" s="1"/>
      <c r="J457" s="1"/>
      <c r="K457" s="1" t="s">
        <v>889</v>
      </c>
      <c r="L457" s="1" t="str" cm="1">
        <f t="array" ref="L457">_xlfn.REGEXEXTRACT(B457,"(?&lt;=//)[^/]+")</f>
        <v>hcbdsm.com</v>
      </c>
      <c r="M457" s="1" t="s">
        <v>457</v>
      </c>
      <c r="N457" s="1" t="s">
        <v>1740</v>
      </c>
      <c r="O457" s="1" t="str" cm="1">
        <f t="array" ref="O457">IF(N457&lt;&gt;"NtApp",_xlfn.REGEXEXTRACT(N457,"\d+(?=p)"),"NtApp")</f>
        <v>NtApp</v>
      </c>
      <c r="P457" s="1" t="s">
        <v>1740</v>
      </c>
      <c r="Q457" s="1" t="b">
        <f t="shared" si="19"/>
        <v>0</v>
      </c>
      <c r="R457" s="1" t="s">
        <v>1704</v>
      </c>
      <c r="S457" s="1" t="s">
        <v>1703</v>
      </c>
      <c r="T457" s="1">
        <v>1</v>
      </c>
    </row>
    <row r="458" spans="1:20" ht="30" x14ac:dyDescent="0.25">
      <c r="A458" s="1" t="str">
        <f t="shared" si="20"/>
        <v>Pending</v>
      </c>
      <c r="B458" s="1" t="s">
        <v>848</v>
      </c>
      <c r="C458" s="1">
        <v>90</v>
      </c>
      <c r="D458" s="1" t="s">
        <v>784</v>
      </c>
      <c r="E458" s="1" t="s">
        <v>849</v>
      </c>
      <c r="F458" s="1" t="s">
        <v>53</v>
      </c>
      <c r="G458" s="1" t="s">
        <v>850</v>
      </c>
      <c r="H458" s="1"/>
      <c r="I458" s="1"/>
      <c r="J458" s="1"/>
      <c r="K458" s="1"/>
      <c r="L458" s="1" t="str" cm="1">
        <f t="array" ref="L458">_xlfn.REGEXEXTRACT(B458,"(?&lt;=//)[^/]+")</f>
        <v>www.twistedfactory.com</v>
      </c>
      <c r="M458" s="1" t="s">
        <v>457</v>
      </c>
      <c r="N458" s="1" t="s">
        <v>1740</v>
      </c>
      <c r="O458" s="1" t="str" cm="1">
        <f t="array" ref="O458">IF(N458&lt;&gt;"NtApp",_xlfn.REGEXEXTRACT(N458,"\d+(?=p)"),"NtApp")</f>
        <v>NtApp</v>
      </c>
      <c r="P458" s="1" t="s">
        <v>1740</v>
      </c>
      <c r="Q458" s="1" t="b">
        <f t="shared" si="19"/>
        <v>0</v>
      </c>
      <c r="R458" s="1" t="s">
        <v>1190</v>
      </c>
      <c r="S458" s="1" t="s">
        <v>1190</v>
      </c>
      <c r="T458" s="1">
        <v>1</v>
      </c>
    </row>
    <row r="459" spans="1:20" ht="30" x14ac:dyDescent="0.25">
      <c r="A459" s="1" t="str">
        <f t="shared" si="20"/>
        <v>Pending</v>
      </c>
      <c r="B459" s="1" t="s">
        <v>699</v>
      </c>
      <c r="C459" s="1">
        <v>90</v>
      </c>
      <c r="D459" s="1" t="s">
        <v>575</v>
      </c>
      <c r="E459" s="1" t="s">
        <v>1769</v>
      </c>
      <c r="F459" s="1" t="s">
        <v>54</v>
      </c>
      <c r="G459" s="1" t="s">
        <v>802</v>
      </c>
      <c r="H459" s="1"/>
      <c r="I459" s="1"/>
      <c r="J459" s="1"/>
      <c r="K459" s="1" t="s">
        <v>731</v>
      </c>
      <c r="L459" s="1" t="str" cm="1">
        <f t="array" ref="L459">_xlfn.REGEXEXTRACT(B459,"(?&lt;=//)[^/]+")</f>
        <v>hcbdsm.com</v>
      </c>
      <c r="M459" s="1" t="s">
        <v>457</v>
      </c>
      <c r="N459" s="1" t="s">
        <v>1740</v>
      </c>
      <c r="O459" s="1" t="str" cm="1">
        <f t="array" ref="O459">IF(N459&lt;&gt;"NtApp",_xlfn.REGEXEXTRACT(N459,"\d+(?=p)"),"NtApp")</f>
        <v>NtApp</v>
      </c>
      <c r="P459" s="1" t="s">
        <v>1740</v>
      </c>
      <c r="Q459" s="1" t="b">
        <f t="shared" si="19"/>
        <v>1</v>
      </c>
      <c r="R459" s="1" t="s">
        <v>1550</v>
      </c>
      <c r="S459" s="1" t="s">
        <v>1550</v>
      </c>
      <c r="T459" s="1">
        <v>0</v>
      </c>
    </row>
    <row r="460" spans="1:20" ht="30" x14ac:dyDescent="0.25">
      <c r="A460" s="1" t="str">
        <f t="shared" si="20"/>
        <v>Pending</v>
      </c>
      <c r="B460" s="1" t="s">
        <v>810</v>
      </c>
      <c r="C460" s="1">
        <v>90</v>
      </c>
      <c r="D460" s="1" t="s">
        <v>575</v>
      </c>
      <c r="E460" s="1" t="s">
        <v>726</v>
      </c>
      <c r="F460" s="1" t="s">
        <v>54</v>
      </c>
      <c r="G460" s="1" t="s">
        <v>808</v>
      </c>
      <c r="H460" s="1"/>
      <c r="I460" s="1"/>
      <c r="J460" s="1"/>
      <c r="K460" s="1" t="s">
        <v>738</v>
      </c>
      <c r="L460" s="1" t="str" cm="1">
        <f t="array" ref="L460">_xlfn.REGEXEXTRACT(B460,"(?&lt;=//)[^/]+")</f>
        <v>hcbdsm.com</v>
      </c>
      <c r="M460" s="1" t="s">
        <v>457</v>
      </c>
      <c r="N460" s="1" t="s">
        <v>1740</v>
      </c>
      <c r="O460" s="1" t="str" cm="1">
        <f t="array" ref="O460">IF(N460&lt;&gt;"NtApp",_xlfn.REGEXEXTRACT(N460,"\d+(?=p)"),"NtApp")</f>
        <v>NtApp</v>
      </c>
      <c r="P460" s="1" t="s">
        <v>1740</v>
      </c>
      <c r="Q460" s="1" t="b">
        <f t="shared" si="19"/>
        <v>1</v>
      </c>
      <c r="R460" s="1" t="s">
        <v>1551</v>
      </c>
      <c r="S460" s="1" t="s">
        <v>1551</v>
      </c>
      <c r="T460" s="1">
        <v>0</v>
      </c>
    </row>
    <row r="461" spans="1:20" ht="30" x14ac:dyDescent="0.25">
      <c r="A461" s="1" t="str">
        <f t="shared" si="20"/>
        <v>Pending</v>
      </c>
      <c r="B461" s="1" t="s">
        <v>698</v>
      </c>
      <c r="C461" s="1">
        <v>90</v>
      </c>
      <c r="D461" s="1" t="s">
        <v>573</v>
      </c>
      <c r="E461" s="1" t="s">
        <v>707</v>
      </c>
      <c r="F461" s="1" t="s">
        <v>53</v>
      </c>
      <c r="G461" s="1"/>
      <c r="H461" s="1"/>
      <c r="I461" s="1"/>
      <c r="J461" s="1"/>
      <c r="K461" s="1" t="s">
        <v>2358</v>
      </c>
      <c r="L461" s="1" t="str" cm="1">
        <f t="array" ref="L461">_xlfn.REGEXEXTRACT(B461,"(?&lt;=//)[^/]+")</f>
        <v>bdsmstreak.com</v>
      </c>
      <c r="M461" s="1" t="s">
        <v>457</v>
      </c>
      <c r="N461" s="1" t="s">
        <v>1740</v>
      </c>
      <c r="O461" s="1" t="str" cm="1">
        <f t="array" ref="O461">IF(N461&lt;&gt;"NtApp",_xlfn.REGEXEXTRACT(N461,"\d+(?=p)"),"NtApp")</f>
        <v>NtApp</v>
      </c>
      <c r="P461" s="1" t="s">
        <v>1740</v>
      </c>
      <c r="Q461" s="1" t="b">
        <f t="shared" si="19"/>
        <v>0</v>
      </c>
      <c r="R461" s="1" t="s">
        <v>1702</v>
      </c>
      <c r="S461" s="1" t="s">
        <v>1696</v>
      </c>
      <c r="T461" s="1">
        <v>0</v>
      </c>
    </row>
    <row r="462" spans="1:20" x14ac:dyDescent="0.25">
      <c r="A462" s="1" t="str">
        <f t="shared" si="20"/>
        <v>Pending</v>
      </c>
      <c r="B462" s="1" t="s">
        <v>913</v>
      </c>
      <c r="C462" s="1">
        <v>91</v>
      </c>
      <c r="D462" s="1" t="s">
        <v>577</v>
      </c>
      <c r="E462" s="1" t="s">
        <v>914</v>
      </c>
      <c r="F462" s="1" t="s">
        <v>54</v>
      </c>
      <c r="G462" s="1" t="s">
        <v>808</v>
      </c>
      <c r="H462" s="1"/>
      <c r="I462" s="1"/>
      <c r="J462" s="1"/>
      <c r="K462" s="1"/>
      <c r="L462" s="1" t="str" cm="1">
        <f t="array" ref="L462">_xlfn.REGEXEXTRACT(B462,"(?&lt;=//)[^/]+")</f>
        <v>bdsmstreak.com</v>
      </c>
      <c r="M462" s="1" t="s">
        <v>457</v>
      </c>
      <c r="N462" s="1" t="s">
        <v>1740</v>
      </c>
      <c r="O462" s="1" t="str" cm="1">
        <f t="array" ref="O462">IF(N462&lt;&gt;"NtApp",_xlfn.REGEXEXTRACT(N462,"\d+(?=p)"),"NtApp")</f>
        <v>NtApp</v>
      </c>
      <c r="P462" s="1" t="s">
        <v>1740</v>
      </c>
      <c r="Q462" s="1" t="b">
        <f t="shared" si="19"/>
        <v>1</v>
      </c>
      <c r="R462" s="1" t="s">
        <v>1523</v>
      </c>
      <c r="S462" s="1" t="s">
        <v>1523</v>
      </c>
      <c r="T462" s="1">
        <v>0</v>
      </c>
    </row>
    <row r="463" spans="1:20" ht="60" x14ac:dyDescent="0.25">
      <c r="A463" s="1" t="str">
        <f t="shared" si="20"/>
        <v>Pending</v>
      </c>
      <c r="B463" s="1" t="s">
        <v>623</v>
      </c>
      <c r="C463" s="1">
        <v>91</v>
      </c>
      <c r="D463" s="1" t="s">
        <v>571</v>
      </c>
      <c r="E463" s="1" t="s">
        <v>619</v>
      </c>
      <c r="F463" s="1" t="s">
        <v>54</v>
      </c>
      <c r="G463" s="1" t="s">
        <v>802</v>
      </c>
      <c r="H463" s="1"/>
      <c r="I463" s="1"/>
      <c r="J463" s="1"/>
      <c r="K463" s="1"/>
      <c r="L463" s="1" t="str" cm="1">
        <f t="array" ref="L463">_xlfn.REGEXEXTRACT(B463,"(?&lt;=//)[^/]+")</f>
        <v>bdsmmansion.com</v>
      </c>
      <c r="M463" s="1" t="s">
        <v>457</v>
      </c>
      <c r="N463" s="1" t="s">
        <v>1740</v>
      </c>
      <c r="O463" s="1" t="str" cm="1">
        <f t="array" ref="O463">IF(N463&lt;&gt;"NtApp",_xlfn.REGEXEXTRACT(N463,"\d+(?=p)"),"NtApp")</f>
        <v>NtApp</v>
      </c>
      <c r="P463" s="1" t="s">
        <v>1740</v>
      </c>
      <c r="Q463" s="1" t="b">
        <f t="shared" si="19"/>
        <v>1</v>
      </c>
      <c r="R463" s="1" t="s">
        <v>1570</v>
      </c>
      <c r="S463" s="1" t="s">
        <v>1930</v>
      </c>
      <c r="T463" s="1">
        <v>0</v>
      </c>
    </row>
    <row r="464" spans="1:20" ht="30" x14ac:dyDescent="0.25">
      <c r="A464" s="1" t="str">
        <f t="shared" si="20"/>
        <v>Pending</v>
      </c>
      <c r="B464" s="1" t="s">
        <v>973</v>
      </c>
      <c r="C464" s="1">
        <v>92</v>
      </c>
      <c r="D464" s="1" t="s">
        <v>703</v>
      </c>
      <c r="E464" s="1" t="s">
        <v>1916</v>
      </c>
      <c r="F464" s="1" t="s">
        <v>53</v>
      </c>
      <c r="G464" s="1" t="s">
        <v>1766</v>
      </c>
      <c r="H464" s="1"/>
      <c r="I464" s="1"/>
      <c r="J464" s="1"/>
      <c r="K464" s="1"/>
      <c r="L464" s="1" t="str" cm="1">
        <f t="array" ref="L464">_xlfn.REGEXEXTRACT(B464,"(?&lt;=//)[^/]+")</f>
        <v>bdsmmansion.com</v>
      </c>
      <c r="M464" s="1" t="s">
        <v>457</v>
      </c>
      <c r="N464" s="1" t="s">
        <v>1740</v>
      </c>
      <c r="O464" s="1" t="str" cm="1">
        <f t="array" ref="O464">IF(N464&lt;&gt;"NtApp",_xlfn.REGEXEXTRACT(N464,"\d+(?=p)"),"NtApp")</f>
        <v>NtApp</v>
      </c>
      <c r="P464" s="1" t="s">
        <v>1740</v>
      </c>
      <c r="Q464" s="1" t="b">
        <f t="shared" si="19"/>
        <v>1</v>
      </c>
      <c r="R464" s="1" t="s">
        <v>1726</v>
      </c>
      <c r="S464" s="1" t="s">
        <v>1726</v>
      </c>
      <c r="T464" s="1">
        <v>3</v>
      </c>
    </row>
    <row r="465" spans="1:20" x14ac:dyDescent="0.25">
      <c r="A465" s="1" t="str">
        <f t="shared" si="20"/>
        <v>Pending</v>
      </c>
      <c r="B465" s="1" t="s">
        <v>700</v>
      </c>
      <c r="C465" s="1">
        <v>93</v>
      </c>
      <c r="D465" s="1" t="s">
        <v>704</v>
      </c>
      <c r="E465" s="1" t="s">
        <v>727</v>
      </c>
      <c r="F465" s="1" t="s">
        <v>53</v>
      </c>
      <c r="G465" s="1" t="s">
        <v>793</v>
      </c>
      <c r="H465" s="1"/>
      <c r="I465" s="1"/>
      <c r="J465" s="1"/>
      <c r="K465" s="1"/>
      <c r="L465" s="1" t="str" cm="1">
        <f t="array" ref="L465">_xlfn.REGEXEXTRACT(B465,"(?&lt;=//)[^/]+")</f>
        <v>www.kink.com</v>
      </c>
      <c r="M465" s="1" t="s">
        <v>457</v>
      </c>
      <c r="N465" s="1" t="s">
        <v>1740</v>
      </c>
      <c r="O465" s="1" t="str" cm="1">
        <f t="array" ref="O465">IF(N465&lt;&gt;"NtApp",_xlfn.REGEXEXTRACT(N465,"\d+(?=p)"),"NtApp")</f>
        <v>NtApp</v>
      </c>
      <c r="P465" s="1" t="s">
        <v>1740</v>
      </c>
      <c r="Q465" s="1" t="b">
        <f t="shared" si="19"/>
        <v>1</v>
      </c>
      <c r="R465" s="1" t="s">
        <v>1191</v>
      </c>
      <c r="S465" s="1" t="s">
        <v>1191</v>
      </c>
      <c r="T465" s="1">
        <v>0</v>
      </c>
    </row>
    <row r="466" spans="1:20" ht="30" x14ac:dyDescent="0.25">
      <c r="A466" s="1" t="str">
        <f t="shared" si="20"/>
        <v>Pending</v>
      </c>
      <c r="B466" s="1" t="s">
        <v>701</v>
      </c>
      <c r="C466" s="1">
        <v>94</v>
      </c>
      <c r="D466" s="1" t="s">
        <v>575</v>
      </c>
      <c r="E466" s="1" t="s">
        <v>728</v>
      </c>
      <c r="F466" s="1" t="s">
        <v>54</v>
      </c>
      <c r="G466" s="1" t="s">
        <v>802</v>
      </c>
      <c r="H466" s="1"/>
      <c r="I466" s="1"/>
      <c r="J466" s="1"/>
      <c r="K466" s="1" t="s">
        <v>738</v>
      </c>
      <c r="L466" s="1" t="str" cm="1">
        <f t="array" ref="L466">_xlfn.REGEXEXTRACT(B466,"(?&lt;=//)[^/]+")</f>
        <v>bdsmstreak.com</v>
      </c>
      <c r="M466" s="1" t="s">
        <v>457</v>
      </c>
      <c r="N466" s="1" t="s">
        <v>1740</v>
      </c>
      <c r="O466" s="1" t="str" cm="1">
        <f t="array" ref="O466">IF(N466&lt;&gt;"NtApp",_xlfn.REGEXEXTRACT(N466,"\d+(?=p)"),"NtApp")</f>
        <v>NtApp</v>
      </c>
      <c r="P466" s="1" t="s">
        <v>1740</v>
      </c>
      <c r="Q466" s="1" t="b">
        <f t="shared" ref="Q466:Q473" si="21">ISNUMBER(SEARCH(",",E466))</f>
        <v>1</v>
      </c>
      <c r="R466" s="1" t="s">
        <v>1552</v>
      </c>
      <c r="S466" s="1" t="s">
        <v>1552</v>
      </c>
      <c r="T466" s="1">
        <v>0</v>
      </c>
    </row>
    <row r="467" spans="1:20" ht="30" x14ac:dyDescent="0.25">
      <c r="A467" s="1" t="str">
        <f t="shared" si="20"/>
        <v>Pending</v>
      </c>
      <c r="B467" s="1" t="s">
        <v>1028</v>
      </c>
      <c r="C467" s="1">
        <v>97</v>
      </c>
      <c r="D467" s="1" t="s">
        <v>568</v>
      </c>
      <c r="E467" s="1" t="s">
        <v>1029</v>
      </c>
      <c r="F467" s="1" t="s">
        <v>53</v>
      </c>
      <c r="G467" s="1" t="s">
        <v>798</v>
      </c>
      <c r="H467" s="1"/>
      <c r="I467" s="1"/>
      <c r="J467" s="1"/>
      <c r="K467" s="1"/>
      <c r="L467" s="1" t="str" cm="1">
        <f t="array" ref="L467">_xlfn.REGEXEXTRACT(B467,"(?&lt;=//)[^/]+")</f>
        <v>bdsmstreak.com</v>
      </c>
      <c r="M467" s="1" t="s">
        <v>457</v>
      </c>
      <c r="N467" s="1" t="s">
        <v>1740</v>
      </c>
      <c r="O467" s="1" t="str" cm="1">
        <f t="array" ref="O467">IF(N467&lt;&gt;"NtApp",_xlfn.REGEXEXTRACT(N467,"\d+(?=p)"),"NtApp")</f>
        <v>NtApp</v>
      </c>
      <c r="P467" s="1" t="s">
        <v>1740</v>
      </c>
      <c r="Q467" s="1" t="b">
        <f t="shared" si="21"/>
        <v>1</v>
      </c>
      <c r="R467" s="1" t="s">
        <v>1710</v>
      </c>
      <c r="S467" s="1" t="s">
        <v>1709</v>
      </c>
      <c r="T467" s="1">
        <v>3</v>
      </c>
    </row>
    <row r="468" spans="1:20" ht="30" x14ac:dyDescent="0.25">
      <c r="A468" s="1" t="str">
        <f t="shared" si="20"/>
        <v>Pending</v>
      </c>
      <c r="B468" s="1" t="s">
        <v>800</v>
      </c>
      <c r="C468" s="1">
        <v>97</v>
      </c>
      <c r="D468" s="1" t="s">
        <v>577</v>
      </c>
      <c r="E468" s="1" t="s">
        <v>729</v>
      </c>
      <c r="F468" s="1" t="s">
        <v>54</v>
      </c>
      <c r="G468" s="1" t="s">
        <v>801</v>
      </c>
      <c r="H468" s="1"/>
      <c r="I468" s="1"/>
      <c r="J468" s="1"/>
      <c r="K468" s="1" t="s">
        <v>889</v>
      </c>
      <c r="L468" s="1" t="str" cm="1">
        <f t="array" ref="L468">_xlfn.REGEXEXTRACT(B468,"(?&lt;=//)[^/]+")</f>
        <v>bdsmstreak.com</v>
      </c>
      <c r="M468" s="1" t="s">
        <v>457</v>
      </c>
      <c r="N468" s="1" t="s">
        <v>1740</v>
      </c>
      <c r="O468" s="1" t="str" cm="1">
        <f t="array" ref="O468">IF(N468&lt;&gt;"NtApp",_xlfn.REGEXEXTRACT(N468,"\d+(?=p)"),"NtApp")</f>
        <v>NtApp</v>
      </c>
      <c r="P468" s="1" t="s">
        <v>1740</v>
      </c>
      <c r="Q468" s="1" t="b">
        <f t="shared" si="21"/>
        <v>1</v>
      </c>
      <c r="R468" s="1" t="s">
        <v>1525</v>
      </c>
      <c r="S468" s="1" t="s">
        <v>1525</v>
      </c>
      <c r="T468" s="1">
        <v>0</v>
      </c>
    </row>
    <row r="469" spans="1:20" ht="30" x14ac:dyDescent="0.25">
      <c r="A469" s="1" t="str">
        <f t="shared" si="20"/>
        <v>Pending</v>
      </c>
      <c r="B469" s="1" t="s">
        <v>807</v>
      </c>
      <c r="C469" s="1">
        <v>104</v>
      </c>
      <c r="D469" s="1" t="s">
        <v>575</v>
      </c>
      <c r="E469" s="1" t="s">
        <v>730</v>
      </c>
      <c r="F469" s="1" t="s">
        <v>54</v>
      </c>
      <c r="G469" s="1" t="s">
        <v>802</v>
      </c>
      <c r="H469" s="1"/>
      <c r="I469" s="1"/>
      <c r="J469" s="1"/>
      <c r="K469" s="1" t="s">
        <v>738</v>
      </c>
      <c r="L469" s="1" t="str" cm="1">
        <f t="array" ref="L469">_xlfn.REGEXEXTRACT(B469,"(?&lt;=//)[^/]+")</f>
        <v>bdsmstreak.com</v>
      </c>
      <c r="M469" s="1" t="s">
        <v>457</v>
      </c>
      <c r="N469" s="1" t="s">
        <v>1740</v>
      </c>
      <c r="O469" s="1" t="str" cm="1">
        <f t="array" ref="O469">IF(N469&lt;&gt;"NtApp",_xlfn.REGEXEXTRACT(N469,"\d+(?=p)"),"NtApp")</f>
        <v>NtApp</v>
      </c>
      <c r="P469" s="1" t="s">
        <v>1740</v>
      </c>
      <c r="Q469" s="1" t="b">
        <f t="shared" si="21"/>
        <v>1</v>
      </c>
      <c r="R469" s="1" t="s">
        <v>1541</v>
      </c>
      <c r="S469" s="1" t="s">
        <v>1541</v>
      </c>
      <c r="T469" s="1">
        <v>0</v>
      </c>
    </row>
    <row r="470" spans="1:20" ht="30" x14ac:dyDescent="0.25">
      <c r="A470" s="1" t="str">
        <f t="shared" si="20"/>
        <v>Pending</v>
      </c>
      <c r="B470" s="1" t="s">
        <v>896</v>
      </c>
      <c r="C470" s="1">
        <v>105</v>
      </c>
      <c r="D470" s="1" t="s">
        <v>573</v>
      </c>
      <c r="E470" s="1" t="s">
        <v>178</v>
      </c>
      <c r="F470" s="1" t="s">
        <v>53</v>
      </c>
      <c r="G470" s="1"/>
      <c r="H470" s="1"/>
      <c r="I470" s="1"/>
      <c r="J470" s="1"/>
      <c r="K470" s="1" t="s">
        <v>889</v>
      </c>
      <c r="L470" s="1" t="str" cm="1">
        <f t="array" ref="L470">_xlfn.REGEXEXTRACT(B470,"(?&lt;=//)[^/]+")</f>
        <v>bdsmstreak.com</v>
      </c>
      <c r="M470" s="1" t="s">
        <v>457</v>
      </c>
      <c r="N470" s="1" t="s">
        <v>1740</v>
      </c>
      <c r="O470" s="1" t="str" cm="1">
        <f t="array" ref="O470">IF(N470&lt;&gt;"NtApp",_xlfn.REGEXEXTRACT(N470,"\d+(?=p)"),"NtApp")</f>
        <v>NtApp</v>
      </c>
      <c r="P470" s="1" t="s">
        <v>1740</v>
      </c>
      <c r="Q470" s="1" t="b">
        <f t="shared" si="21"/>
        <v>0</v>
      </c>
      <c r="R470" s="1" t="s">
        <v>1705</v>
      </c>
      <c r="S470" s="1" t="s">
        <v>1705</v>
      </c>
      <c r="T470" s="1">
        <v>0</v>
      </c>
    </row>
    <row r="471" spans="1:20" ht="90" x14ac:dyDescent="0.25">
      <c r="A471" s="1" t="str">
        <f t="shared" si="20"/>
        <v>Pending</v>
      </c>
      <c r="B471" s="1" t="s">
        <v>980</v>
      </c>
      <c r="C471" s="1">
        <v>127</v>
      </c>
      <c r="D471" s="1" t="s">
        <v>704</v>
      </c>
      <c r="E471" s="1" t="s">
        <v>981</v>
      </c>
      <c r="F471" s="1" t="s">
        <v>54</v>
      </c>
      <c r="G471" s="1" t="s">
        <v>982</v>
      </c>
      <c r="H471" s="1"/>
      <c r="I471" s="1"/>
      <c r="J471" s="1"/>
      <c r="K471" s="1"/>
      <c r="L471" s="1" t="str" cm="1">
        <f t="array" ref="L471">_xlfn.REGEXEXTRACT(B471,"(?&lt;=//)[^/]+")</f>
        <v>www.kink.com</v>
      </c>
      <c r="M471" s="1" t="s">
        <v>457</v>
      </c>
      <c r="N471" s="1" t="s">
        <v>1740</v>
      </c>
      <c r="O471" s="1" t="str" cm="1">
        <f t="array" ref="O471">IF(N471&lt;&gt;"NtApp",_xlfn.REGEXEXTRACT(N471,"\d+(?=p)"),"NtApp")</f>
        <v>NtApp</v>
      </c>
      <c r="P471" s="1" t="s">
        <v>1740</v>
      </c>
      <c r="Q471" s="1" t="b">
        <f t="shared" si="21"/>
        <v>1</v>
      </c>
      <c r="R471" s="1" t="s">
        <v>1192</v>
      </c>
      <c r="S471" s="1" t="s">
        <v>1192</v>
      </c>
      <c r="T471" s="1">
        <v>2</v>
      </c>
    </row>
    <row r="472" spans="1:20" ht="30" x14ac:dyDescent="0.25">
      <c r="A472" s="1" t="str">
        <f t="shared" si="20"/>
        <v>Pending</v>
      </c>
      <c r="B472" s="1" t="s">
        <v>669</v>
      </c>
      <c r="C472" s="1">
        <v>153</v>
      </c>
      <c r="D472" s="1" t="s">
        <v>577</v>
      </c>
      <c r="E472" s="1" t="s">
        <v>670</v>
      </c>
      <c r="F472" s="1" t="s">
        <v>53</v>
      </c>
      <c r="G472" s="1" t="s">
        <v>793</v>
      </c>
      <c r="H472" s="1"/>
      <c r="I472" s="1"/>
      <c r="J472" s="1"/>
      <c r="K472" s="1" t="s">
        <v>2359</v>
      </c>
      <c r="L472" s="1" t="str" cm="1">
        <f t="array" ref="L472">_xlfn.REGEXEXTRACT(B472,"(?&lt;=//)[^/]+")</f>
        <v>bdsmstreak.com</v>
      </c>
      <c r="M472" s="1" t="s">
        <v>457</v>
      </c>
      <c r="N472" s="1" t="s">
        <v>1740</v>
      </c>
      <c r="O472" s="1" t="str" cm="1">
        <f t="array" ref="O472">IF(N472&lt;&gt;"NtApp",_xlfn.REGEXEXTRACT(N472,"\d+(?=p)"),"NtApp")</f>
        <v>NtApp</v>
      </c>
      <c r="P472" s="1" t="s">
        <v>1740</v>
      </c>
      <c r="Q472" s="1" t="b">
        <f t="shared" si="21"/>
        <v>1</v>
      </c>
      <c r="R472" s="1" t="s">
        <v>1640</v>
      </c>
      <c r="S472" s="1" t="s">
        <v>1640</v>
      </c>
      <c r="T472" s="1">
        <v>0</v>
      </c>
    </row>
    <row r="473" spans="1:20" ht="30" x14ac:dyDescent="0.25">
      <c r="A473" s="1" t="str">
        <f t="shared" si="20"/>
        <v>Pending</v>
      </c>
      <c r="B473" s="1" t="s">
        <v>1083</v>
      </c>
      <c r="C473" s="1" t="s">
        <v>581</v>
      </c>
      <c r="D473" s="1" t="s">
        <v>784</v>
      </c>
      <c r="E473" s="1" t="s">
        <v>1912</v>
      </c>
      <c r="F473" s="1" t="s">
        <v>54</v>
      </c>
      <c r="G473" s="1" t="s">
        <v>802</v>
      </c>
      <c r="H473" s="1"/>
      <c r="I473" s="1"/>
      <c r="J473" s="1"/>
      <c r="K473" s="1"/>
      <c r="L473" s="1" t="str" cm="1">
        <f t="array" ref="L473">_xlfn.REGEXEXTRACT(B473,"(?&lt;=//)[^/]+")</f>
        <v>www.twistedfactory.com</v>
      </c>
      <c r="M473" s="1" t="s">
        <v>457</v>
      </c>
      <c r="N473" s="1" t="s">
        <v>1740</v>
      </c>
      <c r="O473" s="1" t="str" cm="1">
        <f t="array" ref="O473">IF(N473&lt;&gt;"NtApp",_xlfn.REGEXEXTRACT(N473,"\d+(?=p)"),"NtApp")</f>
        <v>NtApp</v>
      </c>
      <c r="P473" s="1" t="s">
        <v>1740</v>
      </c>
      <c r="Q473" s="1" t="b">
        <f t="shared" si="21"/>
        <v>1</v>
      </c>
      <c r="R473" s="1" t="s">
        <v>1193</v>
      </c>
      <c r="S473" s="1" t="s">
        <v>1193</v>
      </c>
      <c r="T473" s="1">
        <v>0</v>
      </c>
    </row>
  </sheetData>
  <autoFilter ref="A1:T473" xr:uid="{84BC93B7-B882-48B2-AAF6-D1E0B3702CB8}"/>
  <sortState xmlns:xlrd2="http://schemas.microsoft.com/office/spreadsheetml/2017/richdata2" ref="A10:T473">
    <sortCondition descending="1" ref="J1:J473"/>
  </sortState>
  <phoneticPr fontId="1" type="noConversion"/>
  <conditionalFormatting sqref="A1:T6 R2:S11 A7:Q9 T7:T9 A10:T1048576">
    <cfRule type="expression" dxfId="0" priority="1">
      <formula>$A1="Pending"</formula>
    </cfRule>
  </conditionalFormatting>
  <hyperlinks>
    <hyperlink ref="B165" r:id="rId1" xr:uid="{67D640FB-30E4-4DE4-8404-82A48C872AA6}"/>
    <hyperlink ref="B290" r:id="rId2" xr:uid="{5E047F66-E887-4633-BD76-F0226DDAE0B6}"/>
    <hyperlink ref="B470" r:id="rId3" xr:uid="{6F39F461-3FF1-45B0-B4B9-0DF4EB1071EC}"/>
    <hyperlink ref="B158" r:id="rId4" xr:uid="{2C50A944-FF4F-4286-869A-0332AC022F70}"/>
    <hyperlink ref="B229" r:id="rId5" xr:uid="{1B53BC7D-6016-4861-B1EF-CD88940D6D3E}"/>
    <hyperlink ref="B332" r:id="rId6" xr:uid="{8EA8D2C5-4A51-4E51-9B04-6CFAE255D3FD}"/>
  </hyperlinks>
  <printOptions horizontalCentered="1" verticalCentered="1"/>
  <pageMargins left="0" right="0" top="0" bottom="0" header="0" footer="0"/>
  <pageSetup paperSize="8" orientation="landscape" r:id="rId7"/>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master_links</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Dhruva Tikhe</dc:creator>
  <cp:lastModifiedBy>none</cp:lastModifiedBy>
  <cp:lastPrinted>2025-09-11T13:00:18Z</cp:lastPrinted>
  <dcterms:created xsi:type="dcterms:W3CDTF">2015-06-05T18:17:20Z</dcterms:created>
  <dcterms:modified xsi:type="dcterms:W3CDTF">2026-10-05T12:08:45Z</dcterms:modified>
</cp:coreProperties>
</file>