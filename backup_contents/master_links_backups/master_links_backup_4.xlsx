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E:\Cryo\Private\OTGX\LinkBoardApplication\LinkBoardV2\data\"/>
    </mc:Choice>
  </mc:AlternateContent>
  <xr:revisionPtr revIDLastSave="0" documentId="13_ncr:1_{B19B8209-E8A4-4F7F-870B-7586AA66C5B7}" xr6:coauthVersionLast="47" xr6:coauthVersionMax="47" xr10:uidLastSave="{00000000-0000-0000-0000-000000000000}"/>
  <bookViews>
    <workbookView xWindow="-120" yWindow="-120" windowWidth="29040" windowHeight="16440" tabRatio="336" xr2:uid="{00000000-000D-0000-FFFF-FFFF00000000}"/>
  </bookViews>
  <sheets>
    <sheet name="main_links" sheetId="2" r:id="rId1"/>
    <sheet name="Core_cat" sheetId="6" r:id="rId2"/>
    <sheet name="unusable" sheetId="5" r:id="rId3"/>
  </sheets>
  <definedNames>
    <definedName name="_xlnm._FilterDatabase" localSheetId="0" hidden="1">main_links!$A$1:$U$467</definedName>
    <definedName name="_xlnm._FilterDatabase" localSheetId="2" hidden="1">unusable!$A$1:$J$297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36" i="2" l="1"/>
  <c r="S136" i="2" a="1"/>
  <c r="P136" i="2" a="1"/>
  <c r="U7" i="2"/>
  <c r="U3" i="2"/>
  <c r="U2" i="2"/>
  <c r="U5" i="2"/>
  <c r="U4" i="2"/>
  <c r="U6" i="2"/>
  <c r="U9" i="2"/>
  <c r="U10" i="2"/>
  <c r="U11" i="2"/>
  <c r="U13" i="2"/>
  <c r="U12" i="2"/>
  <c r="U24" i="2"/>
  <c r="U19" i="2"/>
  <c r="U14" i="2"/>
  <c r="U18" i="2"/>
  <c r="U17" i="2"/>
  <c r="U22" i="2"/>
  <c r="U15" i="2"/>
  <c r="U23" i="2"/>
  <c r="U16" i="2"/>
  <c r="U25" i="2"/>
  <c r="U21" i="2"/>
  <c r="U45" i="2"/>
  <c r="U47" i="2"/>
  <c r="U57" i="2"/>
  <c r="U40" i="2"/>
  <c r="U44" i="2"/>
  <c r="U28" i="2"/>
  <c r="U51" i="2"/>
  <c r="U53" i="2"/>
  <c r="U35" i="2"/>
  <c r="U54" i="2"/>
  <c r="U42" i="2"/>
  <c r="U39" i="2"/>
  <c r="U37" i="2"/>
  <c r="U29" i="2"/>
  <c r="U41" i="2"/>
  <c r="U46" i="2"/>
  <c r="U30" i="2"/>
  <c r="U36" i="2"/>
  <c r="U43" i="2"/>
  <c r="U31" i="2"/>
  <c r="U56" i="2"/>
  <c r="U38" i="2"/>
  <c r="U32" i="2"/>
  <c r="U33" i="2"/>
  <c r="U34" i="2"/>
  <c r="U48" i="2"/>
  <c r="U49" i="2"/>
  <c r="U26" i="2"/>
  <c r="U50" i="2"/>
  <c r="U27" i="2"/>
  <c r="U58" i="2"/>
  <c r="U55" i="2"/>
  <c r="U52" i="2"/>
  <c r="U62" i="2"/>
  <c r="U97" i="2"/>
  <c r="U86" i="2"/>
  <c r="U59" i="2"/>
  <c r="U63" i="2"/>
  <c r="U78" i="2"/>
  <c r="U75" i="2"/>
  <c r="U74" i="2"/>
  <c r="U82" i="2"/>
  <c r="U61" i="2"/>
  <c r="U73" i="2"/>
  <c r="U99" i="2"/>
  <c r="U84" i="2"/>
  <c r="U88" i="2"/>
  <c r="U91" i="2"/>
  <c r="U85" i="2"/>
  <c r="U101" i="2"/>
  <c r="U87" i="2"/>
  <c r="U95" i="2"/>
  <c r="U64" i="2"/>
  <c r="U77" i="2"/>
  <c r="U90" i="2"/>
  <c r="U79" i="2"/>
  <c r="U60" i="2"/>
  <c r="U98" i="2"/>
  <c r="U83" i="2"/>
  <c r="U81" i="2"/>
  <c r="U96" i="2"/>
  <c r="U100" i="2"/>
  <c r="U65" i="2"/>
  <c r="U66" i="2"/>
  <c r="U92" i="2"/>
  <c r="U93" i="2"/>
  <c r="U67" i="2"/>
  <c r="U68" i="2"/>
  <c r="U69" i="2"/>
  <c r="U70" i="2"/>
  <c r="U71" i="2"/>
  <c r="U94" i="2"/>
  <c r="U72" i="2"/>
  <c r="U76" i="2"/>
  <c r="U80" i="2"/>
  <c r="U89" i="2"/>
  <c r="U102" i="2"/>
  <c r="U134" i="2"/>
  <c r="U137" i="2"/>
  <c r="U133" i="2"/>
  <c r="U120" i="2"/>
  <c r="U107" i="2"/>
  <c r="U112" i="2"/>
  <c r="U103" i="2"/>
  <c r="U123" i="2"/>
  <c r="U113" i="2"/>
  <c r="U110" i="2"/>
  <c r="U122" i="2"/>
  <c r="U114" i="2"/>
  <c r="U128" i="2"/>
  <c r="U104" i="2"/>
  <c r="U124" i="2"/>
  <c r="U116" i="2"/>
  <c r="U125" i="2"/>
  <c r="U106" i="2"/>
  <c r="U119" i="2"/>
  <c r="U121" i="2"/>
  <c r="U111" i="2"/>
  <c r="U126" i="2"/>
  <c r="U131" i="2"/>
  <c r="U138" i="2"/>
  <c r="U115" i="2"/>
  <c r="U20" i="2"/>
  <c r="U117" i="2"/>
  <c r="U135" i="2"/>
  <c r="U108" i="2"/>
  <c r="U139" i="2"/>
  <c r="U130" i="2"/>
  <c r="U105" i="2"/>
  <c r="U129" i="2"/>
  <c r="U109" i="2"/>
  <c r="U132" i="2"/>
  <c r="U118" i="2"/>
  <c r="U127" i="2"/>
  <c r="U148" i="2"/>
  <c r="U145" i="2"/>
  <c r="U174" i="2"/>
  <c r="U165" i="2"/>
  <c r="U149" i="2"/>
  <c r="U151" i="2"/>
  <c r="U155" i="2"/>
  <c r="U153" i="2"/>
  <c r="U160" i="2"/>
  <c r="U157" i="2"/>
  <c r="U143" i="2"/>
  <c r="U167" i="2"/>
  <c r="U158" i="2"/>
  <c r="U166" i="2"/>
  <c r="U162" i="2"/>
  <c r="U156" i="2"/>
  <c r="U159" i="2"/>
  <c r="U161" i="2"/>
  <c r="U142" i="2"/>
  <c r="U146" i="2"/>
  <c r="U168" i="2"/>
  <c r="U154" i="2"/>
  <c r="U169" i="2"/>
  <c r="U175" i="2"/>
  <c r="U170" i="2"/>
  <c r="U147" i="2"/>
  <c r="U171" i="2"/>
  <c r="U172" i="2"/>
  <c r="U176" i="2"/>
  <c r="U177" i="2"/>
  <c r="U173" i="2"/>
  <c r="U140" i="2"/>
  <c r="U141" i="2"/>
  <c r="U144" i="2"/>
  <c r="U152" i="2"/>
  <c r="U150" i="2"/>
  <c r="U164" i="2"/>
  <c r="U163" i="2"/>
  <c r="U178" i="2"/>
  <c r="U189" i="2"/>
  <c r="U190" i="2"/>
  <c r="U196" i="2"/>
  <c r="U179" i="2"/>
  <c r="U180" i="2"/>
  <c r="U181" i="2"/>
  <c r="U182" i="2"/>
  <c r="U191" i="2"/>
  <c r="U204" i="2"/>
  <c r="U197" i="2"/>
  <c r="U198" i="2"/>
  <c r="U199" i="2"/>
  <c r="U200" i="2"/>
  <c r="U186" i="2"/>
  <c r="U205" i="2"/>
  <c r="U203" i="2"/>
  <c r="U201" i="2"/>
  <c r="U192" i="2"/>
  <c r="U193" i="2"/>
  <c r="U217" i="2"/>
  <c r="U194" i="2"/>
  <c r="U183" i="2"/>
  <c r="U184" i="2"/>
  <c r="U187" i="2"/>
  <c r="U188" i="2"/>
  <c r="U202" i="2"/>
  <c r="U195" i="2"/>
  <c r="U185" i="2"/>
  <c r="U213" i="2"/>
  <c r="U207" i="2"/>
  <c r="U210" i="2"/>
  <c r="U208" i="2"/>
  <c r="U209" i="2"/>
  <c r="U211" i="2"/>
  <c r="U212" i="2"/>
  <c r="U206" i="2"/>
  <c r="U214" i="2"/>
  <c r="U215" i="2"/>
  <c r="U216" i="2"/>
  <c r="U322" i="2"/>
  <c r="U221" i="2"/>
  <c r="U309" i="2"/>
  <c r="U327" i="2"/>
  <c r="U297" i="2"/>
  <c r="U328" i="2"/>
  <c r="U329" i="2"/>
  <c r="U330" i="2"/>
  <c r="U315" i="2"/>
  <c r="U238" i="2"/>
  <c r="U239" i="2"/>
  <c r="U331" i="2"/>
  <c r="U332" i="2"/>
  <c r="U333" i="2"/>
  <c r="U240" i="2"/>
  <c r="U334" i="2"/>
  <c r="U241" i="2"/>
  <c r="U335" i="2"/>
  <c r="U463" i="2"/>
  <c r="U227" i="2"/>
  <c r="U336" i="2"/>
  <c r="U337" i="2"/>
  <c r="U338" i="2"/>
  <c r="U219" i="2"/>
  <c r="U339" i="2"/>
  <c r="U340" i="2"/>
  <c r="U223" i="2"/>
  <c r="U341" i="2"/>
  <c r="U342" i="2"/>
  <c r="U343" i="2"/>
  <c r="U344" i="2"/>
  <c r="U242" i="2"/>
  <c r="U320" i="2"/>
  <c r="U345" i="2"/>
  <c r="U346" i="2"/>
  <c r="U347" i="2"/>
  <c r="U348" i="2"/>
  <c r="U349" i="2"/>
  <c r="U464" i="2"/>
  <c r="U350" i="2"/>
  <c r="U351" i="2"/>
  <c r="U352" i="2"/>
  <c r="U353" i="2"/>
  <c r="U311" i="2"/>
  <c r="U354" i="2"/>
  <c r="U243" i="2"/>
  <c r="U462" i="2"/>
  <c r="U244" i="2"/>
  <c r="U355" i="2"/>
  <c r="U356" i="2"/>
  <c r="U235" i="2"/>
  <c r="U237" i="2"/>
  <c r="U357" i="2"/>
  <c r="U358" i="2"/>
  <c r="U359" i="2"/>
  <c r="U305" i="2"/>
  <c r="U360" i="2"/>
  <c r="U316" i="2"/>
  <c r="U361" i="2"/>
  <c r="U222" i="2"/>
  <c r="U220" i="2"/>
  <c r="U362" i="2"/>
  <c r="U302" i="2"/>
  <c r="U363" i="2"/>
  <c r="U364" i="2"/>
  <c r="U365" i="2"/>
  <c r="U366" i="2"/>
  <c r="U367" i="2"/>
  <c r="U326" i="2"/>
  <c r="U368" i="2"/>
  <c r="U369" i="2"/>
  <c r="U228" i="2"/>
  <c r="U245" i="2"/>
  <c r="U370" i="2"/>
  <c r="U371" i="2"/>
  <c r="U372" i="2"/>
  <c r="U246" i="2"/>
  <c r="U373" i="2"/>
  <c r="U465" i="2"/>
  <c r="U374" i="2"/>
  <c r="U375" i="2"/>
  <c r="U376" i="2"/>
  <c r="U377" i="2"/>
  <c r="U247" i="2"/>
  <c r="U378" i="2"/>
  <c r="U226" i="2"/>
  <c r="U379" i="2"/>
  <c r="U380" i="2"/>
  <c r="U381" i="2"/>
  <c r="U382" i="2"/>
  <c r="U383" i="2"/>
  <c r="U384" i="2"/>
  <c r="U248" i="2"/>
  <c r="U385" i="2"/>
  <c r="U386" i="2"/>
  <c r="U387" i="2"/>
  <c r="U388" i="2"/>
  <c r="U225" i="2"/>
  <c r="U229" i="2"/>
  <c r="U389" i="2"/>
  <c r="U234" i="2"/>
  <c r="U300" i="2"/>
  <c r="U390" i="2"/>
  <c r="U391" i="2"/>
  <c r="U392" i="2"/>
  <c r="U249" i="2"/>
  <c r="U393" i="2"/>
  <c r="U394" i="2"/>
  <c r="U395" i="2"/>
  <c r="U224" i="2"/>
  <c r="U250" i="2"/>
  <c r="U396" i="2"/>
  <c r="U299" i="2"/>
  <c r="U304" i="2"/>
  <c r="U397" i="2"/>
  <c r="U398" i="2"/>
  <c r="U251" i="2"/>
  <c r="U461" i="2"/>
  <c r="U399" i="2"/>
  <c r="U252" i="2"/>
  <c r="U400" i="2"/>
  <c r="U401" i="2"/>
  <c r="U324" i="2"/>
  <c r="U253" i="2"/>
  <c r="U254" i="2"/>
  <c r="U402" i="2"/>
  <c r="U403" i="2"/>
  <c r="U404" i="2"/>
  <c r="U405" i="2"/>
  <c r="U317" i="2"/>
  <c r="U406" i="2"/>
  <c r="U407" i="2"/>
  <c r="U408" i="2"/>
  <c r="U409" i="2"/>
  <c r="U410" i="2"/>
  <c r="U411" i="2"/>
  <c r="U412" i="2"/>
  <c r="U319" i="2"/>
  <c r="U413" i="2"/>
  <c r="U414" i="2"/>
  <c r="U255" i="2"/>
  <c r="U256" i="2"/>
  <c r="U257" i="2"/>
  <c r="U415" i="2"/>
  <c r="U416" i="2"/>
  <c r="U258" i="2"/>
  <c r="U259" i="2"/>
  <c r="U260" i="2"/>
  <c r="U417" i="2"/>
  <c r="U418" i="2"/>
  <c r="U261" i="2"/>
  <c r="U419" i="2"/>
  <c r="U420" i="2"/>
  <c r="U421" i="2"/>
  <c r="U313" i="2"/>
  <c r="U422" i="2"/>
  <c r="U262" i="2"/>
  <c r="U263" i="2"/>
  <c r="U264" i="2"/>
  <c r="U312" i="2"/>
  <c r="U423" i="2"/>
  <c r="U424" i="2"/>
  <c r="U325" i="2"/>
  <c r="U425" i="2"/>
  <c r="U314" i="2"/>
  <c r="U426" i="2"/>
  <c r="U265" i="2"/>
  <c r="U427" i="2"/>
  <c r="U428" i="2"/>
  <c r="U429" i="2"/>
  <c r="U430" i="2"/>
  <c r="U431" i="2"/>
  <c r="U266" i="2"/>
  <c r="U301" i="2"/>
  <c r="U432" i="2"/>
  <c r="U306" i="2"/>
  <c r="U267" i="2"/>
  <c r="U433" i="2"/>
  <c r="U434" i="2"/>
  <c r="U268" i="2"/>
  <c r="U435" i="2"/>
  <c r="U436" i="2"/>
  <c r="U321" i="2"/>
  <c r="U437" i="2"/>
  <c r="U438" i="2"/>
  <c r="U307" i="2"/>
  <c r="U439" i="2"/>
  <c r="U269" i="2"/>
  <c r="U440" i="2"/>
  <c r="U441" i="2"/>
  <c r="U442" i="2"/>
  <c r="U270" i="2"/>
  <c r="U271" i="2"/>
  <c r="U272" i="2"/>
  <c r="U443" i="2"/>
  <c r="U273" i="2"/>
  <c r="U444" i="2"/>
  <c r="U466" i="2"/>
  <c r="U274" i="2"/>
  <c r="U275" i="2"/>
  <c r="U276" i="2"/>
  <c r="U277" i="2"/>
  <c r="U233" i="2"/>
  <c r="U278" i="2"/>
  <c r="U230" i="2"/>
  <c r="U445" i="2"/>
  <c r="U446" i="2"/>
  <c r="U459" i="2"/>
  <c r="U279" i="2"/>
  <c r="U280" i="2"/>
  <c r="U281" i="2"/>
  <c r="U308" i="2"/>
  <c r="U236" i="2"/>
  <c r="U447" i="2"/>
  <c r="U282" i="2"/>
  <c r="U448" i="2"/>
  <c r="U449" i="2"/>
  <c r="U283" i="2"/>
  <c r="U284" i="2"/>
  <c r="U318" i="2"/>
  <c r="U450" i="2"/>
  <c r="U285" i="2"/>
  <c r="U451" i="2"/>
  <c r="U286" i="2"/>
  <c r="U467" i="2"/>
  <c r="U287" i="2"/>
  <c r="U323" i="2"/>
  <c r="U288" i="2"/>
  <c r="U460" i="2"/>
  <c r="U289" i="2"/>
  <c r="U290" i="2"/>
  <c r="U452" i="2"/>
  <c r="U303" i="2"/>
  <c r="U453" i="2"/>
  <c r="U291" i="2"/>
  <c r="U292" i="2"/>
  <c r="U454" i="2"/>
  <c r="U298" i="2"/>
  <c r="U293" i="2"/>
  <c r="U294" i="2"/>
  <c r="U295" i="2"/>
  <c r="U455" i="2"/>
  <c r="U296" i="2"/>
  <c r="U456" i="2"/>
  <c r="U231" i="2"/>
  <c r="U457" i="2"/>
  <c r="U458" i="2"/>
  <c r="U232" i="2"/>
  <c r="U310" i="2"/>
  <c r="U218" i="2"/>
  <c r="S7" i="2" a="1"/>
  <c r="S3" i="2" a="1"/>
  <c r="S2" i="2" a="1"/>
  <c r="S5" i="2" a="1"/>
  <c r="S4" i="2" a="1"/>
  <c r="S6" i="2" a="1"/>
  <c r="S9" i="2" a="1"/>
  <c r="S10" i="2" a="1"/>
  <c r="S11" i="2" a="1"/>
  <c r="S13" i="2" a="1"/>
  <c r="S12" i="2" a="1"/>
  <c r="S24" i="2" a="1"/>
  <c r="S19" i="2" a="1"/>
  <c r="S14" i="2" a="1"/>
  <c r="S18" i="2" a="1"/>
  <c r="S17" i="2" a="1"/>
  <c r="S22" i="2" a="1"/>
  <c r="S15" i="2" a="1"/>
  <c r="S23" i="2" a="1"/>
  <c r="S16" i="2" a="1"/>
  <c r="S25" i="2" a="1"/>
  <c r="S21" i="2" a="1"/>
  <c r="S45" i="2" a="1"/>
  <c r="S47" i="2" a="1"/>
  <c r="S57" i="2" a="1"/>
  <c r="S40" i="2" a="1"/>
  <c r="S44" i="2" a="1"/>
  <c r="S28" i="2" a="1"/>
  <c r="S51" i="2" a="1"/>
  <c r="S53" i="2" a="1"/>
  <c r="S35" i="2" a="1"/>
  <c r="S54" i="2" a="1"/>
  <c r="S42" i="2" a="1"/>
  <c r="S39" i="2" a="1"/>
  <c r="S37" i="2" a="1"/>
  <c r="S29" i="2" a="1"/>
  <c r="S41" i="2" a="1"/>
  <c r="S46" i="2" a="1"/>
  <c r="S30" i="2" a="1"/>
  <c r="S36" i="2" a="1"/>
  <c r="S43" i="2" a="1"/>
  <c r="S31" i="2" a="1"/>
  <c r="S56" i="2" a="1"/>
  <c r="S38" i="2" a="1"/>
  <c r="S32" i="2" a="1"/>
  <c r="S33" i="2" a="1"/>
  <c r="S34" i="2" a="1"/>
  <c r="S48" i="2" a="1"/>
  <c r="S49" i="2" a="1"/>
  <c r="S26" i="2" a="1"/>
  <c r="S50" i="2" a="1"/>
  <c r="S27" i="2" a="1"/>
  <c r="S58" i="2" a="1"/>
  <c r="S55" i="2" a="1"/>
  <c r="S52" i="2" a="1"/>
  <c r="S62" i="2" a="1"/>
  <c r="S97" i="2" a="1"/>
  <c r="S86" i="2" a="1"/>
  <c r="S59" i="2" a="1"/>
  <c r="S63" i="2" a="1"/>
  <c r="S78" i="2" a="1"/>
  <c r="S75" i="2" a="1"/>
  <c r="S74" i="2" a="1"/>
  <c r="S82" i="2" a="1"/>
  <c r="S61" i="2" a="1"/>
  <c r="S73" i="2" a="1"/>
  <c r="S99" i="2" a="1"/>
  <c r="S84" i="2" a="1"/>
  <c r="S88" i="2" a="1"/>
  <c r="S91" i="2" a="1"/>
  <c r="S85" i="2" a="1"/>
  <c r="S101" i="2" a="1"/>
  <c r="S87" i="2" a="1"/>
  <c r="S95" i="2" a="1"/>
  <c r="S64" i="2" a="1"/>
  <c r="S77" i="2" a="1"/>
  <c r="S90" i="2" a="1"/>
  <c r="S79" i="2" a="1"/>
  <c r="S60" i="2" a="1"/>
  <c r="S98" i="2" a="1"/>
  <c r="S83" i="2" a="1"/>
  <c r="S81" i="2" a="1"/>
  <c r="S96" i="2" a="1"/>
  <c r="S100" i="2" a="1"/>
  <c r="S65" i="2" a="1"/>
  <c r="S66" i="2" a="1"/>
  <c r="S92" i="2" a="1"/>
  <c r="S93" i="2" a="1"/>
  <c r="S67" i="2" a="1"/>
  <c r="S68" i="2" a="1"/>
  <c r="S69" i="2" a="1"/>
  <c r="S70" i="2" a="1"/>
  <c r="S71" i="2" a="1"/>
  <c r="S94" i="2" a="1"/>
  <c r="S72" i="2" a="1"/>
  <c r="S76" i="2" a="1"/>
  <c r="S80" i="2" a="1"/>
  <c r="S89" i="2" a="1"/>
  <c r="S102" i="2" a="1"/>
  <c r="S134" i="2" a="1"/>
  <c r="S137" i="2" a="1"/>
  <c r="S133" i="2" a="1"/>
  <c r="S120" i="2" a="1"/>
  <c r="S107" i="2" a="1"/>
  <c r="S112" i="2" a="1"/>
  <c r="S103" i="2" a="1"/>
  <c r="S123" i="2" a="1"/>
  <c r="S113" i="2" a="1"/>
  <c r="S110" i="2" a="1"/>
  <c r="S122" i="2" a="1"/>
  <c r="S114" i="2" a="1"/>
  <c r="S128" i="2" a="1"/>
  <c r="S104" i="2" a="1"/>
  <c r="S124" i="2" a="1"/>
  <c r="S116" i="2" a="1"/>
  <c r="S125" i="2" a="1"/>
  <c r="S106" i="2" a="1"/>
  <c r="S119" i="2" a="1"/>
  <c r="S121" i="2" a="1"/>
  <c r="S111" i="2" a="1"/>
  <c r="S126" i="2" a="1"/>
  <c r="S131" i="2" a="1"/>
  <c r="S138" i="2" a="1"/>
  <c r="S115" i="2" a="1"/>
  <c r="S20" i="2" a="1"/>
  <c r="S117" i="2" a="1"/>
  <c r="S135" i="2" a="1"/>
  <c r="S108" i="2" a="1"/>
  <c r="S139" i="2" a="1"/>
  <c r="S130" i="2" a="1"/>
  <c r="S105" i="2" a="1"/>
  <c r="S129" i="2" a="1"/>
  <c r="S109" i="2" a="1"/>
  <c r="S132" i="2" a="1"/>
  <c r="S118" i="2" a="1"/>
  <c r="S127" i="2" a="1"/>
  <c r="S148" i="2" a="1"/>
  <c r="S145" i="2" a="1"/>
  <c r="S174" i="2" a="1"/>
  <c r="S165" i="2" a="1"/>
  <c r="S149" i="2" a="1"/>
  <c r="S151" i="2" a="1"/>
  <c r="S155" i="2" a="1"/>
  <c r="S153" i="2" a="1"/>
  <c r="S160" i="2" a="1"/>
  <c r="S157" i="2" a="1"/>
  <c r="S143" i="2" a="1"/>
  <c r="S167" i="2" a="1"/>
  <c r="S158" i="2" a="1"/>
  <c r="S166" i="2" a="1"/>
  <c r="S162" i="2" a="1"/>
  <c r="S156" i="2" a="1"/>
  <c r="S159" i="2" a="1"/>
  <c r="S161" i="2" a="1"/>
  <c r="S142" i="2" a="1"/>
  <c r="S146" i="2" a="1"/>
  <c r="S168" i="2" a="1"/>
  <c r="S154" i="2" a="1"/>
  <c r="S169" i="2" a="1"/>
  <c r="S175" i="2" a="1"/>
  <c r="S170" i="2" a="1"/>
  <c r="S147" i="2" a="1"/>
  <c r="S171" i="2" a="1"/>
  <c r="S172" i="2" a="1"/>
  <c r="S176" i="2" a="1"/>
  <c r="S177" i="2" a="1"/>
  <c r="S173" i="2" a="1"/>
  <c r="S140" i="2" a="1"/>
  <c r="S141" i="2" a="1"/>
  <c r="S144" i="2" a="1"/>
  <c r="S152" i="2" a="1"/>
  <c r="S150" i="2" a="1"/>
  <c r="S164" i="2" a="1"/>
  <c r="S163" i="2" a="1"/>
  <c r="S178" i="2" a="1"/>
  <c r="S189" i="2" a="1"/>
  <c r="S190" i="2" a="1"/>
  <c r="S196" i="2" a="1"/>
  <c r="S179" i="2" a="1"/>
  <c r="S180" i="2" a="1"/>
  <c r="S181" i="2" a="1"/>
  <c r="S182" i="2" a="1"/>
  <c r="S191" i="2" a="1"/>
  <c r="S204" i="2" a="1"/>
  <c r="S197" i="2" a="1"/>
  <c r="S198" i="2" a="1"/>
  <c r="S199" i="2" a="1"/>
  <c r="S200" i="2" a="1"/>
  <c r="S186" i="2" a="1"/>
  <c r="S205" i="2" a="1"/>
  <c r="S203" i="2" a="1"/>
  <c r="S201" i="2" a="1"/>
  <c r="S192" i="2" a="1"/>
  <c r="S193" i="2" a="1"/>
  <c r="S217" i="2" a="1"/>
  <c r="S194" i="2" a="1"/>
  <c r="S183" i="2" a="1"/>
  <c r="S184" i="2" a="1"/>
  <c r="S187" i="2" a="1"/>
  <c r="S188" i="2" a="1"/>
  <c r="S202" i="2" a="1"/>
  <c r="S195" i="2" a="1"/>
  <c r="S185" i="2" a="1"/>
  <c r="S213" i="2" a="1"/>
  <c r="S207" i="2" a="1"/>
  <c r="S210" i="2" a="1"/>
  <c r="S208" i="2" a="1"/>
  <c r="S209" i="2" a="1"/>
  <c r="S211" i="2" a="1"/>
  <c r="S212" i="2" a="1"/>
  <c r="S206" i="2" a="1"/>
  <c r="S214" i="2" a="1"/>
  <c r="S215" i="2" a="1"/>
  <c r="S216" i="2" a="1"/>
  <c r="S322" i="2" a="1"/>
  <c r="S221" i="2" a="1"/>
  <c r="S309" i="2" a="1"/>
  <c r="S327" i="2" a="1"/>
  <c r="S297" i="2" a="1"/>
  <c r="S328" i="2" a="1"/>
  <c r="S329" i="2" a="1"/>
  <c r="S330" i="2" a="1"/>
  <c r="S315" i="2" a="1"/>
  <c r="S238" i="2" a="1"/>
  <c r="S239" i="2" a="1"/>
  <c r="S331" i="2" a="1"/>
  <c r="S332" i="2" a="1"/>
  <c r="S333" i="2" a="1"/>
  <c r="S240" i="2" a="1"/>
  <c r="S334" i="2" a="1"/>
  <c r="S241" i="2" a="1"/>
  <c r="S335" i="2" a="1"/>
  <c r="S463" i="2" a="1"/>
  <c r="S227" i="2" a="1"/>
  <c r="S336" i="2" a="1"/>
  <c r="S337" i="2" a="1"/>
  <c r="S338" i="2" a="1"/>
  <c r="S219" i="2" a="1"/>
  <c r="S339" i="2" a="1"/>
  <c r="S340" i="2" a="1"/>
  <c r="S223" i="2" a="1"/>
  <c r="S341" i="2" a="1"/>
  <c r="S342" i="2" a="1"/>
  <c r="S343" i="2" a="1"/>
  <c r="S344" i="2" a="1"/>
  <c r="S242" i="2" a="1"/>
  <c r="S320" i="2" a="1"/>
  <c r="S345" i="2" a="1"/>
  <c r="S346" i="2" a="1"/>
  <c r="S347" i="2" a="1"/>
  <c r="S348" i="2" a="1"/>
  <c r="S349" i="2" a="1"/>
  <c r="S464" i="2" a="1"/>
  <c r="S350" i="2" a="1"/>
  <c r="S351" i="2" a="1"/>
  <c r="S352" i="2" a="1"/>
  <c r="S353" i="2" a="1"/>
  <c r="S311" i="2" a="1"/>
  <c r="S354" i="2" a="1"/>
  <c r="S243" i="2" a="1"/>
  <c r="S462" i="2" a="1"/>
  <c r="S244" i="2" a="1"/>
  <c r="S355" i="2" a="1"/>
  <c r="S356" i="2" a="1"/>
  <c r="S235" i="2" a="1"/>
  <c r="S237" i="2" a="1"/>
  <c r="S357" i="2" a="1"/>
  <c r="S358" i="2" a="1"/>
  <c r="S359" i="2" a="1"/>
  <c r="S305" i="2" a="1"/>
  <c r="S360" i="2" a="1"/>
  <c r="S316" i="2" a="1"/>
  <c r="S361" i="2" a="1"/>
  <c r="S222" i="2" a="1"/>
  <c r="S220" i="2" a="1"/>
  <c r="S362" i="2" a="1"/>
  <c r="S302" i="2" a="1"/>
  <c r="S363" i="2" a="1"/>
  <c r="S364" i="2" a="1"/>
  <c r="S365" i="2" a="1"/>
  <c r="S366" i="2" a="1"/>
  <c r="S367" i="2" a="1"/>
  <c r="S326" i="2" a="1"/>
  <c r="S368" i="2" a="1"/>
  <c r="S369" i="2" a="1"/>
  <c r="S228" i="2" a="1"/>
  <c r="S245" i="2" a="1"/>
  <c r="S370" i="2" a="1"/>
  <c r="S371" i="2" a="1"/>
  <c r="S372" i="2" a="1"/>
  <c r="S246" i="2" a="1"/>
  <c r="S373" i="2" a="1"/>
  <c r="S465" i="2" a="1"/>
  <c r="S374" i="2" a="1"/>
  <c r="S375" i="2" a="1"/>
  <c r="S376" i="2" a="1"/>
  <c r="S377" i="2" a="1"/>
  <c r="S247" i="2" a="1"/>
  <c r="S378" i="2" a="1"/>
  <c r="S226" i="2" a="1"/>
  <c r="S379" i="2" a="1"/>
  <c r="S380" i="2" a="1"/>
  <c r="S381" i="2" a="1"/>
  <c r="S382" i="2" a="1"/>
  <c r="S383" i="2" a="1"/>
  <c r="S384" i="2" a="1"/>
  <c r="S248" i="2" a="1"/>
  <c r="S385" i="2" a="1"/>
  <c r="S386" i="2" a="1"/>
  <c r="S387" i="2" a="1"/>
  <c r="S388" i="2" a="1"/>
  <c r="S225" i="2" a="1"/>
  <c r="S229" i="2" a="1"/>
  <c r="S389" i="2" a="1"/>
  <c r="S234" i="2" a="1"/>
  <c r="S300" i="2" a="1"/>
  <c r="S390" i="2" a="1"/>
  <c r="S391" i="2" a="1"/>
  <c r="S392" i="2" a="1"/>
  <c r="S249" i="2" a="1"/>
  <c r="S393" i="2" a="1"/>
  <c r="S394" i="2" a="1"/>
  <c r="S395" i="2" a="1"/>
  <c r="S224" i="2" a="1"/>
  <c r="S250" i="2" a="1"/>
  <c r="S396" i="2" a="1"/>
  <c r="S299" i="2" a="1"/>
  <c r="S304" i="2" a="1"/>
  <c r="S397" i="2" a="1"/>
  <c r="S398" i="2" a="1"/>
  <c r="S251" i="2" a="1"/>
  <c r="S461" i="2" a="1"/>
  <c r="S399" i="2" a="1"/>
  <c r="S252" i="2" a="1"/>
  <c r="S400" i="2" a="1"/>
  <c r="S401" i="2" a="1"/>
  <c r="S324" i="2" a="1"/>
  <c r="S253" i="2" a="1"/>
  <c r="S254" i="2" a="1"/>
  <c r="S402" i="2" a="1"/>
  <c r="S403" i="2" a="1"/>
  <c r="S404" i="2" a="1"/>
  <c r="S405" i="2" a="1"/>
  <c r="S317" i="2" a="1"/>
  <c r="S406" i="2" a="1"/>
  <c r="S407" i="2" a="1"/>
  <c r="S408" i="2" a="1"/>
  <c r="S409" i="2" a="1"/>
  <c r="S410" i="2" a="1"/>
  <c r="S411" i="2" a="1"/>
  <c r="S412" i="2" a="1"/>
  <c r="S319" i="2" a="1"/>
  <c r="S413" i="2" a="1"/>
  <c r="S414" i="2" a="1"/>
  <c r="S255" i="2" a="1"/>
  <c r="S256" i="2" a="1"/>
  <c r="S257" i="2" a="1"/>
  <c r="S415" i="2" a="1"/>
  <c r="S416" i="2" a="1"/>
  <c r="S258" i="2" a="1"/>
  <c r="S259" i="2" a="1"/>
  <c r="S260" i="2" a="1"/>
  <c r="S417" i="2" a="1"/>
  <c r="S418" i="2" a="1"/>
  <c r="S261" i="2" a="1"/>
  <c r="S419" i="2" a="1"/>
  <c r="S420" i="2" a="1"/>
  <c r="S421" i="2" a="1"/>
  <c r="S313" i="2" a="1"/>
  <c r="S422" i="2" a="1"/>
  <c r="S262" i="2" a="1"/>
  <c r="S263" i="2" a="1"/>
  <c r="S264" i="2" a="1"/>
  <c r="S312" i="2" a="1"/>
  <c r="S423" i="2" a="1"/>
  <c r="S424" i="2" a="1"/>
  <c r="S325" i="2" a="1"/>
  <c r="S425" i="2" a="1"/>
  <c r="S314" i="2" a="1"/>
  <c r="S426" i="2" a="1"/>
  <c r="S265" i="2" a="1"/>
  <c r="S427" i="2" a="1"/>
  <c r="S428" i="2" a="1"/>
  <c r="S429" i="2" a="1"/>
  <c r="S430" i="2" a="1"/>
  <c r="S431" i="2" a="1"/>
  <c r="S266" i="2" a="1"/>
  <c r="S301" i="2" a="1"/>
  <c r="S432" i="2" a="1"/>
  <c r="S306" i="2" a="1"/>
  <c r="S267" i="2" a="1"/>
  <c r="S433" i="2" a="1"/>
  <c r="S434" i="2" a="1"/>
  <c r="S268" i="2" a="1"/>
  <c r="S435" i="2" a="1"/>
  <c r="S436" i="2" a="1"/>
  <c r="S321" i="2" a="1"/>
  <c r="S437" i="2" a="1"/>
  <c r="S438" i="2" a="1"/>
  <c r="S307" i="2" a="1"/>
  <c r="S439" i="2" a="1"/>
  <c r="S269" i="2" a="1"/>
  <c r="S440" i="2" a="1"/>
  <c r="S441" i="2" a="1"/>
  <c r="S442" i="2" a="1"/>
  <c r="S270" i="2" a="1"/>
  <c r="S271" i="2" a="1"/>
  <c r="S272" i="2" a="1"/>
  <c r="S443" i="2" a="1"/>
  <c r="S273" i="2" a="1"/>
  <c r="S444" i="2" a="1"/>
  <c r="S466" i="2" a="1"/>
  <c r="S274" i="2" a="1"/>
  <c r="S275" i="2" a="1"/>
  <c r="S276" i="2" a="1"/>
  <c r="S277" i="2" a="1"/>
  <c r="S233" i="2" a="1"/>
  <c r="S278" i="2" a="1"/>
  <c r="S230" i="2" a="1"/>
  <c r="S445" i="2" a="1"/>
  <c r="S446" i="2" a="1"/>
  <c r="S459" i="2" a="1"/>
  <c r="S279" i="2" a="1"/>
  <c r="S280" i="2" a="1"/>
  <c r="S281" i="2" a="1"/>
  <c r="S308" i="2" a="1"/>
  <c r="S236" i="2" a="1"/>
  <c r="S447" i="2" a="1"/>
  <c r="S282" i="2" a="1"/>
  <c r="S448" i="2" a="1"/>
  <c r="S449" i="2" a="1"/>
  <c r="S283" i="2" a="1"/>
  <c r="S284" i="2" a="1"/>
  <c r="S318" i="2" a="1"/>
  <c r="S450" i="2" a="1"/>
  <c r="S285" i="2" a="1"/>
  <c r="S451" i="2" a="1"/>
  <c r="S286" i="2" a="1"/>
  <c r="S467" i="2" a="1"/>
  <c r="S287" i="2" a="1"/>
  <c r="S323" i="2" a="1"/>
  <c r="S288" i="2" a="1"/>
  <c r="S460" i="2" a="1"/>
  <c r="S289" i="2" a="1"/>
  <c r="S290" i="2" a="1"/>
  <c r="S452" i="2" a="1"/>
  <c r="S303" i="2" a="1"/>
  <c r="S453" i="2" a="1"/>
  <c r="S291" i="2" a="1"/>
  <c r="S292" i="2" a="1"/>
  <c r="S454" i="2" a="1"/>
  <c r="S298" i="2" a="1"/>
  <c r="S293" i="2" a="1"/>
  <c r="S294" i="2" a="1"/>
  <c r="S295" i="2" a="1"/>
  <c r="S455" i="2" a="1"/>
  <c r="S296" i="2" a="1"/>
  <c r="S456" i="2" a="1"/>
  <c r="S231" i="2" a="1"/>
  <c r="S457" i="2" a="1"/>
  <c r="S458" i="2" a="1"/>
  <c r="S232" i="2" a="1"/>
  <c r="S310" i="2" a="1"/>
  <c r="S218" i="2" a="1"/>
  <c r="P7" i="2" a="1"/>
  <c r="P3" i="2" a="1"/>
  <c r="P2" i="2" a="1"/>
  <c r="P5" i="2" a="1"/>
  <c r="P4" i="2" a="1"/>
  <c r="P6" i="2" a="1"/>
  <c r="P9" i="2" a="1"/>
  <c r="P10" i="2" a="1"/>
  <c r="P11" i="2" a="1"/>
  <c r="P13" i="2" a="1"/>
  <c r="P12" i="2" a="1"/>
  <c r="P24" i="2" a="1"/>
  <c r="P19" i="2" a="1"/>
  <c r="P14" i="2" a="1"/>
  <c r="P18" i="2" a="1"/>
  <c r="P17" i="2" a="1"/>
  <c r="P22" i="2" a="1"/>
  <c r="P15" i="2" a="1"/>
  <c r="P23" i="2" a="1"/>
  <c r="P16" i="2" a="1"/>
  <c r="P25" i="2" a="1"/>
  <c r="P21" i="2" a="1"/>
  <c r="P45" i="2" a="1"/>
  <c r="P47" i="2" a="1"/>
  <c r="P57" i="2" a="1"/>
  <c r="P40" i="2" a="1"/>
  <c r="P44" i="2" a="1"/>
  <c r="P28" i="2" a="1"/>
  <c r="P51" i="2" a="1"/>
  <c r="P53" i="2" a="1"/>
  <c r="P35" i="2" a="1"/>
  <c r="P54" i="2" a="1"/>
  <c r="P42" i="2" a="1"/>
  <c r="P39" i="2" a="1"/>
  <c r="P37" i="2" a="1"/>
  <c r="P29" i="2" a="1"/>
  <c r="P41" i="2" a="1"/>
  <c r="P46" i="2" a="1"/>
  <c r="P30" i="2" a="1"/>
  <c r="P36" i="2" a="1"/>
  <c r="P43" i="2" a="1"/>
  <c r="P31" i="2" a="1"/>
  <c r="P56" i="2" a="1"/>
  <c r="P38" i="2" a="1"/>
  <c r="P32" i="2" a="1"/>
  <c r="P33" i="2" a="1"/>
  <c r="P34" i="2" a="1"/>
  <c r="P48" i="2" a="1"/>
  <c r="P49" i="2" a="1"/>
  <c r="P26" i="2" a="1"/>
  <c r="P50" i="2" a="1"/>
  <c r="P27" i="2" a="1"/>
  <c r="P58" i="2" a="1"/>
  <c r="P55" i="2" a="1"/>
  <c r="P52" i="2" a="1"/>
  <c r="P62" i="2" a="1"/>
  <c r="P97" i="2" a="1"/>
  <c r="P86" i="2" a="1"/>
  <c r="P59" i="2" a="1"/>
  <c r="P63" i="2" a="1"/>
  <c r="P78" i="2" a="1"/>
  <c r="P75" i="2" a="1"/>
  <c r="P74" i="2" a="1"/>
  <c r="P82" i="2" a="1"/>
  <c r="P61" i="2" a="1"/>
  <c r="P73" i="2" a="1"/>
  <c r="P99" i="2" a="1"/>
  <c r="P84" i="2" a="1"/>
  <c r="P88" i="2" a="1"/>
  <c r="P91" i="2" a="1"/>
  <c r="P85" i="2" a="1"/>
  <c r="P101" i="2" a="1"/>
  <c r="P87" i="2" a="1"/>
  <c r="P95" i="2" a="1"/>
  <c r="P64" i="2" a="1"/>
  <c r="P77" i="2" a="1"/>
  <c r="P90" i="2" a="1"/>
  <c r="P79" i="2" a="1"/>
  <c r="P60" i="2" a="1"/>
  <c r="P98" i="2" a="1"/>
  <c r="P83" i="2" a="1"/>
  <c r="P81" i="2" a="1"/>
  <c r="P96" i="2" a="1"/>
  <c r="P100" i="2" a="1"/>
  <c r="P65" i="2" a="1"/>
  <c r="P66" i="2" a="1"/>
  <c r="P92" i="2" a="1"/>
  <c r="P93" i="2" a="1"/>
  <c r="P67" i="2" a="1"/>
  <c r="P68" i="2" a="1"/>
  <c r="P69" i="2" a="1"/>
  <c r="P70" i="2" a="1"/>
  <c r="P71" i="2" a="1"/>
  <c r="P94" i="2" a="1"/>
  <c r="P72" i="2" a="1"/>
  <c r="P76" i="2" a="1"/>
  <c r="P80" i="2" a="1"/>
  <c r="P89" i="2" a="1"/>
  <c r="P102" i="2" a="1"/>
  <c r="P134" i="2" a="1"/>
  <c r="P137" i="2" a="1"/>
  <c r="P133" i="2" a="1"/>
  <c r="P120" i="2" a="1"/>
  <c r="P107" i="2" a="1"/>
  <c r="P112" i="2" a="1"/>
  <c r="P103" i="2" a="1"/>
  <c r="P123" i="2" a="1"/>
  <c r="P113" i="2" a="1"/>
  <c r="P110" i="2" a="1"/>
  <c r="P122" i="2" a="1"/>
  <c r="P114" i="2" a="1"/>
  <c r="P128" i="2" a="1"/>
  <c r="P104" i="2" a="1"/>
  <c r="P124" i="2" a="1"/>
  <c r="P116" i="2" a="1"/>
  <c r="P125" i="2" a="1"/>
  <c r="P106" i="2" a="1"/>
  <c r="P119" i="2" a="1"/>
  <c r="P121" i="2" a="1"/>
  <c r="P111" i="2" a="1"/>
  <c r="P126" i="2" a="1"/>
  <c r="P131" i="2" a="1"/>
  <c r="P138" i="2" a="1"/>
  <c r="P115" i="2" a="1"/>
  <c r="P20" i="2" a="1"/>
  <c r="P117" i="2" a="1"/>
  <c r="P135" i="2" a="1"/>
  <c r="P108" i="2" a="1"/>
  <c r="P139" i="2" a="1"/>
  <c r="P130" i="2" a="1"/>
  <c r="P105" i="2" a="1"/>
  <c r="P129" i="2" a="1"/>
  <c r="P109" i="2" a="1"/>
  <c r="P132" i="2" a="1"/>
  <c r="P118" i="2" a="1"/>
  <c r="P127" i="2" a="1"/>
  <c r="P148" i="2" a="1"/>
  <c r="P145" i="2" a="1"/>
  <c r="P174" i="2" a="1"/>
  <c r="P165" i="2" a="1"/>
  <c r="P149" i="2" a="1"/>
  <c r="P151" i="2" a="1"/>
  <c r="P155" i="2" a="1"/>
  <c r="P153" i="2" a="1"/>
  <c r="P160" i="2" a="1"/>
  <c r="P157" i="2" a="1"/>
  <c r="P143" i="2" a="1"/>
  <c r="P167" i="2" a="1"/>
  <c r="P158" i="2" a="1"/>
  <c r="P166" i="2" a="1"/>
  <c r="P162" i="2" a="1"/>
  <c r="P156" i="2" a="1"/>
  <c r="P159" i="2" a="1"/>
  <c r="P161" i="2" a="1"/>
  <c r="P142" i="2" a="1"/>
  <c r="P146" i="2" a="1"/>
  <c r="P168" i="2" a="1"/>
  <c r="P154" i="2" a="1"/>
  <c r="P169" i="2" a="1"/>
  <c r="P175" i="2" a="1"/>
  <c r="P170" i="2" a="1"/>
  <c r="P147" i="2" a="1"/>
  <c r="P171" i="2" a="1"/>
  <c r="P172" i="2" a="1"/>
  <c r="P176" i="2" a="1"/>
  <c r="P177" i="2" a="1"/>
  <c r="P173" i="2" a="1"/>
  <c r="P140" i="2" a="1"/>
  <c r="P141" i="2" a="1"/>
  <c r="P144" i="2" a="1"/>
  <c r="P152" i="2" a="1"/>
  <c r="P150" i="2" a="1"/>
  <c r="P164" i="2" a="1"/>
  <c r="P163" i="2" a="1"/>
  <c r="P178" i="2" a="1"/>
  <c r="P189" i="2" a="1"/>
  <c r="P190" i="2" a="1"/>
  <c r="P196" i="2" a="1"/>
  <c r="P179" i="2" a="1"/>
  <c r="P180" i="2" a="1"/>
  <c r="P181" i="2" a="1"/>
  <c r="P182" i="2" a="1"/>
  <c r="P191" i="2" a="1"/>
  <c r="P204" i="2" a="1"/>
  <c r="P197" i="2" a="1"/>
  <c r="P198" i="2" a="1"/>
  <c r="P199" i="2" a="1"/>
  <c r="P200" i="2" a="1"/>
  <c r="P186" i="2" a="1"/>
  <c r="P205" i="2" a="1"/>
  <c r="P203" i="2" a="1"/>
  <c r="P201" i="2" a="1"/>
  <c r="P192" i="2" a="1"/>
  <c r="P193" i="2" a="1"/>
  <c r="P217" i="2" a="1"/>
  <c r="P194" i="2" a="1"/>
  <c r="P183" i="2" a="1"/>
  <c r="P184" i="2" a="1"/>
  <c r="P187" i="2" a="1"/>
  <c r="P188" i="2" a="1"/>
  <c r="P202" i="2" a="1"/>
  <c r="P195" i="2" a="1"/>
  <c r="P185" i="2" a="1"/>
  <c r="P213" i="2" a="1"/>
  <c r="P207" i="2" a="1"/>
  <c r="P210" i="2" a="1"/>
  <c r="P208" i="2" a="1"/>
  <c r="P209" i="2" a="1"/>
  <c r="P211" i="2" a="1"/>
  <c r="P212" i="2" a="1"/>
  <c r="P206" i="2" a="1"/>
  <c r="P214" i="2" a="1"/>
  <c r="P215" i="2" a="1"/>
  <c r="P216" i="2" a="1"/>
  <c r="P322" i="2" a="1"/>
  <c r="P221" i="2" a="1"/>
  <c r="P309" i="2" a="1"/>
  <c r="P327" i="2" a="1"/>
  <c r="P297" i="2" a="1"/>
  <c r="P328" i="2" a="1"/>
  <c r="P329" i="2" a="1"/>
  <c r="P330" i="2" a="1"/>
  <c r="P315" i="2" a="1"/>
  <c r="P238" i="2" a="1"/>
  <c r="P239" i="2" a="1"/>
  <c r="P331" i="2" a="1"/>
  <c r="P332" i="2" a="1"/>
  <c r="P333" i="2" a="1"/>
  <c r="P240" i="2" a="1"/>
  <c r="P334" i="2" a="1"/>
  <c r="P241" i="2" a="1"/>
  <c r="P335" i="2" a="1"/>
  <c r="P463" i="2" a="1"/>
  <c r="P227" i="2" a="1"/>
  <c r="P336" i="2" a="1"/>
  <c r="P337" i="2" a="1"/>
  <c r="P338" i="2" a="1"/>
  <c r="P219" i="2" a="1"/>
  <c r="P339" i="2" a="1"/>
  <c r="P340" i="2" a="1"/>
  <c r="P223" i="2" a="1"/>
  <c r="P341" i="2" a="1"/>
  <c r="P342" i="2" a="1"/>
  <c r="P343" i="2" a="1"/>
  <c r="P344" i="2" a="1"/>
  <c r="P242" i="2" a="1"/>
  <c r="P320" i="2" a="1"/>
  <c r="P345" i="2" a="1"/>
  <c r="P346" i="2" a="1"/>
  <c r="P347" i="2" a="1"/>
  <c r="P348" i="2" a="1"/>
  <c r="P349" i="2" a="1"/>
  <c r="P464" i="2" a="1"/>
  <c r="P350" i="2" a="1"/>
  <c r="P351" i="2" a="1"/>
  <c r="P352" i="2" a="1"/>
  <c r="P353" i="2" a="1"/>
  <c r="P311" i="2" a="1"/>
  <c r="P354" i="2" a="1"/>
  <c r="P243" i="2" a="1"/>
  <c r="P462" i="2" a="1"/>
  <c r="P244" i="2" a="1"/>
  <c r="P355" i="2" a="1"/>
  <c r="P356" i="2" a="1"/>
  <c r="P235" i="2" a="1"/>
  <c r="P237" i="2" a="1"/>
  <c r="P357" i="2" a="1"/>
  <c r="P358" i="2" a="1"/>
  <c r="P359" i="2" a="1"/>
  <c r="P305" i="2" a="1"/>
  <c r="P360" i="2" a="1"/>
  <c r="P316" i="2" a="1"/>
  <c r="P361" i="2" a="1"/>
  <c r="P222" i="2" a="1"/>
  <c r="P220" i="2" a="1"/>
  <c r="P362" i="2" a="1"/>
  <c r="P302" i="2" a="1"/>
  <c r="P363" i="2" a="1"/>
  <c r="P364" i="2" a="1"/>
  <c r="P365" i="2" a="1"/>
  <c r="P366" i="2" a="1"/>
  <c r="P367" i="2" a="1"/>
  <c r="P326" i="2" a="1"/>
  <c r="P368" i="2" a="1"/>
  <c r="P369" i="2" a="1"/>
  <c r="P228" i="2" a="1"/>
  <c r="P245" i="2" a="1"/>
  <c r="P370" i="2" a="1"/>
  <c r="P371" i="2" a="1"/>
  <c r="P372" i="2" a="1"/>
  <c r="P246" i="2" a="1"/>
  <c r="P373" i="2" a="1"/>
  <c r="P465" i="2" a="1"/>
  <c r="P374" i="2" a="1"/>
  <c r="P375" i="2" a="1"/>
  <c r="P376" i="2" a="1"/>
  <c r="P377" i="2" a="1"/>
  <c r="P247" i="2" a="1"/>
  <c r="P378" i="2" a="1"/>
  <c r="P226" i="2" a="1"/>
  <c r="P379" i="2" a="1"/>
  <c r="P380" i="2" a="1"/>
  <c r="P381" i="2" a="1"/>
  <c r="P382" i="2" a="1"/>
  <c r="P383" i="2" a="1"/>
  <c r="P384" i="2" a="1"/>
  <c r="P248" i="2" a="1"/>
  <c r="P385" i="2" a="1"/>
  <c r="P386" i="2" a="1"/>
  <c r="P387" i="2" a="1"/>
  <c r="P388" i="2" a="1"/>
  <c r="P225" i="2" a="1"/>
  <c r="P229" i="2" a="1"/>
  <c r="P389" i="2" a="1"/>
  <c r="P234" i="2" a="1"/>
  <c r="P300" i="2" a="1"/>
  <c r="P390" i="2" a="1"/>
  <c r="P391" i="2" a="1"/>
  <c r="P392" i="2" a="1"/>
  <c r="P249" i="2" a="1"/>
  <c r="P393" i="2" a="1"/>
  <c r="P394" i="2" a="1"/>
  <c r="P395" i="2" a="1"/>
  <c r="P224" i="2" a="1"/>
  <c r="P250" i="2" a="1"/>
  <c r="P396" i="2" a="1"/>
  <c r="P299" i="2" a="1"/>
  <c r="P304" i="2" a="1"/>
  <c r="P397" i="2" a="1"/>
  <c r="P398" i="2" a="1"/>
  <c r="P251" i="2" a="1"/>
  <c r="P461" i="2" a="1"/>
  <c r="P399" i="2" a="1"/>
  <c r="P252" i="2" a="1"/>
  <c r="P400" i="2" a="1"/>
  <c r="P401" i="2" a="1"/>
  <c r="P324" i="2" a="1"/>
  <c r="P253" i="2" a="1"/>
  <c r="P254" i="2" a="1"/>
  <c r="P402" i="2" a="1"/>
  <c r="P403" i="2" a="1"/>
  <c r="P404" i="2" a="1"/>
  <c r="P405" i="2" a="1"/>
  <c r="P317" i="2" a="1"/>
  <c r="P406" i="2" a="1"/>
  <c r="P407" i="2" a="1"/>
  <c r="P408" i="2" a="1"/>
  <c r="P409" i="2" a="1"/>
  <c r="P410" i="2" a="1"/>
  <c r="P411" i="2" a="1"/>
  <c r="P412" i="2" a="1"/>
  <c r="P319" i="2" a="1"/>
  <c r="P413" i="2" a="1"/>
  <c r="P414" i="2" a="1"/>
  <c r="P255" i="2" a="1"/>
  <c r="P256" i="2" a="1"/>
  <c r="P257" i="2" a="1"/>
  <c r="P415" i="2" a="1"/>
  <c r="P416" i="2" a="1"/>
  <c r="P258" i="2" a="1"/>
  <c r="P259" i="2" a="1"/>
  <c r="P260" i="2" a="1"/>
  <c r="P417" i="2" a="1"/>
  <c r="P418" i="2" a="1"/>
  <c r="P261" i="2" a="1"/>
  <c r="P419" i="2" a="1"/>
  <c r="P420" i="2" a="1"/>
  <c r="P421" i="2" a="1"/>
  <c r="P313" i="2" a="1"/>
  <c r="P422" i="2" a="1"/>
  <c r="P262" i="2" a="1"/>
  <c r="P263" i="2" a="1"/>
  <c r="P264" i="2" a="1"/>
  <c r="P312" i="2" a="1"/>
  <c r="P423" i="2" a="1"/>
  <c r="P424" i="2" a="1"/>
  <c r="P325" i="2" a="1"/>
  <c r="P425" i="2" a="1"/>
  <c r="P314" i="2" a="1"/>
  <c r="P426" i="2" a="1"/>
  <c r="P265" i="2" a="1"/>
  <c r="P427" i="2" a="1"/>
  <c r="P428" i="2" a="1"/>
  <c r="P429" i="2" a="1"/>
  <c r="P430" i="2" a="1"/>
  <c r="P431" i="2" a="1"/>
  <c r="P266" i="2" a="1"/>
  <c r="P301" i="2" a="1"/>
  <c r="P432" i="2" a="1"/>
  <c r="P306" i="2" a="1"/>
  <c r="P267" i="2" a="1"/>
  <c r="P433" i="2" a="1"/>
  <c r="P434" i="2" a="1"/>
  <c r="P268" i="2" a="1"/>
  <c r="P435" i="2" a="1"/>
  <c r="P436" i="2" a="1"/>
  <c r="P321" i="2" a="1"/>
  <c r="P437" i="2" a="1"/>
  <c r="P438" i="2" a="1"/>
  <c r="P307" i="2" a="1"/>
  <c r="P439" i="2" a="1"/>
  <c r="P269" i="2" a="1"/>
  <c r="P440" i="2" a="1"/>
  <c r="P441" i="2" a="1"/>
  <c r="P442" i="2" a="1"/>
  <c r="P270" i="2" a="1"/>
  <c r="P271" i="2" a="1"/>
  <c r="P272" i="2" a="1"/>
  <c r="P443" i="2" a="1"/>
  <c r="P273" i="2" a="1"/>
  <c r="P444" i="2" a="1"/>
  <c r="P466" i="2" a="1"/>
  <c r="P274" i="2" a="1"/>
  <c r="P275" i="2" a="1"/>
  <c r="P276" i="2" a="1"/>
  <c r="P277" i="2" a="1"/>
  <c r="P233" i="2" a="1"/>
  <c r="P278" i="2" a="1"/>
  <c r="P230" i="2" a="1"/>
  <c r="P445" i="2" a="1"/>
  <c r="P446" i="2" a="1"/>
  <c r="P459" i="2" a="1"/>
  <c r="P279" i="2" a="1"/>
  <c r="P280" i="2" a="1"/>
  <c r="P281" i="2" a="1"/>
  <c r="P308" i="2" a="1"/>
  <c r="P236" i="2" a="1"/>
  <c r="P447" i="2" a="1"/>
  <c r="P282" i="2" a="1"/>
  <c r="P448" i="2" a="1"/>
  <c r="P449" i="2" a="1"/>
  <c r="P283" i="2" a="1"/>
  <c r="P284" i="2" a="1"/>
  <c r="P318" i="2" a="1"/>
  <c r="P450" i="2" a="1"/>
  <c r="P285" i="2" a="1"/>
  <c r="P451" i="2" a="1"/>
  <c r="P286" i="2" a="1"/>
  <c r="P467" i="2" a="1"/>
  <c r="P287" i="2" a="1"/>
  <c r="P323" i="2" a="1"/>
  <c r="P288" i="2" a="1"/>
  <c r="P460" i="2" a="1"/>
  <c r="P289" i="2" a="1"/>
  <c r="P290" i="2" a="1"/>
  <c r="P452" i="2" a="1"/>
  <c r="P303" i="2" a="1"/>
  <c r="P453" i="2" a="1"/>
  <c r="P291" i="2" a="1"/>
  <c r="P292" i="2" a="1"/>
  <c r="P454" i="2" a="1"/>
  <c r="P298" i="2" a="1"/>
  <c r="P293" i="2" a="1"/>
  <c r="P294" i="2" a="1"/>
  <c r="P295" i="2" a="1"/>
  <c r="P455" i="2" a="1"/>
  <c r="P296" i="2" a="1"/>
  <c r="P456" i="2" a="1"/>
  <c r="P231" i="2" a="1"/>
  <c r="P457" i="2" a="1"/>
  <c r="P458" i="2" a="1"/>
  <c r="P232" i="2" a="1"/>
  <c r="P310" i="2" a="1"/>
  <c r="P218" i="2" a="1"/>
  <c r="A310" i="2"/>
  <c r="A218" i="2"/>
  <c r="A102" i="2"/>
  <c r="A52" i="2"/>
  <c r="A457" i="2"/>
  <c r="A296" i="2"/>
  <c r="A295" i="2"/>
  <c r="A293" i="2"/>
  <c r="A298" i="2"/>
  <c r="A291" i="2"/>
  <c r="A289" i="2"/>
  <c r="A290" i="2"/>
  <c r="A452" i="2"/>
  <c r="A288" i="2"/>
  <c r="A283" i="2"/>
  <c r="A447" i="2"/>
  <c r="A280" i="2"/>
  <c r="A281" i="2"/>
  <c r="A308" i="2"/>
  <c r="A459" i="2"/>
  <c r="A278" i="2"/>
  <c r="A466" i="2"/>
  <c r="A274" i="2"/>
  <c r="A270" i="2"/>
  <c r="A266" i="2"/>
  <c r="A301" i="2"/>
  <c r="A427" i="2"/>
  <c r="A428" i="2"/>
  <c r="A262" i="2"/>
  <c r="A263" i="2"/>
  <c r="A260" i="2"/>
  <c r="A417" i="2"/>
  <c r="A418" i="2"/>
  <c r="A414" i="2"/>
  <c r="A412" i="2"/>
  <c r="A407" i="2"/>
  <c r="A408" i="2"/>
  <c r="A403" i="2"/>
  <c r="A253" i="2"/>
  <c r="A252" i="2"/>
  <c r="A397" i="2"/>
  <c r="A394" i="2"/>
  <c r="A395" i="2"/>
  <c r="A300" i="2"/>
  <c r="A390" i="2"/>
  <c r="A391" i="2"/>
  <c r="A248" i="2"/>
  <c r="A385" i="2"/>
  <c r="A247" i="2"/>
  <c r="A378" i="2"/>
  <c r="A465" i="2"/>
  <c r="A374" i="2"/>
  <c r="A375" i="2"/>
  <c r="A376" i="2"/>
  <c r="A245" i="2"/>
  <c r="A370" i="2"/>
  <c r="A364" i="2"/>
  <c r="A365" i="2"/>
  <c r="A366" i="2"/>
  <c r="A367" i="2"/>
  <c r="A326" i="2"/>
  <c r="A222" i="2"/>
  <c r="A220" i="2"/>
  <c r="A357" i="2"/>
  <c r="A243" i="2"/>
  <c r="A462" i="2"/>
  <c r="A351" i="2"/>
  <c r="A352" i="2"/>
  <c r="A464" i="2"/>
  <c r="A346" i="2"/>
  <c r="A242" i="2"/>
  <c r="A223" i="2"/>
  <c r="A341" i="2"/>
  <c r="A339" i="2"/>
  <c r="A338" i="2"/>
  <c r="A337" i="2"/>
  <c r="A335" i="2"/>
  <c r="A463" i="2"/>
  <c r="A334" i="2"/>
  <c r="A240" i="2"/>
  <c r="A239" i="2"/>
  <c r="A297" i="2"/>
  <c r="A80" i="2"/>
  <c r="A118" i="2"/>
  <c r="A185" i="2"/>
  <c r="A309" i="2"/>
  <c r="A202" i="2"/>
  <c r="A152" i="2"/>
  <c r="A132" i="2"/>
  <c r="A221" i="2"/>
  <c r="A195" i="2"/>
  <c r="A76" i="2"/>
  <c r="A392" i="2"/>
  <c r="A287" i="2"/>
  <c r="A275" i="2"/>
  <c r="A261" i="2"/>
  <c r="A419" i="2"/>
  <c r="A409" i="2"/>
  <c r="A254" i="2"/>
  <c r="A398" i="2"/>
  <c r="A249" i="2"/>
  <c r="A226" i="2"/>
  <c r="A377" i="2"/>
  <c r="A328" i="2"/>
  <c r="A164" i="2"/>
  <c r="A150" i="2"/>
  <c r="A387" i="2"/>
  <c r="A353" i="2"/>
  <c r="A331" i="2"/>
  <c r="A294" i="2"/>
  <c r="A276" i="2"/>
  <c r="A444" i="2"/>
  <c r="A437" i="2"/>
  <c r="A420" i="2"/>
  <c r="A255" i="2"/>
  <c r="A319" i="2"/>
  <c r="A410" i="2"/>
  <c r="A404" i="2"/>
  <c r="A400" i="2"/>
  <c r="A386" i="2"/>
  <c r="A379" i="2"/>
  <c r="A244" i="2"/>
  <c r="A350" i="2"/>
  <c r="A347" i="2"/>
  <c r="A284" i="2"/>
  <c r="A429" i="2"/>
  <c r="A256" i="2"/>
  <c r="A311" i="2"/>
  <c r="A354" i="2"/>
  <c r="A320" i="2"/>
  <c r="A230" i="2"/>
  <c r="A264" i="2"/>
  <c r="A421" i="2"/>
  <c r="A257" i="2"/>
  <c r="A402" i="2"/>
  <c r="A251" i="2"/>
  <c r="A388" i="2"/>
  <c r="A368" i="2"/>
  <c r="A332" i="2"/>
  <c r="A455" i="2"/>
  <c r="A454" i="2"/>
  <c r="A460" i="2"/>
  <c r="A318" i="2"/>
  <c r="A282" i="2"/>
  <c r="A279" i="2"/>
  <c r="A445" i="2"/>
  <c r="A271" i="2"/>
  <c r="A307" i="2"/>
  <c r="A432" i="2"/>
  <c r="A430" i="2"/>
  <c r="A312" i="2"/>
  <c r="A423" i="2"/>
  <c r="A461" i="2"/>
  <c r="A224" i="2"/>
  <c r="A250" i="2"/>
  <c r="A225" i="2"/>
  <c r="A229" i="2"/>
  <c r="A389" i="2"/>
  <c r="A369" i="2"/>
  <c r="A358" i="2"/>
  <c r="A359" i="2"/>
  <c r="A348" i="2"/>
  <c r="A231" i="2"/>
  <c r="A285" i="2"/>
  <c r="A277" i="2"/>
  <c r="A233" i="2"/>
  <c r="A306" i="2"/>
  <c r="A431" i="2"/>
  <c r="A424" i="2"/>
  <c r="A325" i="2"/>
  <c r="A415" i="2"/>
  <c r="A416" i="2"/>
  <c r="A411" i="2"/>
  <c r="A396" i="2"/>
  <c r="A393" i="2"/>
  <c r="A380" i="2"/>
  <c r="A371" i="2"/>
  <c r="A372" i="2"/>
  <c r="A340" i="2"/>
  <c r="A303" i="2"/>
  <c r="A448" i="2"/>
  <c r="A446" i="2"/>
  <c r="A439" i="2"/>
  <c r="A321" i="2"/>
  <c r="A258" i="2"/>
  <c r="A399" i="2"/>
  <c r="A362" i="2"/>
  <c r="A458" i="2"/>
  <c r="A232" i="2"/>
  <c r="A456" i="2"/>
  <c r="A292" i="2"/>
  <c r="A453" i="2"/>
  <c r="A323" i="2"/>
  <c r="A451" i="2"/>
  <c r="A286" i="2"/>
  <c r="A467" i="2"/>
  <c r="A450" i="2"/>
  <c r="A449" i="2"/>
  <c r="A236" i="2"/>
  <c r="A273" i="2"/>
  <c r="A272" i="2"/>
  <c r="A443" i="2"/>
  <c r="A269" i="2"/>
  <c r="A440" i="2"/>
  <c r="A441" i="2"/>
  <c r="A442" i="2"/>
  <c r="A438" i="2"/>
  <c r="A434" i="2"/>
  <c r="A268" i="2"/>
  <c r="A435" i="2"/>
  <c r="A436" i="2"/>
  <c r="A267" i="2"/>
  <c r="A433" i="2"/>
  <c r="A425" i="2"/>
  <c r="A314" i="2"/>
  <c r="A426" i="2"/>
  <c r="A265" i="2"/>
  <c r="A313" i="2"/>
  <c r="A422" i="2"/>
  <c r="A259" i="2"/>
  <c r="A413" i="2"/>
  <c r="A405" i="2"/>
  <c r="A317" i="2"/>
  <c r="A406" i="2"/>
  <c r="A401" i="2"/>
  <c r="A324" i="2"/>
  <c r="A299" i="2"/>
  <c r="A304" i="2"/>
  <c r="A234" i="2"/>
  <c r="A381" i="2"/>
  <c r="A382" i="2"/>
  <c r="A383" i="2"/>
  <c r="A384" i="2"/>
  <c r="A246" i="2"/>
  <c r="A373" i="2"/>
  <c r="A228" i="2"/>
  <c r="A302" i="2"/>
  <c r="A363" i="2"/>
  <c r="A305" i="2"/>
  <c r="A360" i="2"/>
  <c r="A316" i="2"/>
  <c r="A361" i="2"/>
  <c r="A355" i="2"/>
  <c r="A356" i="2"/>
  <c r="A235" i="2"/>
  <c r="A237" i="2"/>
  <c r="A349" i="2"/>
  <c r="A345" i="2"/>
  <c r="A344" i="2"/>
  <c r="A343" i="2"/>
  <c r="A342" i="2"/>
  <c r="A219" i="2"/>
  <c r="A336" i="2"/>
  <c r="A227" i="2"/>
  <c r="A241" i="2"/>
  <c r="A333" i="2"/>
  <c r="A329" i="2"/>
  <c r="A330" i="2"/>
  <c r="A315" i="2"/>
  <c r="A238" i="2"/>
  <c r="A327" i="2"/>
  <c r="A41" i="2"/>
  <c r="S8" i="2" a="1"/>
  <c r="U8" i="2"/>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 i="5"/>
  <c r="A21" i="2"/>
  <c r="A89" i="2"/>
  <c r="A127" i="2"/>
  <c r="A163" i="2"/>
  <c r="A25" i="2"/>
  <c r="P8" i="2" a="1"/>
  <c r="A40" i="2"/>
  <c r="A4" i="2"/>
  <c r="A49" i="2"/>
  <c r="A8" i="2"/>
  <c r="A6" i="2"/>
  <c r="A2" i="2"/>
  <c r="A11" i="2"/>
  <c r="A12" i="2"/>
  <c r="A19" i="2"/>
  <c r="A14" i="2"/>
  <c r="A17" i="2"/>
  <c r="A22" i="2"/>
  <c r="A15" i="2"/>
  <c r="A23" i="2"/>
  <c r="A16" i="2"/>
  <c r="A28" i="2"/>
  <c r="A45" i="2"/>
  <c r="A47" i="2"/>
  <c r="A57" i="2"/>
  <c r="A44" i="2"/>
  <c r="A51" i="2"/>
  <c r="A53" i="2"/>
  <c r="A54" i="2"/>
  <c r="A35" i="2"/>
  <c r="A29" i="2"/>
  <c r="A37" i="2"/>
  <c r="A46" i="2"/>
  <c r="A30" i="2"/>
  <c r="A36" i="2"/>
  <c r="A43" i="2"/>
  <c r="A31" i="2"/>
  <c r="A56" i="2"/>
  <c r="A48" i="2"/>
  <c r="A26" i="2"/>
  <c r="A32" i="2"/>
  <c r="A13" i="2"/>
  <c r="A27" i="2"/>
  <c r="A33" i="2"/>
  <c r="A58" i="2"/>
  <c r="A34" i="2"/>
  <c r="A50" i="2"/>
  <c r="A96" i="2"/>
  <c r="A62" i="2"/>
  <c r="A97" i="2"/>
  <c r="A86" i="2"/>
  <c r="A59" i="2"/>
  <c r="A63" i="2"/>
  <c r="A78" i="2"/>
  <c r="A75" i="2"/>
  <c r="A74" i="2"/>
  <c r="A82" i="2"/>
  <c r="A61" i="2"/>
  <c r="A73" i="2"/>
  <c r="A99" i="2"/>
  <c r="A84" i="2"/>
  <c r="A88" i="2"/>
  <c r="A91" i="2"/>
  <c r="A85" i="2"/>
  <c r="A101" i="2"/>
  <c r="A87" i="2"/>
  <c r="A64" i="2"/>
  <c r="A77" i="2"/>
  <c r="A60" i="2"/>
  <c r="A98" i="2"/>
  <c r="A81" i="2"/>
  <c r="A68" i="2"/>
  <c r="A100" i="2"/>
  <c r="A69" i="2"/>
  <c r="A70" i="2"/>
  <c r="A71" i="2"/>
  <c r="A65" i="2"/>
  <c r="A66" i="2"/>
  <c r="A92" i="2"/>
  <c r="A94" i="2"/>
  <c r="A72" i="2"/>
  <c r="A93" i="2"/>
  <c r="A67" i="2"/>
  <c r="A134" i="2"/>
  <c r="A137" i="2"/>
  <c r="A133" i="2"/>
  <c r="A120" i="2"/>
  <c r="A112" i="2"/>
  <c r="A103" i="2"/>
  <c r="A123" i="2"/>
  <c r="A113" i="2"/>
  <c r="A55" i="2"/>
  <c r="A110" i="2"/>
  <c r="A114" i="2"/>
  <c r="A122" i="2"/>
  <c r="A104" i="2"/>
  <c r="A128" i="2"/>
  <c r="A124" i="2"/>
  <c r="A116" i="2"/>
  <c r="A106" i="2"/>
  <c r="A121" i="2"/>
  <c r="A119" i="2"/>
  <c r="A111" i="2"/>
  <c r="A131" i="2"/>
  <c r="A138" i="2"/>
  <c r="A115" i="2"/>
  <c r="A20" i="2"/>
  <c r="A90" i="2"/>
  <c r="A117" i="2"/>
  <c r="A135" i="2"/>
  <c r="A108" i="2"/>
  <c r="A139" i="2"/>
  <c r="A130" i="2"/>
  <c r="A322" i="2"/>
  <c r="A105" i="2"/>
  <c r="A109" i="2"/>
  <c r="A129" i="2"/>
  <c r="A148" i="2"/>
  <c r="A145" i="2"/>
  <c r="A174" i="2"/>
  <c r="A165" i="2"/>
  <c r="A149" i="2"/>
  <c r="A151" i="2"/>
  <c r="A155" i="2"/>
  <c r="A153" i="2"/>
  <c r="A160" i="2"/>
  <c r="A157" i="2"/>
  <c r="A167" i="2"/>
  <c r="A143" i="2"/>
  <c r="A162" i="2"/>
  <c r="A159" i="2"/>
  <c r="A161" i="2"/>
  <c r="A136" i="2"/>
  <c r="A142" i="2"/>
  <c r="A168" i="2"/>
  <c r="A146" i="2"/>
  <c r="A175" i="2"/>
  <c r="A169" i="2"/>
  <c r="A154" i="2"/>
  <c r="A170" i="2"/>
  <c r="A147" i="2"/>
  <c r="A171" i="2"/>
  <c r="A172" i="2"/>
  <c r="A176" i="2"/>
  <c r="A177" i="2"/>
  <c r="A173" i="2"/>
  <c r="A140" i="2"/>
  <c r="A141" i="2"/>
  <c r="A144" i="2"/>
  <c r="A178" i="2"/>
  <c r="A189" i="2"/>
  <c r="A190" i="2"/>
  <c r="A196" i="2"/>
  <c r="A179" i="2"/>
  <c r="A181" i="2"/>
  <c r="A182" i="2"/>
  <c r="A204" i="2"/>
  <c r="A191" i="2"/>
  <c r="A197" i="2"/>
  <c r="A198" i="2"/>
  <c r="A199" i="2"/>
  <c r="A200" i="2"/>
  <c r="A186" i="2"/>
  <c r="A205" i="2"/>
  <c r="A203" i="2"/>
  <c r="A201" i="2"/>
  <c r="A192" i="2"/>
  <c r="A38" i="2"/>
  <c r="A193" i="2"/>
  <c r="A217" i="2"/>
  <c r="A194" i="2"/>
  <c r="A183" i="2"/>
  <c r="A184" i="2"/>
  <c r="A187" i="2"/>
  <c r="A188" i="2"/>
  <c r="A213" i="2"/>
  <c r="A207" i="2"/>
  <c r="A210" i="2"/>
  <c r="A208" i="2"/>
  <c r="A209" i="2"/>
  <c r="A211" i="2"/>
  <c r="A79" i="2"/>
  <c r="A212" i="2"/>
  <c r="A206" i="2"/>
  <c r="A214" i="2"/>
  <c r="A215" i="2"/>
  <c r="A216" i="2"/>
  <c r="A83" i="2"/>
  <c r="A95" i="2"/>
  <c r="A126" i="2"/>
  <c r="A156" i="2"/>
  <c r="A18" i="2"/>
  <c r="A125" i="2"/>
  <c r="A166" i="2"/>
  <c r="A158" i="2"/>
  <c r="A42" i="2"/>
  <c r="A39" i="2"/>
  <c r="A24" i="2"/>
  <c r="A180" i="2"/>
  <c r="A10" i="2"/>
  <c r="A107" i="2"/>
  <c r="A3" i="2"/>
  <c r="A9" i="2"/>
  <c r="A7" i="2"/>
  <c r="A5" i="2"/>
  <c r="E9" i="6"/>
  <c r="E10" i="6"/>
  <c r="E11" i="6"/>
  <c r="E12" i="6"/>
  <c r="E13" i="6"/>
  <c r="E14" i="6"/>
  <c r="E15" i="6"/>
  <c r="E16" i="6"/>
  <c r="E17" i="6"/>
  <c r="E8" i="6"/>
  <c r="E2" i="6"/>
  <c r="E3" i="6"/>
  <c r="E4" i="6"/>
  <c r="E5" i="6"/>
  <c r="E6" i="6"/>
  <c r="E1"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<sst xmlns="http://schemas.openxmlformats.org/spreadsheetml/2006/main" count="6499" uniqueCount="2519">
  <si>
    <t>https://www.pornhub.com/view_video.php?viewkey=ph5db33702d8ca6</t>
  </si>
  <si>
    <t>https://www.pornhub.com/view_video.php?viewkey=ph5c8abc4759f56</t>
  </si>
  <si>
    <t>https://www.pornhub.com/view_video.php?viewkey=ph594a57c3b95f0</t>
  </si>
  <si>
    <t>https://heavyfetish.com/videos/11455/dungeoncorp-sabrina-banks-introducing-his-demons-3/</t>
  </si>
  <si>
    <t>https://heavyfetish.com/videos/3425/dungeoncorp-helplessness/</t>
  </si>
  <si>
    <t>https://heavyfetish.com/videos/10706/dungeoncorp-l-a-noir-3/</t>
  </si>
  <si>
    <t>https://spankbang.party/4jmnt/video/whore+bdsm</t>
  </si>
  <si>
    <t>https://spankbang.com/73cu4/video/riley+reid+and+melissa+moore+hot+stepsisters</t>
  </si>
  <si>
    <t>https://heavyfetish.com/videos/2325/wired-pussy-annabelle-lee/</t>
  </si>
  <si>
    <t>https://heavyfetish.com/videos/6711/device-bondage-claire-adams-tricia-oaks/</t>
  </si>
  <si>
    <t>https://heavyfetish.com/videos/6660/device-bondage-amber-rayne3/</t>
  </si>
  <si>
    <t>https://heavyfetish.com/videos/6476/infernal-restraints-sister-dee-the-fly/</t>
  </si>
  <si>
    <t>https://heavyfetish.com/videos/6128/hogtied-yhivi/</t>
  </si>
  <si>
    <t>https://bdsmstreak.com/video/48920/hazel-hypnotic-part-4</t>
  </si>
  <si>
    <t>https://bdsmstreak.com/video/23089/ash-and-allie</t>
  </si>
  <si>
    <t>https://bdsmstreak.com/video/24386/cheerleader-and-dominant-brunette</t>
  </si>
  <si>
    <t>https://heavyfetish.com/videos/6104/hogtied-abella-danger-masochistic-pain-slut/</t>
  </si>
  <si>
    <t>https://heavyfetish.com/videos/3264/sex-and-submission-joslyn-james-ki-chodai/</t>
  </si>
  <si>
    <t>https://heavyfetish.com/videos/6060/device-bondage-cherry-torn/</t>
  </si>
  <si>
    <t>https://bdsmstreak.com/video/36646/20010110-tyler-scot-insex</t>
  </si>
  <si>
    <t>https://bdsmstreak.com/video/78890/wenona-jessie-cox-and-isis-love-part-1-of-4-of-the-march-live-show</t>
  </si>
  <si>
    <t>https://bdsmvilla.com/video/57349/roses-are-red</t>
  </si>
  <si>
    <t>https://bdsmvilla.com/video/57429/device-bondage</t>
  </si>
  <si>
    <t>https://bdsmvilla.com/video/57392/queen-snake-splits</t>
  </si>
  <si>
    <t>https://heavyfetish.com/videos/6121/hogtied-charlotte-cross-2/</t>
  </si>
  <si>
    <t>https://heavyfetish.com/videos/6039/hogtied-kendra-james/</t>
  </si>
  <si>
    <t>https://bdsmstreak.com/video/30350/calico-lane-ice-pony-outdoors</t>
  </si>
  <si>
    <t>https://bdsmvilla.com/video/37545/lorelei-lee-dominating-remy-lacroix</t>
  </si>
  <si>
    <t>https://anyporn.com/332706/</t>
  </si>
  <si>
    <t>https://hcbdsm.com/video/sensi-pearl-on-wiredpussy-4323.html</t>
  </si>
  <si>
    <t>https://www.pornhub.com/view_video.php?viewkey=ph5c38abe2b6289</t>
  </si>
  <si>
    <t>https://spankbang.com/40xut/video/lesbian+mistress+bondage</t>
  </si>
  <si>
    <t>https://bdsmstreak.com/video/33432/lauren-phillips-and-ashley-lane-used-brutally-in-dungeon</t>
  </si>
  <si>
    <t>https://bdsmstreak.com/video/38493/sensi-pearl-in-devicebondage</t>
  </si>
  <si>
    <t>https://heavyfetish.com/videos/4452/hardtied-cherie-deville-deception/</t>
  </si>
  <si>
    <t>https://bdsmstreak.com/video/40784/wenona-gets-it-hard-once-again</t>
  </si>
  <si>
    <t>https://heavyfetish.com/videos/5214/insex-ridin-live-feed-from-july-wenona-az/</t>
  </si>
  <si>
    <t>https://heavyfetish.com/videos/4329/hardtied-wenona-glass-injection/</t>
  </si>
  <si>
    <t>https://bdsmvilla.com/video/34184/holly-michaels-suspension-and-domination</t>
  </si>
  <si>
    <t>https://bdsmvilla.com/video/32839/shocking-her-holes</t>
  </si>
  <si>
    <t>https://bdsmvilla.com/video/59525/cheyenne-jewel-punished-with-unwilling-orgasms-and-mean-metal-bondage</t>
  </si>
  <si>
    <t>https://bdsmvilla.com/video/56824</t>
  </si>
  <si>
    <t>https://bdsmvilla.com/video/63317</t>
  </si>
  <si>
    <t>https://bdsmvilla.com/video/56618/newcomer-loses-her-innocence</t>
  </si>
  <si>
    <t>https://bdsmvilla.com/video/63471/journalist-ash-hollywood-learns-what-is-means-to-be-nonbiased-through-electro-motivation</t>
  </si>
  <si>
    <t>https://bdsmvilla.com/video/58177/kelly-divine-stretched-fucked-flogged-and-squirting-everywhere-rosebud-exposed</t>
  </si>
  <si>
    <t>https://heavyfetish.com/videos/5377/insex-burning-bush-313/</t>
  </si>
  <si>
    <t>https://bdsmvilla.com/video/58028/electric-body-used-to-power-a-light-bulb-and-butt-plug</t>
  </si>
  <si>
    <t>https://bdsmstreak.com/video/86665/infernal-restraints-keira-croft-spa-day</t>
  </si>
  <si>
    <t>https://bdsmstreak.com/video/72017/welcome-mz-berlin-to-divine-bitches</t>
  </si>
  <si>
    <t>https://bdsmstreak.com/video/71809/two-beautiful-cock-sluts-entertain-the-sunday-brunch-crowd</t>
  </si>
  <si>
    <t>https://bdsmstreak.com/video/61034/piper-perri-gets-it-rough</t>
  </si>
  <si>
    <t>http://punishworld.com/63164-mediaval-chambers/</t>
  </si>
  <si>
    <t>https://bdsmvilla.com/video/62480/wild-anal-seductress</t>
  </si>
  <si>
    <t>https://heavyfetish.com/videos/24728/thetrainingofo-daisy-ducati-2/</t>
  </si>
  <si>
    <t>https://heavyfetish.com/videos/13011/queensnake-trampling-holly-qs-holly/</t>
  </si>
  <si>
    <t>https://tube.perverzija.com/studio/kink/</t>
  </si>
  <si>
    <t>https://bdsmstreak.com/video/74080/oops-she-did-it-again-prostate-milking</t>
  </si>
  <si>
    <t>main_link</t>
  </si>
  <si>
    <t>website</t>
  </si>
  <si>
    <t>duration</t>
  </si>
  <si>
    <t>studio</t>
  </si>
  <si>
    <t>language</t>
  </si>
  <si>
    <t>core_cat</t>
  </si>
  <si>
    <t>link</t>
  </si>
  <si>
    <t>english</t>
  </si>
  <si>
    <t>general_tags</t>
  </si>
  <si>
    <t>rate</t>
  </si>
  <si>
    <t>lesbian</t>
  </si>
  <si>
    <t>bdsm-soft-maledom</t>
  </si>
  <si>
    <t>bdsm-hard-maledom</t>
  </si>
  <si>
    <t>bdsm-hard-lesdom</t>
  </si>
  <si>
    <t>ass up face down</t>
  </si>
  <si>
    <t>doggy</t>
  </si>
  <si>
    <t>insex</t>
  </si>
  <si>
    <t>nose insertion at 17m,stand over electric rod at 28m</t>
  </si>
  <si>
    <t>blindfold at 12m,inverted nipple clamps at 39m</t>
  </si>
  <si>
    <t>piper perri</t>
  </si>
  <si>
    <t>hazel hypnotic</t>
  </si>
  <si>
    <t>lay down</t>
  </si>
  <si>
    <t>mz berlin</t>
  </si>
  <si>
    <t>bdsm-hard-femdom</t>
  </si>
  <si>
    <t>heavy ball drag at 40m,electric glass butt plug at 51m</t>
  </si>
  <si>
    <t>https://www.pornhits.com/video/26315/brat-princess-cuckoldress-with-chastity-lynn/</t>
  </si>
  <si>
    <t>chastity lynn</t>
  </si>
  <si>
    <t>wenona</t>
  </si>
  <si>
    <t>suspended split</t>
  </si>
  <si>
    <t>https://bdsmstreak.com/video/44559/nikki-darling-in-public-disgrace</t>
  </si>
  <si>
    <t>lay below suspended split at 23m,mouth held in pussy at 28m,after suction the nipple clamps are again applied with a string to stretch them at 42m</t>
  </si>
  <si>
    <t>nikki darling</t>
  </si>
  <si>
    <t>https://heavyfetish.com/videos/4201/queensnake-scorched-jessica/</t>
  </si>
  <si>
    <t>https://heavyfetish.com/videos/2807/infernal-restraints-curious-elise-bonus/</t>
  </si>
  <si>
    <t>https://heavyfetish.com/videos/12957/queensnake-long-march-jessica-jessica-tanita/</t>
  </si>
  <si>
    <t>queensnake</t>
  </si>
  <si>
    <t>spread eagle</t>
  </si>
  <si>
    <t>cigg burns on pantyhose to burn it off</t>
  </si>
  <si>
    <t>spanish</t>
  </si>
  <si>
    <t>infernal restraints</t>
  </si>
  <si>
    <t>elise graves</t>
  </si>
  <si>
    <t>tied to bed</t>
  </si>
  <si>
    <t>head in toilet at 23m,inverted ass fuck at 31m,double 619 at 40m,locked bj with leash at 44m</t>
  </si>
  <si>
    <t>pick up and fuck at 35m,blindfold cunnilingus at 28m,pussy on pussy at 56m,ass to mouth and dick to ass at 1hr18m</t>
  </si>
  <si>
    <t>inflatable gag in pussy at 8m,manual vertical fucking machine at 24m,vertical showing pussy at 27m</t>
  </si>
  <si>
    <t>parking lot at 11m,picked up cunnilingus at 12m</t>
  </si>
  <si>
    <t>clothespin on dick with string at 13m,panty on face at 33m</t>
  </si>
  <si>
    <t>little amount of lube,cheering of the crowd,objectified</t>
  </si>
  <si>
    <t>bar club sex,blowjobs,rope harness</t>
  </si>
  <si>
    <t>tightrope</t>
  </si>
  <si>
    <t>candle crotch walk at 12m,hot sauce chain walk at 16m</t>
  </si>
  <si>
    <t>panty inside asshole at 9m,dildo on face for facing sitting at 43m</t>
  </si>
  <si>
    <t>https://heavyfetish.com/videos/15887/theenglishmansion-leather-mistress-milking/</t>
  </si>
  <si>
    <t>the english mansion</t>
  </si>
  <si>
    <t>leather mistress</t>
  </si>
  <si>
    <t>https://bdsmstreak.com/video/93787/petite-slut-serena-blair-punished-and-made-to-cum-in-metal-bondage</t>
  </si>
  <si>
    <t>https://heavyfetish.com/videos/1882/toilet-brush-cunt-scrubbing-with-queensnake-s-sexual-history-maybe-not-such-a-bad-idea/</t>
  </si>
  <si>
    <t>https://heavyfetish.com/videos/10191/device-bondage-isis-love-sensi-pearl/</t>
  </si>
  <si>
    <t>https://heavyfetish.com/videos/10195/device-bondage-isis-love-sensi-pearl-1/</t>
  </si>
  <si>
    <t>https://m.hqporner.com/hdporn/109717-no_mercy_under_heavy_submission.html</t>
  </si>
  <si>
    <t>https://m.hqporner.com/hdporn/110221-a_ruthless_work_environment.html</t>
  </si>
  <si>
    <t>https://m.hqporner.com/hdporn/111874-pain_does_get_her_going_further.html</t>
  </si>
  <si>
    <t>https://m.hqporner.com/hdporn/112039-behave_or_the_fist_goes_elbow_deep.html</t>
  </si>
  <si>
    <t>https://m.hqporner.com/hdporn/81716-squirt_alert_device_bondage.html</t>
  </si>
  <si>
    <t>https://spankbang.com/s/seviliyager/</t>
  </si>
  <si>
    <t>seviliyager</t>
  </si>
  <si>
    <t>solo-masturbation</t>
  </si>
  <si>
    <t>oiled up petite woman,solo on cam,hookah,ice on body,page link has several videos</t>
  </si>
  <si>
    <t>https://www.peekvids.com/v/fucking-wet-beer-festival-with-selvaggia-balls-petite-body-deep-anal-dap-gapes-pee-drink-swallow-gio953/jg8TS9EN00M</t>
  </si>
  <si>
    <t>https://txxx.com/videos/7804264/alex-and-jay-bondage-with-bonnie/</t>
  </si>
  <si>
    <t>https://heavyfetish.com/videos/86573/tall-blonde-amateur-gets-fucked-while-wearing-blackout-contact-lenses/</t>
  </si>
  <si>
    <t>https://bdsmstreak.com/video/53949/sasha-sparks-and-lacie-hart?jwsource=cl</t>
  </si>
  <si>
    <t>https://bdsmstreak.com/video/74984/melody-marks</t>
  </si>
  <si>
    <t>https://spankbang.com/9j37f/video/melody+marks+to+watch+a+predator</t>
  </si>
  <si>
    <t>https://heavyfetish.com/videos/9483/device-bondage-lily-2/</t>
  </si>
  <si>
    <t>https://curebdsm.com/stars/Lily%20LaBeau</t>
  </si>
  <si>
    <t>https://curebdsm.com/search?q=katie+kush</t>
  </si>
  <si>
    <t>https://heavyfetish.com/videos/11290/dungeoncorp-katie-kush-bondage-freak-1/</t>
  </si>
  <si>
    <t>https://www.tnaflix.com/anal-porn/Riley-Reid-Paige-Owens-Anal-Threesome/video6077551</t>
  </si>
  <si>
    <t>https://www.omg.xxx/videos/93789405/epic-anal-casey-calvert-dominates-tommy-king/</t>
  </si>
  <si>
    <t>https://pornxp.com/tags/InnocentHigh</t>
  </si>
  <si>
    <t>https://pornxp.com/videos/106369411584</t>
  </si>
  <si>
    <t>https://spankbang.com/5p9k8/video/rope+walk</t>
  </si>
  <si>
    <t>https://heavyfetish.com/videos/59166/zipped/</t>
  </si>
  <si>
    <t>dildo in mouth locked at 25</t>
  </si>
  <si>
    <t>donna dolore</t>
  </si>
  <si>
    <t>emily willis</t>
  </si>
  <si>
    <t>bangbros</t>
  </si>
  <si>
    <t>pick up and eat pussy at 1m, 619 at 1m,stand up fuck at 10m</t>
  </si>
  <si>
    <t>sabrina banks</t>
  </si>
  <si>
    <t>katie kush</t>
  </si>
  <si>
    <t>dungeon corp</t>
  </si>
  <si>
    <t>deepthroat while nipple sucking at 3m</t>
  </si>
  <si>
    <t>similar to the melody marks dungeon corp bdsm</t>
  </si>
  <si>
    <t>la noir</t>
  </si>
  <si>
    <t>floggin at 4m,biting back at 5m,anal hook at 17m</t>
  </si>
  <si>
    <t>nipples zipped at 1m,pussy zipped at 9m</t>
  </si>
  <si>
    <t>team skeet</t>
  </si>
  <si>
    <t>one leg up fucking at 18m,side fuck at 19m,inverted at 21m</t>
  </si>
  <si>
    <t>normal-rough-cis</t>
  </si>
  <si>
    <t>normal-sensual-cis</t>
  </si>
  <si>
    <t>bdsm</t>
  </si>
  <si>
    <t>soft</t>
  </si>
  <si>
    <t>hard</t>
  </si>
  <si>
    <t>maledom</t>
  </si>
  <si>
    <t>femdom</t>
  </si>
  <si>
    <t>lesdom</t>
  </si>
  <si>
    <t>normal</t>
  </si>
  <si>
    <t>rough</t>
  </si>
  <si>
    <t>sensual</t>
  </si>
  <si>
    <t>cis</t>
  </si>
  <si>
    <t>normal-sensual-lesbian</t>
  </si>
  <si>
    <t>melody marks</t>
  </si>
  <si>
    <t>elle d</t>
  </si>
  <si>
    <t>lily labeau</t>
  </si>
  <si>
    <t>metal bondage of holding up the ass over the head in a flat position</t>
  </si>
  <si>
    <t>brazzers</t>
  </si>
  <si>
    <t>presley dawson</t>
  </si>
  <si>
    <t>side fuck few times, petite model and accurate to high school girl</t>
  </si>
  <si>
    <t>elena koshka</t>
  </si>
  <si>
    <t>inverted at 24m,pretzel at 32m</t>
  </si>
  <si>
    <t>dakota marr</t>
  </si>
  <si>
    <t>inverted head lock at 2m,bead stick in ass at 7m,extreme pretzel at 9m,weird yoga pose at 21m</t>
  </si>
  <si>
    <t>tushy</t>
  </si>
  <si>
    <t>paige full nelson at 12m,riley full nelson at 21m,riley pretzel at 24m</t>
  </si>
  <si>
    <t>serena blair</t>
  </si>
  <si>
    <t>lay down legs to side</t>
  </si>
  <si>
    <t>feet torture at 30m</t>
  </si>
  <si>
    <t>also hits cowgirl and reverse cowgirl but not for long time</t>
  </si>
  <si>
    <t>nipple pinching at 4m,crotch rope held by weights at 9m,contraption to control weight of rope at 19m</t>
  </si>
  <si>
    <t>cherie deville</t>
  </si>
  <si>
    <t>tits tied hard at 15m,made to suck dildo and locked at 30m,anal hook at 35m</t>
  </si>
  <si>
    <t>nubile films</t>
  </si>
  <si>
    <t>syren de mer</t>
  </si>
  <si>
    <t>sensi pearl</t>
  </si>
  <si>
    <t>tyler scott</t>
  </si>
  <si>
    <t>madeline marlowe</t>
  </si>
  <si>
    <t>calico lane</t>
  </si>
  <si>
    <t>sister dee</t>
  </si>
  <si>
    <t>sticks up the nose at 2m,hair in mouth at 5m,spreader bar on legs at  31m</t>
  </si>
  <si>
    <t>teen fidelity</t>
  </si>
  <si>
    <t>typical scene double team,hardcore movements</t>
  </si>
  <si>
    <t>bdsm-soft-lesdom</t>
  </si>
  <si>
    <t>strapon blowjob at 12m</t>
  </si>
  <si>
    <t>kendra james</t>
  </si>
  <si>
    <t>rope is tightly held around the crotch at 10m</t>
  </si>
  <si>
    <t>joslyn james</t>
  </si>
  <si>
    <t>pussy lips held open at 16m,electro dildo in pussy at 17m</t>
  </si>
  <si>
    <t>pussy hair pulled by a weighted rope at 12m,feeding pussy hair at 24m,panty gag at 44m,inflating dildo inside pussy at 33m</t>
  </si>
  <si>
    <t>cherry torn</t>
  </si>
  <si>
    <t>toilet brush</t>
  </si>
  <si>
    <t>69 at 5m,feet licking at 16m</t>
  </si>
  <si>
    <t>fingers in ass at 10m,glass dildo at 31m</t>
  </si>
  <si>
    <t>toilet brush on chain at 5m</t>
  </si>
  <si>
    <t>sia lust</t>
  </si>
  <si>
    <t>shocking feet at 13m,lesdom strapon at 35m</t>
  </si>
  <si>
    <t>abella danger</t>
  </si>
  <si>
    <t>tied to a chair at 5m</t>
  </si>
  <si>
    <t>amy brooke</t>
  </si>
  <si>
    <t>same series as melody marks in dungeon corps</t>
  </si>
  <si>
    <t>https://pervtube.net/divinebitches-ashley-fires-educating-a-bitchboy-episode-2/</t>
  </si>
  <si>
    <t>ashley fires</t>
  </si>
  <si>
    <t>yhivi</t>
  </si>
  <si>
    <t>suspended fetal upside down,abusive orgasms</t>
  </si>
  <si>
    <t>slave and mistress,electro anal plug,remote controll vibrator</t>
  </si>
  <si>
    <t>amber rayne</t>
  </si>
  <si>
    <t>crotch walk with knots</t>
  </si>
  <si>
    <t>aiden ashley</t>
  </si>
  <si>
    <t>ass up face up legs joined</t>
  </si>
  <si>
    <t>wax at 34m,pretzel is half way</t>
  </si>
  <si>
    <t>annabelle lee</t>
  </si>
  <si>
    <t>daisy ducati</t>
  </si>
  <si>
    <t>nipple clamps at 4m</t>
  </si>
  <si>
    <t>butt plug at 12m,pretzel at 22m,fishnets at 39m</t>
  </si>
  <si>
    <t>jade indica</t>
  </si>
  <si>
    <t>lilith luxe</t>
  </si>
  <si>
    <t>beretta james</t>
  </si>
  <si>
    <t>piss drinking at 15m,inverted sofa at 54m</t>
  </si>
  <si>
    <t>selvaggia balls</t>
  </si>
  <si>
    <t>several innocent high videos of length from 20 to 50 mins</t>
  </si>
  <si>
    <t>several full length kink.com videos with good quality and loading,mix of lesdom and maledom</t>
  </si>
  <si>
    <t>flagged suspicious,doesn’t load well, katie kush full length bdsm videos</t>
  </si>
  <si>
    <t>lily's full length bdsm videos but smaller collection and not very exciting</t>
  </si>
  <si>
    <t>lot of long length videos across several categories</t>
  </si>
  <si>
    <t>charlotte cross</t>
  </si>
  <si>
    <t>flag</t>
  </si>
  <si>
    <t>general videos mainly for random cases, not big studios</t>
  </si>
  <si>
    <t>ava addams</t>
  </si>
  <si>
    <t>keira croft</t>
  </si>
  <si>
    <t>https://heavyfetish.com/videos/101159/kink-avery-black-sex-and-submission/</t>
  </si>
  <si>
    <t>avera black</t>
  </si>
  <si>
    <t>natasha lyn</t>
  </si>
  <si>
    <t>https://punishworld.com/76277-whipping-6728465-3276-44362/</t>
  </si>
  <si>
    <t>leslie taylor</t>
  </si>
  <si>
    <t>cut panties at 12m,candle in pussy at 24m,pussy suction at 28m,spike wheel at 51m</t>
  </si>
  <si>
    <t>chinese</t>
  </si>
  <si>
    <t>japanese</t>
  </si>
  <si>
    <t>https://www.txxx.porn/sites/divine-bitches/</t>
  </si>
  <si>
    <t>decent sized collection of full length femdom videos from divine bitches</t>
  </si>
  <si>
    <t>https://www.txxx.porn/sites/men-in-pain/</t>
  </si>
  <si>
    <t>decent sized collection of full length femdom videos from men in pain</t>
  </si>
  <si>
    <t>https://www.txxx.porn/sites/kink/</t>
  </si>
  <si>
    <t>https://www.txxx.porn/sites/kink-classics/</t>
  </si>
  <si>
    <t>decent sized collection of full length femdom videos from kink</t>
  </si>
  <si>
    <t>decent sized collection of full length femdom videos from kink classic</t>
  </si>
  <si>
    <t>https://www.tubegalore.com/c/japanese-femdom</t>
  </si>
  <si>
    <t>jap femdom</t>
  </si>
  <si>
    <t>https://www.eporner.com/video-YbhCJeVFRxq/mxpa-012-japanese-strapon-femdom/</t>
  </si>
  <si>
    <t>https://xhamster44.desi/moments/japanese-mistress-whipping-training-slave-xhZCsMd</t>
  </si>
  <si>
    <t>https://abjav.com/video/114433/japanese-femdom-pt3/?campaign_id=251311668</t>
  </si>
  <si>
    <t>https://beeg.com/</t>
  </si>
  <si>
    <t>https://www.fuq.com/</t>
  </si>
  <si>
    <t>https://beeg.com/FemdomEmpire</t>
  </si>
  <si>
    <t>https://www.fuq.com/category/femdom</t>
  </si>
  <si>
    <t>https://www.fuq.com/category/femdom-handjob</t>
  </si>
  <si>
    <t>https://www.fuq.com/category/femdom-humiliation</t>
  </si>
  <si>
    <t>https://www.fuq.com/category/chastity</t>
  </si>
  <si>
    <t>ass fingering at 5m</t>
  </si>
  <si>
    <t>https://heavyfetish.com/videos/102397/divine-bitches-training-of-a-bitchboy/</t>
  </si>
  <si>
    <t>https://www.porntopedia.com/video/110258/lorelei-lees-ruthless-domination-divine-femdom-relentless-bondage/?utm_source=tubetraffic&amp;utm_medium=cpc&amp;utm_campaign=1&amp;utm_term=&amp;utm_content=</t>
  </si>
  <si>
    <t>https://heavyfetish.com/videos/102023/the-english-mansion-owned-by-kiana/</t>
  </si>
  <si>
    <t>lorelei lee</t>
  </si>
  <si>
    <t>kiana</t>
  </si>
  <si>
    <t>boob smunknowning at 8m</t>
  </si>
  <si>
    <t>liplocked and tied together and forced to free each unknown</t>
  </si>
  <si>
    <t>https://spankbang.com/6n318/video/riley+reid+and+carter+cruise+eating+ass+of+eachunknown+and+friends</t>
  </si>
  <si>
    <t>https://heavyfetish.com/videos/1862/lesbian-teens-licking-each-unknowns-pussies/</t>
  </si>
  <si>
    <t>all</t>
  </si>
  <si>
    <t>medium length basic femdom videos</t>
  </si>
  <si>
    <t>femdom empire 8 videos</t>
  </si>
  <si>
    <t>high quality and long length femdom videos across many types</t>
  </si>
  <si>
    <t>basic femdom handjob videos, nothing super exlusive</t>
  </si>
  <si>
    <t>average quality humiliation videos, mostly feet and cum service</t>
  </si>
  <si>
    <t>amature and professional chastity along with high focus on torture and denial</t>
  </si>
  <si>
    <t>https://www.eporner.com/video-J7qRDyI3Im5/permanent-chastity/?trx=1227735290aee694b81473a256bea12420712</t>
  </si>
  <si>
    <t>adria rae</t>
  </si>
  <si>
    <t>penny barber</t>
  </si>
  <si>
    <t>collection of tame but high quality videos</t>
  </si>
  <si>
    <t>general videos with decent length and good production quality</t>
  </si>
  <si>
    <t>short vid of 2 guys and 1 girl getting flogged</t>
  </si>
  <si>
    <t>none</t>
  </si>
  <si>
    <t>permanent chastity fitting with PA piercing</t>
  </si>
  <si>
    <t>normal-sensual-lesdom</t>
  </si>
  <si>
    <t>foot in ass at 0m, whole foot in ass at 3m</t>
  </si>
  <si>
    <t>boot licking at 1m,spank at 9m,cigg smoke at 12m,flogg at 14m,leaves at 18m</t>
  </si>
  <si>
    <t>https://www.pornhits.com/videos.php?p=1&amp;s=l&amp;spon=divine-bitches-kink</t>
  </si>
  <si>
    <t>full length divine bitches library</t>
  </si>
  <si>
    <t>https://www.porntry.com/sites/men-in-pain/most-popular/</t>
  </si>
  <si>
    <t>go to most viewed</t>
  </si>
  <si>
    <t>https://www.porntry.com/videos/22501001/47e1b5131fea40a07c8dbe676b82203b/</t>
  </si>
  <si>
    <t>https://www.porntry.com/videos/22502128/48becf08ce1d8544f1ecd11b29940273/</t>
  </si>
  <si>
    <t>daphne rosen</t>
  </si>
  <si>
    <t>bobbi starr</t>
  </si>
  <si>
    <t>arabelle raphael</t>
  </si>
  <si>
    <t>https://xhamster44.desi/videos/no-safe-word-xh5QQce?pw=</t>
  </si>
  <si>
    <t>https://www.tubebdsm.com/category/bdsm-extreme</t>
  </si>
  <si>
    <t>https://xhamster44.desi/videos/clean-and-clear-xhUNQAP?pw=</t>
  </si>
  <si>
    <t>https://www.tubebdsm.com/category/pretty</t>
  </si>
  <si>
    <t>https://www.tubebdsm.com/category/bdsm</t>
  </si>
  <si>
    <t>https://www.tubebdsm.com/category/strap-on-femdom</t>
  </si>
  <si>
    <t>https://www.tubebdsm.com/category/femdom</t>
  </si>
  <si>
    <t>https://xhamster44.desi/videos/chastity-gloves-and-condoms-how-many-until-he-doesnt-feel-anything-xhTMLsQ?pw=</t>
  </si>
  <si>
    <t>malice jade</t>
  </si>
  <si>
    <t>https://www.fapcat.com/videos/2647059/mistress-makes-slave-be-in-chastity-him-too/?utm_source=pbweb&amp;utm_campaign=pbweb</t>
  </si>
  <si>
    <t>cute and pretty girls with vanilla style basic porn, not very realistic but overall fun</t>
  </si>
  <si>
    <t>https://abxxx.com/video/376062/sex-amp-submission-audrey-rose/?campaign_id=520379779</t>
  </si>
  <si>
    <t>audrey rose</t>
  </si>
  <si>
    <t>high quality full length maledom and lesdom porn, acts as aggregator so some are paid</t>
  </si>
  <si>
    <t>stars</t>
  </si>
  <si>
    <t>categories</t>
  </si>
  <si>
    <t>positions</t>
  </si>
  <si>
    <t>piper perri,phoenix marie</t>
  </si>
  <si>
    <t>gia dimarco,ariel x</t>
  </si>
  <si>
    <t>wenona,jessie cox,isis love</t>
  </si>
  <si>
    <t>sasha sparks,lacie hart</t>
  </si>
  <si>
    <t>riley reid,melissa moore</t>
  </si>
  <si>
    <t>riley reid,ryan reid</t>
  </si>
  <si>
    <t>lauren phillps,ashley lane</t>
  </si>
  <si>
    <t>casey calvert,katja kassin</t>
  </si>
  <si>
    <t xml:space="preserve">kara price,nikki daniels </t>
  </si>
  <si>
    <t xml:space="preserve">chanel preston,cherie deville </t>
  </si>
  <si>
    <t>claire adams,tricia oaks</t>
  </si>
  <si>
    <t>sensi pearl,isis love</t>
  </si>
  <si>
    <t>cassandra cruz,samantha sin</t>
  </si>
  <si>
    <t>belle noir,bonnie day</t>
  </si>
  <si>
    <t>riley reid,carter cruise</t>
  </si>
  <si>
    <t>queensnake,holly</t>
  </si>
  <si>
    <t>riley reid,jill kassidy</t>
  </si>
  <si>
    <t>jessica,tanita</t>
  </si>
  <si>
    <t>casey calvert,tommy king</t>
  </si>
  <si>
    <t>stevie moon,lily thot</t>
  </si>
  <si>
    <t>queensnake,tanita</t>
  </si>
  <si>
    <t>michelle,drea</t>
  </si>
  <si>
    <t>bobbi starr,isis love</t>
  </si>
  <si>
    <t>ball gag,anal hook,piv,anal,blowjob,body clothespin</t>
  </si>
  <si>
    <t>piss,gas mask,asphyxiation,nipple suction,nipple suction,oiled</t>
  </si>
  <si>
    <t>oiled,vibrator,fucking machine,orgasm,ice,fingering</t>
  </si>
  <si>
    <t>cute,piv,anal,bukkake,blowjob</t>
  </si>
  <si>
    <t>teacher-student,blowjob,piv,anal,petite,plaid</t>
  </si>
  <si>
    <t>fucking machine,gangbang,vibrator,blowjob,femdom,lesdom</t>
  </si>
  <si>
    <t>chastity,permanent chastity,torture,denial,cumshot,feet</t>
  </si>
  <si>
    <t>metal constraints,anal hook,wiregag,inflatable gag,fucking machine,shocking pussy</t>
  </si>
  <si>
    <t>electric,body clothespin,open mouth gag,ball gag,nipple suction,vibrator</t>
  </si>
  <si>
    <t>dildo stick,nipple clamps,rubber band feet,nipple clothespin,vibrator,ball gag</t>
  </si>
  <si>
    <t>open mouth gag,nose hook,dildo stick,chastity belt,suffocation,spreader bar</t>
  </si>
  <si>
    <t>oiled,massage,fingering,orgasm,fit girl</t>
  </si>
  <si>
    <t>blowjob,anal,creampie,fingering</t>
  </si>
  <si>
    <t>oiled,footjob,piv,facial</t>
  </si>
  <si>
    <t>oiled,fucking machine,left alone</t>
  </si>
  <si>
    <t>chastity,pa piercing</t>
  </si>
  <si>
    <t xml:space="preserve">ball gag,nipple clamps,needles,tape gag,sybian,strapon </t>
  </si>
  <si>
    <t>suspended,missionary,69</t>
  </si>
  <si>
    <t>suspended,pretzel,missionary</t>
  </si>
  <si>
    <t>humbler vertical,arched,lay down</t>
  </si>
  <si>
    <t>doggy,spread eagle,suspended</t>
  </si>
  <si>
    <t>frog,kneel down frog,pretzel</t>
  </si>
  <si>
    <t>tightrope,bent on wheel,doggy</t>
  </si>
  <si>
    <t>suspended,doggy,lay down</t>
  </si>
  <si>
    <t>wooden horse,bent,doggy</t>
  </si>
  <si>
    <t>missionary,doggy</t>
  </si>
  <si>
    <t>suspended,lay down</t>
  </si>
  <si>
    <t>missionary,lay down diamond,split face down suspended</t>
  </si>
  <si>
    <t>x vertical,doggy,m legs</t>
  </si>
  <si>
    <t>arms up tied,vertical m legs,joined legs up</t>
  </si>
  <si>
    <t>pretzel,ass up face up,spread eagle</t>
  </si>
  <si>
    <t>pretzel,one bar prison,split</t>
  </si>
  <si>
    <t>arms up tied,inverted hogtied,pretzel</t>
  </si>
  <si>
    <t>full nelson,pretzel,69</t>
  </si>
  <si>
    <t>inverted bent,pretzel,suspended fetal</t>
  </si>
  <si>
    <t>missionary,doggy,reverse cowgirl</t>
  </si>
  <si>
    <t>doggy,missionary,wheel barrow</t>
  </si>
  <si>
    <t>doggy,inverted,arched</t>
  </si>
  <si>
    <t>spread eagle,pretzel,doggy</t>
  </si>
  <si>
    <t>69,spread eagle,lay down</t>
  </si>
  <si>
    <t>against wall,missionary legs up,inside cage</t>
  </si>
  <si>
    <t>lay down face down,m legs,missionary legs up</t>
  </si>
  <si>
    <t>lay down,ass up face down,inverted</t>
  </si>
  <si>
    <t>ass up face down,missionary legs up,suspended</t>
  </si>
  <si>
    <t>lay down legs side,lay down face down,lay down face up</t>
  </si>
  <si>
    <t>pretzel vertical,suspended,bent suspended</t>
  </si>
  <si>
    <t>bent,suspended fetal,spread eagle</t>
  </si>
  <si>
    <t>pretzel,missionary,suspended</t>
  </si>
  <si>
    <t>lay down,doggy</t>
  </si>
  <si>
    <t>lay down,doggy,missionary legs up</t>
  </si>
  <si>
    <t>ass up face down,doggy,missionary</t>
  </si>
  <si>
    <t>missionary,inverted,missionary legs up</t>
  </si>
  <si>
    <t>hogtied,stand over rod</t>
  </si>
  <si>
    <t>69,spread eagle,chair</t>
  </si>
  <si>
    <t>arms up split,spread eagle</t>
  </si>
  <si>
    <t>lay down,wooden horse,hogtied</t>
  </si>
  <si>
    <t>lay down,ass up face down,wheel barrow</t>
  </si>
  <si>
    <t>doggy,missionary,cowgirl</t>
  </si>
  <si>
    <t>spread eagle,missionary</t>
  </si>
  <si>
    <t>hogtied,stomach laydown</t>
  </si>
  <si>
    <t>69,619,full nelson</t>
  </si>
  <si>
    <t>stand on ice,wooden horse,bent froward</t>
  </si>
  <si>
    <t>hogtied,crucified,under net</t>
  </si>
  <si>
    <t>bent,lay down</t>
  </si>
  <si>
    <t>doggy,spread eagle,joined legs up</t>
  </si>
  <si>
    <t>69,doggy,lay down</t>
  </si>
  <si>
    <t>lay down legs up,doggy,missionary</t>
  </si>
  <si>
    <t>reverse cowgirl,inverted,pretzel</t>
  </si>
  <si>
    <t>lay down,missionary,cowgirl</t>
  </si>
  <si>
    <t>lay down,suspended face down,bent</t>
  </si>
  <si>
    <t>right angle,pretzel,doggy</t>
  </si>
  <si>
    <t>stand,lay down</t>
  </si>
  <si>
    <t>tightrope,lay down</t>
  </si>
  <si>
    <t>general type of common bdsm videos with woman on woman as well</t>
  </si>
  <si>
    <t>decent low and mid quality femdom porn no studios</t>
  </si>
  <si>
    <t>general femdom kinky videos,some large studios but overall mid to high quality</t>
  </si>
  <si>
    <t>doggy,side fuck,full nelson</t>
  </si>
  <si>
    <t>malice jade from reddit,uncage at 2m</t>
  </si>
  <si>
    <t>chastity,gloves,condoms,edging</t>
  </si>
  <si>
    <t>octavia red</t>
  </si>
  <si>
    <t>https://www.pornhits.com/video/55501/basement-bitch-cuckold/</t>
  </si>
  <si>
    <t>https://www.pornhits.com/videos.php?p=1&amp;q=Divine%20Bitches%20Chastity%20Videos</t>
  </si>
  <si>
    <t>leigh raven</t>
  </si>
  <si>
    <t>haley wilde,isis love</t>
  </si>
  <si>
    <t>aiden star</t>
  </si>
  <si>
    <t>amber snow</t>
  </si>
  <si>
    <t>chanel preston</t>
  </si>
  <si>
    <t>https://netfapx.net/</t>
  </si>
  <si>
    <t>https://pornzog.com</t>
  </si>
  <si>
    <t>https://www.pornhits.com/videos.php?p=1&amp;q=Divine%20Bitches%20Couple%20Dominated</t>
  </si>
  <si>
    <t>doggy,lay down,suspended</t>
  </si>
  <si>
    <t>good quality divine bitches femdom porn</t>
  </si>
  <si>
    <t>good quality divine bitches femdom porn with chastity</t>
  </si>
  <si>
    <t>squat,doggy</t>
  </si>
  <si>
    <t>doggy,lay down</t>
  </si>
  <si>
    <t>dildo stick in mouth at 53,pussy slap at 59m</t>
  </si>
  <si>
    <t>oiled,blowjob,piv,anal,choking,slap</t>
  </si>
  <si>
    <t>https://bdsmmansion.com/video/11127/08-04-04-5181-daisy-marie-aiden-starr-daisy-s-promotion/</t>
  </si>
  <si>
    <t>river lynn</t>
  </si>
  <si>
    <t>innocent high</t>
  </si>
  <si>
    <t>femdom empire</t>
  </si>
  <si>
    <t>dani daniels</t>
  </si>
  <si>
    <t>aiden star,daisy marie</t>
  </si>
  <si>
    <t>alex,bonnie day</t>
  </si>
  <si>
    <t>cnc,gangbang,panty gag,blowjob,double penetration,duct tape</t>
  </si>
  <si>
    <t>humiliation,chastity,feet on head,outdoor,ball kick,feminization</t>
  </si>
  <si>
    <t>balls behind ass,handjob,human dildo,suffocation,oiled,peg</t>
  </si>
  <si>
    <t>butt plug,rimjob,peg,anal fingering,viper,handjob</t>
  </si>
  <si>
    <t>chastity,feet,peg,humbler,slave,pet play</t>
  </si>
  <si>
    <t>chastity,peg,blowjob,pov,anal fingering,viper</t>
  </si>
  <si>
    <t>peg,ball gag,gangbang,foot worship,cbt,wax</t>
  </si>
  <si>
    <t>peg at 28m,cunnilingus at 42m,cock plate at 46m,feet licking at 52m</t>
  </si>
  <si>
    <t>anal hook at 7m,spaking at 8m,balls rubberband at 15m,syringe at 20m,peg at 22m,cunnilingus at 31m</t>
  </si>
  <si>
    <t>smunknowning face in ass at 20m,peg at 29m</t>
  </si>
  <si>
    <t>good quality femdom peg along with interesting positions</t>
  </si>
  <si>
    <t>chastity,ball gag,anal hook,spank,enema,peg</t>
  </si>
  <si>
    <t>panty gag,nipple suction,flame,spike wheel,nipple clamps,spank</t>
  </si>
  <si>
    <t xml:space="preserve">remote control,spank,anal beads,electric,wax,strapon </t>
  </si>
  <si>
    <t>spank,peg,body clothespin,panty gag</t>
  </si>
  <si>
    <t>spank,peg,nipple clamps,vibrator</t>
  </si>
  <si>
    <t>spank,wedgie,enema,oiled,vibrator,strapon</t>
  </si>
  <si>
    <t>teen,fingering,butt plug,spank,side fuck,anal</t>
  </si>
  <si>
    <t>balls tied up to ceiling at 9m,electric zapper at 10m,dick bite at 14m,anal hook at 18m,spank at 18m,dildo bj at 26,oegging at 28m,69 at 35m</t>
  </si>
  <si>
    <t>chastity at 10m,spank at 24m,peg at 28m,feet at 39m</t>
  </si>
  <si>
    <t>spank at 5m,electric at 21m,electric wand anal at 23m,peg at 30m,cunnilingus at 36m,face dildo at 42m</t>
  </si>
  <si>
    <t>kicking at 5m,spank at 10m,cloth cutting at 16m,nipple clamps at 16m,cream on pussy at 30m</t>
  </si>
  <si>
    <t>spank at 1m,wedgie at 2m,hair tied to wedgie,enema at 3m,inverted pussy over face at 5m,missionary at 9m</t>
  </si>
  <si>
    <t>spank at 3m,full nelson at end</t>
  </si>
  <si>
    <t>tits bound at 8m,ball gag at 9m,pussy spank at 12m,blindfold at 39m,electric shocks at 40m</t>
  </si>
  <si>
    <t>abduction,blowjob,flog,spank,inverted face fuck,piv</t>
  </si>
  <si>
    <t>ball gag,flog,wax,peg,cock ring,feet</t>
  </si>
  <si>
    <t>ball gag,spank,flog,dildo stick,anal hook</t>
  </si>
  <si>
    <t>ball gag,spank,flog,vibrator</t>
  </si>
  <si>
    <t>ball gag,spank,tit slap,blindfold,flog,armpit sniff,armpit bite,blowjob,anal hook,wax,vibrator</t>
  </si>
  <si>
    <t>blindfold,flog,ball gag,peg,spank,cunnilingus</t>
  </si>
  <si>
    <t>body clothespin,flog,cbt,feet,peg,wax</t>
  </si>
  <si>
    <t>chastity,body clothespin,spank,flog,peg,feet</t>
  </si>
  <si>
    <t>cunnilingus,flog,nipple bite,ball clamps,face dildo,peg,face underground</t>
  </si>
  <si>
    <t>dildo stick,nipple clamps,pussy slap,flog</t>
  </si>
  <si>
    <t>flog,ball gag,nipple sticks,nipple clamps,vibrator</t>
  </si>
  <si>
    <t>flog,chastity,lolipop plug,peg,wax,femdom service</t>
  </si>
  <si>
    <t>flog,flame,switchdom,wax,body clothespin,nipple clamps</t>
  </si>
  <si>
    <t>flog,nipple clamps,blindfold,dildo stick,anal,wax</t>
  </si>
  <si>
    <t>flog,nipple clamps,electric,paddle</t>
  </si>
  <si>
    <t>flog,rubber band feet,piv,vibrator</t>
  </si>
  <si>
    <t>flog,tape gag,wax,nipple clamps,ball gag</t>
  </si>
  <si>
    <t>flog,vibrator,peg,spank,face riding,leash</t>
  </si>
  <si>
    <t>humbler,cigg,flog,peg,electric glass butt plug</t>
  </si>
  <si>
    <t>japanese,foot worship,cbt,flog,peg,gangbang</t>
  </si>
  <si>
    <t>leash,spank,cigg,flog,cfnm,outdoor</t>
  </si>
  <si>
    <t>nipple clamps,tit slap,blowjob,flog,piv,anal</t>
  </si>
  <si>
    <t>nipple clothespin,panty gag,fucking machine,flog,nipple suction,dildo stick vibrator</t>
  </si>
  <si>
    <t>oiled,flog,body clothespin,wheel,nipple clamps,vibrator</t>
  </si>
  <si>
    <t>oiled,flog,nipple clamps,ball gag,blowjob,lesdom</t>
  </si>
  <si>
    <t>outdoor,head mask,flog,ice pussy,anal hook,tunnel gag</t>
  </si>
  <si>
    <t>pussy slap, tit slap,nipple bite,spank,flog,ball gag,pussy clothespin,lesbian,cunnilingus,spike wheel,pussy ornament</t>
  </si>
  <si>
    <t>spank,butt plug,electric,flog,strapon,ball gag</t>
  </si>
  <si>
    <t>spank,flog,nipple clamps,nipple suction,fingering,ball gag</t>
  </si>
  <si>
    <t>suspended,flog,nipple clamps,spank,lesdom</t>
  </si>
  <si>
    <t>suspended,flog,peg,gangbang,slave,feet</t>
  </si>
  <si>
    <t>tit slap,vibrator,flog,nipple clamps,fucking machine,dildo stick vibrator</t>
  </si>
  <si>
    <t>wax at 12m,doggy flog at 24m,peg at 31m,piv at 41m</t>
  </si>
  <si>
    <t>ball gag at 2m,spank at 3m,tit slap at 8m,blindfolded at 10m,flog at 10m,armpit at 14m,bj at 17m,anal hook at 22m</t>
  </si>
  <si>
    <t>arms up against wall flog at 11m</t>
  </si>
  <si>
    <t>blackmail at 10m,flog at 11m,doggy at 25m,paddling at 27m</t>
  </si>
  <si>
    <t>cunnilingus at 10m,flog at 14m,nipple bite at 15m.ball clamp at 18m,pussy on chastity at 24m,face dildo at 27m,peg at 32m,face underground</t>
  </si>
  <si>
    <t>preping at 9m,ass flog at 17m, legs up tied to wall at 30m</t>
  </si>
  <si>
    <t>flog at 2m,cunnilingus at 15m,peg at 16m,female pretzel,dildo on mouth at 20m,cock clothespin at 26m</t>
  </si>
  <si>
    <t>pussy slap at 0m,flog femdom at 25m,wax at 42m,flame on ass at 43m,bent at 52m,wooden horse at 88m</t>
  </si>
  <si>
    <t>flog at 9m,heels on dick at 13m,paddle spank at 22m,cunilingus at 30m,69 at 40m,leash doggy at 45m</t>
  </si>
  <si>
    <t>tit flog at 9m,nipple clamps at 10m,water boarding at 25m</t>
  </si>
  <si>
    <t>tongue tie at 6mm,piss on face at 8m,pussy inhaling at 11m,self inhaling at 13m,piss inhaling at 16m,pussy flog at 19m</t>
  </si>
  <si>
    <t>generic bdsm with lot of spank and flog,pussy and tit slap at 3m,nipple bite at 3m,,laydown bj at 13m,lesbian bdsm at 59m,pussy ornament at 75m</t>
  </si>
  <si>
    <t>spank at 5m,steel plug anal at 10m,flog at 22m</t>
  </si>
  <si>
    <t>cloth cutting at 8m,tit slap at 8m,nipples clamps at 12m,wax on back at 29m,fingering at 41m,missionary with flog at 42m</t>
  </si>
  <si>
    <t>1f-2m,flog,ball gag,electric,oiled,pussy clamps</t>
  </si>
  <si>
    <t>bite gag,blindfold,tape gag,cane,fingering,vibrator</t>
  </si>
  <si>
    <t>bite gag,cane,nipple clamps,flog,dildo stick,vibrator</t>
  </si>
  <si>
    <t>cane,funnel gag,flog,fingering</t>
  </si>
  <si>
    <t>cbt,electric,dick biting,cane,anal hook,spank,flog,peg,cunnilingus</t>
  </si>
  <si>
    <t>chastity,cbt,peg,flog,cane,vibrator</t>
  </si>
  <si>
    <t>chastity,flog,cane,spank,electric,peg,blindfold,cock plate,cunnilingus,face dildo</t>
  </si>
  <si>
    <t>electric,flog,anal hook,nipple sticks,oiled,cane</t>
  </si>
  <si>
    <t>flog,peg,cane,cbt,body clothespin,nipple clamps</t>
  </si>
  <si>
    <t>peg,cbt,gangbang,vibrator,flog,cane</t>
  </si>
  <si>
    <t>peg,chastity,femboy,ball bite,cane,pet play</t>
  </si>
  <si>
    <t>pussy clamps,flog,nipple clamps,cane,rope gag,ball gag</t>
  </si>
  <si>
    <t>spank,dildo stick,anal hook,open mouth gag,vibrator,cane</t>
  </si>
  <si>
    <t>pussy clamps at 8m,cloth cutting at 8m,stomach hitting and pressing at 11m,ass up cane at 24m,inverted flog at 36m</t>
  </si>
  <si>
    <t>spreader bar on hands,hand spank at 6m,pussy clamps at 10m,tit slap and cane at 18m,body clamps at 20m,anal hook in pussy at 33m</t>
  </si>
  <si>
    <t>ball gag,gangbang,pretzel,fist</t>
  </si>
  <si>
    <t>ball gag,vibrator,lesdom,oiled,fist,nipple clamps</t>
  </si>
  <si>
    <t>chastity,spank,cane,flog,peg,anal fist,blowjob,cow girl</t>
  </si>
  <si>
    <t>nipple clamps,dildo plug,body clothespin,pussy fist</t>
  </si>
  <si>
    <t>abduction at 16m,dick smell at 22m,tit and pussy flog at 24m, throat fist at 28m,ass spank at 30m,pretzel at 58m,kneel down frog flog at 60m, very natural actors</t>
  </si>
  <si>
    <t>spank at 17m,peg at 25m,fist at 30m,award in ass at 34m,blowjob at 40m,cow girl at 44m,good chemistry between the dom and sub</t>
  </si>
  <si>
    <t>pussy fist at 18m</t>
  </si>
  <si>
    <t>bbc,blowjob,pussy eat,piv</t>
  </si>
  <si>
    <t>blowjob,pussy eat,piv</t>
  </si>
  <si>
    <t>cane,nipple clamps,ball gag,blowjob,pussy eat</t>
  </si>
  <si>
    <t>flog,feet on dick,peg,wax,heels worship,pussy eat</t>
  </si>
  <si>
    <t>kidnapping,pussy eat,tape gag,blowjob,vibrator</t>
  </si>
  <si>
    <t>leather,mummy,cock ring,oiled,handjob,cum eat</t>
  </si>
  <si>
    <t>ass eat at 15m,flog at 23m,peg at 25m,spitroast</t>
  </si>
  <si>
    <t>ass eat at 14m,foot licking at 35m</t>
  </si>
  <si>
    <t>inverted pussy eat at 22m</t>
  </si>
  <si>
    <t>cbt at 12m,spank at 16m,peg at 22m,pussy eat at 33m</t>
  </si>
  <si>
    <t>feet eat at 23m,inverted ass fuck at 40m</t>
  </si>
  <si>
    <t>fight,abduction,flog at 13m,pussy flog at 17m,tit pull at 19m,oiled at 20m,foot eat at 29m,lesbian peg at end</t>
  </si>
  <si>
    <t>panty inside mouth at 13m,grind on cage with pussyat 23m</t>
  </si>
  <si>
    <t>nipple clothespin,ball gag,pussy hair pull ,straight jacket,fingering,sensory deprivation</t>
  </si>
  <si>
    <t>pretzel at 15m,vibrator insider pussy at 19m,nipple pull and tickling at 31m,wax at 34m, m legs fingering</t>
  </si>
  <si>
    <t>tits pull at 9m,one leg pull up at 10m,step on tits at 29m</t>
  </si>
  <si>
    <t>bite gag,flog,nipple clamps,shave,spank,body clothespin</t>
  </si>
  <si>
    <t>nose hook,cane,open mouth gag,shave,pussy clamps,panty gag</t>
  </si>
  <si>
    <t>cane at 10m,flog at 15m,flexible pipe flog at 19m,shave at 20m,rope on pussy at 24m,spank at 42m, water boarding at 45m</t>
  </si>
  <si>
    <t>crotch chain walk,nipple clamps,enema,blindfold,anal hook,spike wheel</t>
  </si>
  <si>
    <t>tit slap,bite gag,flog,rubber band feet,spike wheel,vibrator</t>
  </si>
  <si>
    <t>spank,spit,chastity,cuck,peg</t>
  </si>
  <si>
    <t>flog,vibrator,step on,dildo stick,tit pull,suspended</t>
  </si>
  <si>
    <t>nipple clamps,flog,tit pull,step on,wax,fingering</t>
  </si>
  <si>
    <t>gangbang,bukkake,strip,bbc</t>
  </si>
  <si>
    <t>sensual strip to hardcore bdsm,tied together at 60m</t>
  </si>
  <si>
    <t>strip at 18m</t>
  </si>
  <si>
    <t>basic strip and blowjobs</t>
  </si>
  <si>
    <t>sensual strip at 1m, 69 at 11m</t>
  </si>
  <si>
    <t>ball gag,strip,flog,cane,vibrator</t>
  </si>
  <si>
    <t>ball gag,flog,nipples binder clips,fucking machine,clit suction,tit suction cups</t>
  </si>
  <si>
    <t>tit bound,ball gag,pussy spank,spank,cane,flog,blindfold,electric</t>
  </si>
  <si>
    <t>bite gag,tit pull,whip,cane,pussy plugged,vibrator</t>
  </si>
  <si>
    <t>game,whip,mental torture</t>
  </si>
  <si>
    <t xml:space="preserve">spreader bar,whip,pussy clamps,rope gag,pussy hook,dildo stick </t>
  </si>
  <si>
    <t>sensual strip at 3m,bite gag at 4m,whip at 19m,under a metal net at 58m</t>
  </si>
  <si>
    <t>wheel of pain game at 4m,back whip at 5m,pussy whip at 10m,ass whip at 19m</t>
  </si>
  <si>
    <t>1f-2m,blowjob,piv,fondle</t>
  </si>
  <si>
    <t>blowjob,piv,fingering,inverted face fuck,fondle</t>
  </si>
  <si>
    <t>blowjob,piv,fondle</t>
  </si>
  <si>
    <t>crotch rope walk,tiger balm,nipple clamps,ball gag,fondle</t>
  </si>
  <si>
    <t>fondle,blindfold,flog,spank,vibrator,ball gag</t>
  </si>
  <si>
    <t>fondle at 4m,hand spank at 4m,tit flog at 5m,ass flog at 14m,nipple binder clips tied to toes at 32m,vibrator and flog and blindfold at 45m</t>
  </si>
  <si>
    <t>fondle at 9m,pussy hair pull at 30m</t>
  </si>
  <si>
    <t>arms up tied,pretzel horizontal,double 69</t>
  </si>
  <si>
    <t>pretzel horizontal,head in toilet,double 619</t>
  </si>
  <si>
    <t>kneel bent back,kneel vertical</t>
  </si>
  <si>
    <t>kneel vertical,pretzel vertical,lay down</t>
  </si>
  <si>
    <t>kneel vertical,seperated legs up</t>
  </si>
  <si>
    <t>kneel,upside down</t>
  </si>
  <si>
    <t>lay down,doggy,kneel</t>
  </si>
  <si>
    <t>lay down,spread eagle,kneel down vertical</t>
  </si>
  <si>
    <t>arms up tied,face down horizontal split,kneel down vertical</t>
  </si>
  <si>
    <t>doggy,kneel,doggy</t>
  </si>
  <si>
    <t>doggy,lay down,kneel</t>
  </si>
  <si>
    <t>kneel</t>
  </si>
  <si>
    <t>missionary,lay down,pretzel</t>
  </si>
  <si>
    <t>doggy,missionary,lay down</t>
  </si>
  <si>
    <t>kneel,doggy,inverted</t>
  </si>
  <si>
    <t>kneel,doggy,top doggy</t>
  </si>
  <si>
    <t>strip pole,kneel</t>
  </si>
  <si>
    <t>inverted,lay down,kneel</t>
  </si>
  <si>
    <t>kneel,spitroast,reverse cowgirl</t>
  </si>
  <si>
    <t>spitroast</t>
  </si>
  <si>
    <t>spitroast,centipede,69</t>
  </si>
  <si>
    <t>spitroast,cowgirl,inverted sofa</t>
  </si>
  <si>
    <t>spitroast,doggy,kneel down vertical</t>
  </si>
  <si>
    <t>throatfucked spitroasted while rammed by fucking machine all while being oiled up and layed and restrained to a wooden X table</t>
  </si>
  <si>
    <t>both are tied together,locked in an inverted figure tie down at 15m,a centipede style spitroast on dildos at 16m,a mouth to ass plug put them together at 24m</t>
  </si>
  <si>
    <t>burried,lay down legs to side,stand</t>
  </si>
  <si>
    <t>doggy,lay down,stand</t>
  </si>
  <si>
    <t>hogtied,a legs stand,lay down</t>
  </si>
  <si>
    <t>kneel down vertical,doggy,stand</t>
  </si>
  <si>
    <t>kneel down,a legs stand</t>
  </si>
  <si>
    <t>kneel,doggy,stand</t>
  </si>
  <si>
    <t>lay down face down,ass up face down,stand</t>
  </si>
  <si>
    <t>lay down,doggy,stand</t>
  </si>
  <si>
    <t>lay down,missionary,stand</t>
  </si>
  <si>
    <t>lay down,stand,missionary,69</t>
  </si>
  <si>
    <t>lay on side one leg up,stand,doggy</t>
  </si>
  <si>
    <t>leg up stand,69,inverted</t>
  </si>
  <si>
    <t>leg up stand,m legs</t>
  </si>
  <si>
    <t>pretzel,suspended,stand</t>
  </si>
  <si>
    <t>stand</t>
  </si>
  <si>
    <t>stand one leg up,inverted on chair,m legs</t>
  </si>
  <si>
    <t>stand,doggy,</t>
  </si>
  <si>
    <t>stand,doggy,lay down</t>
  </si>
  <si>
    <t>stand,doggy,missionary</t>
  </si>
  <si>
    <t>stand,inverted pussy over face,missionary</t>
  </si>
  <si>
    <t>stand,kneel vertical,hogtied</t>
  </si>
  <si>
    <t>stand,lay down, legs to side,doggy</t>
  </si>
  <si>
    <t>stand,lay down,spread eagle</t>
  </si>
  <si>
    <t>stand,legs up joined,doggy</t>
  </si>
  <si>
    <t>stand,missionary suspended,hogtied</t>
  </si>
  <si>
    <t>stand,missionary,lay down,suspended missionary</t>
  </si>
  <si>
    <t>stand,pretzel,lay down</t>
  </si>
  <si>
    <t>stand,reverse cowgirl,missionary legs up</t>
  </si>
  <si>
    <t>stand,suspended face down,bent</t>
  </si>
  <si>
    <t>stand,suspended,prone bone</t>
  </si>
  <si>
    <t>stand,upside down,kneel,doggy,missionary</t>
  </si>
  <si>
    <t>suspended,kneel vertical,stand</t>
  </si>
  <si>
    <t>stand on ice,eat worms,flogged with anal hook</t>
  </si>
  <si>
    <t>arms up against wall,leg up stand</t>
  </si>
  <si>
    <t>tit spank at 9m,nipple clamps weighed down at 11m,pretzel vertical at 18m,step on tits at 34m,tit pull at 35m,</t>
  </si>
  <si>
    <t>pillory,bent backward,wooden horse</t>
  </si>
  <si>
    <t>lay down,against wall,over table</t>
  </si>
  <si>
    <t>sounding,multiple girls,trample,enema,peg,feet</t>
  </si>
  <si>
    <t>2f-1m,trample,feet,spank,cunnilingus,peg,wax,ball gag,anal hook</t>
  </si>
  <si>
    <t>sounding at 6m,trample at 45m,head in thighs at 59m,whip at 65m,enema at 80m,peg at 93m</t>
  </si>
  <si>
    <t>trample at 12m,bootlicking at 13m,spank at 16m,cunnilingus at 19m</t>
  </si>
  <si>
    <t>sandal trample at 5m,high heel trample at 8m,high heels in nipples at 9m,high heel in pussy at 17m</t>
  </si>
  <si>
    <t>cloth tear at 12m,flog at 14m,trample at 18m, foot on dick at 20m, ass eat at 24m,peg at 40m</t>
  </si>
  <si>
    <t>https://beeg.com/FemDom?f=pegging</t>
  </si>
  <si>
    <t>https://www.fuq.com/category/femdom-pegging</t>
  </si>
  <si>
    <t>https://www.eporner.com/profile/Peterboni/</t>
  </si>
  <si>
    <t>uploads and favorites lot of good maledom and lesdom content full length</t>
  </si>
  <si>
    <t>massage,ball gag, tit suction cups,tanlines,oiled,vibrator</t>
  </si>
  <si>
    <t>doggy,missionary,pretzel</t>
  </si>
  <si>
    <t>https://www.eporner.com/video-0Jc4FNhL6Tz/katrina-fucks-her-brunette-girlfriend-aidra-with-a-strap-on/</t>
  </si>
  <si>
    <t>stand, lay down</t>
  </si>
  <si>
    <t>body lick,bikini,foot worship,call girls,non nude,multiple girls</t>
  </si>
  <si>
    <t>gangbang,blackout contacts,body clothespin,flog,nipple clamps,drink game</t>
  </si>
  <si>
    <t>gangbang,piss drink,double penetration,fingering,anal,blowjob</t>
  </si>
  <si>
    <t>lay down,kneel,missionary,doggy</t>
  </si>
  <si>
    <t>kneel,lay down,frog,missionary</t>
  </si>
  <si>
    <t>undress at 5m,spank at 11m,flog at 14m,ass flog at 16m,clit and nipple suction at 31m,</t>
  </si>
  <si>
    <t>pillory,missionary</t>
  </si>
  <si>
    <t>spank,flog,cane,blowjob,piv,vibrator,pussy fist,nipple clamps</t>
  </si>
  <si>
    <t>spank at 7m,blowjob at 10m,flog at 11m,nipple clamps at 32m,very generic piv bdsm</t>
  </si>
  <si>
    <t>https://www.amateur8.com/videos/716960/spank-me-lascivious/?utm_source=donnie</t>
  </si>
  <si>
    <t>https://abxxx.com/video/338120/april-olsen-in-pegging-strapon-anal/?campaign_id=520379779</t>
  </si>
  <si>
    <t>https://www.xozilla.xxx/videos/811128/shameless-dykes-lesdom-breathtaking-xxx-scene/</t>
  </si>
  <si>
    <t>april olsen</t>
  </si>
  <si>
    <t>spank,paddle,hair pull</t>
  </si>
  <si>
    <t>bite gag,blowjob,titjob</t>
  </si>
  <si>
    <t>mid titjob with hands tied</t>
  </si>
  <si>
    <t>titjob at 12m,oiled footjob at 14m</t>
  </si>
  <si>
    <t>missionary,sit, lay down</t>
  </si>
  <si>
    <t>rubber,latex,butt plug,peg,blindfold,asphyxiation,titjob,footjob,trample,piv</t>
  </si>
  <si>
    <t>INSANELY hot rubber wearing actress,butt plug at 8m,peg at 11m,blindfold at 22m,asphyxiation at 25m,titjob at 20m,footjob at 35m,piv at end</t>
  </si>
  <si>
    <t>foot in pussy at 2m,doggy foot in pussy at 6m,silver powder on feet and pussy at 10m,fishnet inside pussy at 14m,scissor at end</t>
  </si>
  <si>
    <t>oiled,feet,foot in ass,foot in pussy,silver powder,fishnet,scissor</t>
  </si>
  <si>
    <t>flog,nipple clamps weight,ball gag,blindfold,nipple string,fingering</t>
  </si>
  <si>
    <t>pussy wedgie at 3m,flog at 3m, anal hook at 9m, spank at 20m, clit suction at 24m, slap at 26m,smothered in tits at 29m,tit slap at 33m, dp dildo at 39m,nipple clamps weight at 43m,oiled at 46m,one bar prison at 46m,oil spit at 47m,ass cane at 47,fucking machine at 51m</t>
  </si>
  <si>
    <t>doggy,missionary legs tied together,a legs stand</t>
  </si>
  <si>
    <t>Yes</t>
  </si>
  <si>
    <t>No</t>
  </si>
  <si>
    <t>https://punishworld.com/197708-ebony-slave-in-device-bondage-whipped/</t>
  </si>
  <si>
    <t>https://www.eporner.com/video-I84EQTWfKvD/bondage-fetish/</t>
  </si>
  <si>
    <t>https://heavyfetish.com/videos/10066/device-bondage-isis-love-missy-minks-audrey-rose/</t>
  </si>
  <si>
    <t>isis love,missy minks,audrey rose</t>
  </si>
  <si>
    <t>https://www.hqbdsm.com/model_Tara_Lynn_Foxx_2o86t</t>
  </si>
  <si>
    <t>tara lynn foxx</t>
  </si>
  <si>
    <t>https://bdsmstreak.com/video/93332/tara-lynn-fox-mellanie-monroe-and-isis-love-part-3-of-4-of-the-december-live-show</t>
  </si>
  <si>
    <t>isis love,mellanie monro,tara lynn foxx</t>
  </si>
  <si>
    <t>spank,flog,cane,blowjob,vibrator,fingering,body clothespin</t>
  </si>
  <si>
    <t>suspended upside down,lay down, bent</t>
  </si>
  <si>
    <t>small to medium length bdsm and rope bondage videos aggregator for tara lynn foxx</t>
  </si>
  <si>
    <t>tit flog at 0m,pussy flog at 0m</t>
  </si>
  <si>
    <t>bent,bent backwards,missionary legs up</t>
  </si>
  <si>
    <t>flog,small tits,pussy flog,vibrator,cane</t>
  </si>
  <si>
    <t>https://www.xozilla.xxx/videos/136923/kinky-femdom-porn-clip/</t>
  </si>
  <si>
    <t>sit split,pretzel vertical,inverted split</t>
  </si>
  <si>
    <t>face sit,missionary,kneel down vertical</t>
  </si>
  <si>
    <t>stand,doggy,sit</t>
  </si>
  <si>
    <t>sit</t>
  </si>
  <si>
    <t>lay down,face sit,spitroast</t>
  </si>
  <si>
    <t>doggy,bent,sit</t>
  </si>
  <si>
    <t>missionary legs up,suspended sit,frog</t>
  </si>
  <si>
    <t>sit split,lay down</t>
  </si>
  <si>
    <t>sit,doggy,lay down</t>
  </si>
  <si>
    <t>suspended upside down,doggy,sit</t>
  </si>
  <si>
    <t>joined legs up,lay down,face sit</t>
  </si>
  <si>
    <t>missionary legs up,lay down,face sit</t>
  </si>
  <si>
    <t>sit ,missionary,doggy</t>
  </si>
  <si>
    <t>face sit,69,m legs</t>
  </si>
  <si>
    <t>lay down,face sit</t>
  </si>
  <si>
    <t>ass up face down,suspended,face sit</t>
  </si>
  <si>
    <t>chastity,feet,peg,face sit,cage,mummy</t>
  </si>
  <si>
    <t>pussy eat,fondle,face sit,fingering,dildo,cunnilingus</t>
  </si>
  <si>
    <t>leashed at 2m,boot licking at 4m,face sit and fondle at 12m,inverted at 20m</t>
  </si>
  <si>
    <t>face sit at 14m,69 at 15m</t>
  </si>
  <si>
    <t>lay down legs up,pillory vertical</t>
  </si>
  <si>
    <t>hislut</t>
  </si>
  <si>
    <t>tutorial,rope gag,anal hook,cbt,shibari,ball suction</t>
  </si>
  <si>
    <t>dom teaches how to chastity and rope a man,ball suction at 30m</t>
  </si>
  <si>
    <t>bent,missionary,doggy</t>
  </si>
  <si>
    <t>https://heavyfetish.com/videos/111124/trinity-post-everythingbutt/</t>
  </si>
  <si>
    <t>trinity post</t>
  </si>
  <si>
    <t>kaitlyn katsaros</t>
  </si>
  <si>
    <t>https://bdsmmansion.com/video/9296/lily-la-beau-a-sadist-s-dream-come-true-kink-remastered-30-03-2023-1080-lily-labeau/</t>
  </si>
  <si>
    <t>https://bdsmmansion.com/video/446/chastity-tease-with-melody-pleasure-and-cheffie-shot/</t>
  </si>
  <si>
    <t>bdsm-soft-femdom</t>
  </si>
  <si>
    <t>chastity,fingering,balls in pussy,footjob,blowjob,piv</t>
  </si>
  <si>
    <t>melody marks in gentle femdom</t>
  </si>
  <si>
    <t>isis love,jessie cox, ami emerson</t>
  </si>
  <si>
    <t>felony,bella rossi,mz berlin</t>
  </si>
  <si>
    <t>https://bdsmmansion.com/search/felony/</t>
  </si>
  <si>
    <t>felony</t>
  </si>
  <si>
    <t>lot of felony videos at high quality</t>
  </si>
  <si>
    <t>contacts (720p)</t>
  </si>
  <si>
    <t>dream come true (1080p)</t>
  </si>
  <si>
    <t>spank,cane,flog,ball gag,vibrator,electric,nipple clamps,paddle</t>
  </si>
  <si>
    <t>https://bdsmmansion.com/video/14222/happy-birthday-felony/</t>
  </si>
  <si>
    <t>stand,suspended upside down,lay down,doggy</t>
  </si>
  <si>
    <t>flog at 6m,tit pull at 7m,nipple suction at 7m,tit suction cups at 9m,pussy hair pull at 16m,flog at 29m,nipple mouse trap at 31m,anal hook at 32m</t>
  </si>
  <si>
    <t>flog,tit flog,pussy flog,tit pull,nipple suction,tit suction cups,vibrator,ball gag,pussy hair pull,pussy spank,cane,nipple mouse trap,anal hook</t>
  </si>
  <si>
    <t>sit,stand,wheel barrow face down</t>
  </si>
  <si>
    <t>ball gag at 4m,undress at 13m,flog at 16m,wheel barrow face down at 20m,strapon at 34m,flog at 42m</t>
  </si>
  <si>
    <t>https://www.eporner.com/video-Xb5p90HL5tL/riding-on-an-unsafe-thrill/?trx=1227735290aee694b81473a256bea12420712</t>
  </si>
  <si>
    <t>liv revamped</t>
  </si>
  <si>
    <t>https://bdsmlust.com/bdsm-studio/device-bondage/</t>
  </si>
  <si>
    <t>ball gag,vibrator,flog,spank,cane</t>
  </si>
  <si>
    <t>lay down, suspended upside down,sit</t>
  </si>
  <si>
    <t>lot of high quality 1080p downloadable device bondage videos legit a gem mine</t>
  </si>
  <si>
    <t>katrina colt</t>
  </si>
  <si>
    <t>resolution</t>
  </si>
  <si>
    <t>video_name</t>
  </si>
  <si>
    <t>downloaded</t>
  </si>
  <si>
    <t>real_name</t>
  </si>
  <si>
    <t>website_video_name</t>
  </si>
  <si>
    <t>Tall Blonde Amateur Gets Fucked While Wearing Blackout Contact Lenses</t>
  </si>
  <si>
    <t xml:space="preserve">Lily La Beau – A Sadist’s Dream Come True </t>
  </si>
  <si>
    <t>https://bdsmlust.com/hogtied-hogtie-suspension-domination-and-use/</t>
  </si>
  <si>
    <t>beyond limts (720p)</t>
  </si>
  <si>
    <t>ten</t>
  </si>
  <si>
    <t>Hogtied – Hogtie Suspension, Domination and Use</t>
  </si>
  <si>
    <t>Dirty fucking girl.... TEN is pushed beyond her clitoral limits</t>
  </si>
  <si>
    <t>Tall Blonde Amateur Gets Fucked While Wearing Blackout Contact Lenses - She Can't See a Thing!!</t>
  </si>
  <si>
    <t>https://bdsmmansion.com/video/9253/adria-rae-femdom-scene/</t>
  </si>
  <si>
    <t>A Sadists Dream Come True</t>
  </si>
  <si>
    <t>Jodi Taylor LIVE</t>
  </si>
  <si>
    <t>jodi taylor, mz berlin, ivy addams</t>
  </si>
  <si>
    <t>download_note</t>
  </si>
  <si>
    <t>https://bdsmlust.com/device-bondage-jodi-taylor-live/</t>
  </si>
  <si>
    <t>Device Bondage Jodi Taylor LIVE</t>
  </si>
  <si>
    <t>redhead jodi (720p)</t>
  </si>
  <si>
    <t>https://www.pornhub.com/view_video.php?viewkey=679515d7ca089</t>
  </si>
  <si>
    <t>anna katana</t>
  </si>
  <si>
    <t>donna dolore,mz berlin</t>
  </si>
  <si>
    <t>https://www.eporner.com/video-1nj6UdiWpfr/bdsm-t0rture-chalr/</t>
  </si>
  <si>
    <t>https://heavyfetish.com/videos/123703/whippedass-a-double-debut-leah-gotti-madelynn-may/</t>
  </si>
  <si>
    <t>leah gotti,madelynn may</t>
  </si>
  <si>
    <t>julia ann</t>
  </si>
  <si>
    <t>https://www.pornissimo.org/videos/8737/latex-goddess-julia-ann-dominates-dripping-cock-whore/</t>
  </si>
  <si>
    <t>blowjob,oiled,cane</t>
  </si>
  <si>
    <t>anna katana 10kg weight predicament bondage while sucking dildo</t>
  </si>
  <si>
    <t>blowjob,oiled,cane,fingering,butt plug,butt plug gag</t>
  </si>
  <si>
    <t>fingering at 0m,butt plug at 1m,butt plug gag at 4m</t>
  </si>
  <si>
    <t>tit slap at 6m,flog at 7m,spank at 16m,nipple clothespin at 19m,pussy close up at 26m</t>
  </si>
  <si>
    <t>wooden horse,doggy,lay down</t>
  </si>
  <si>
    <t>kiss at 6m,spank at 6m,blowjob at 7m,good close up of ass,cane at 19m,piv at 21m</t>
  </si>
  <si>
    <t>kiss,spank,blowjob,vibrator,cane,piv,tit slap</t>
  </si>
  <si>
    <t>suspended upside down,suspended,missionary</t>
  </si>
  <si>
    <t>https://bdsmmansion.com/video/14709/april-olsen-helplessly-bound/</t>
  </si>
  <si>
    <t>https://bdsmstreak.com/video/71502/felony-bound-in-cruel-latex-metal-and-leather-bondage</t>
  </si>
  <si>
    <t>stand,squat,bent</t>
  </si>
  <si>
    <t>undress at 7m,nipple clamps at 11m,inflatable gag at 21m,inflatable butt plug at 22m,nipple sticks at 31m</t>
  </si>
  <si>
    <t>https://heavyfetish.com/videos/94773/hogtied-katrina-colt/</t>
  </si>
  <si>
    <t>spank,paddle,hair pull,large paddle at 19m,ass up face down at 28m</t>
  </si>
  <si>
    <t>doggy,over knee,pretzel,ass up face down</t>
  </si>
  <si>
    <t>stand,ass up face down,inverted pussy over face</t>
  </si>
  <si>
    <t>fingering,crotch rope,vibrator,spank,dildo stick</t>
  </si>
  <si>
    <t>undress at 7m,finger at 8m,crotch rope at 16m,spank at 19m,inverted pussy over face at 30m</t>
  </si>
  <si>
    <t>ball gag,cane,spank,nipple clamps,tit bound,inflatable gag,inflatable butt plug,tit flog,nipple sticks,pussy flog,vibrator,dildo stick</t>
  </si>
  <si>
    <t>ball gag,tit slap,flog,vibrator,spank,cane,nipple clothespin,dildo stick</t>
  </si>
  <si>
    <t>nostalgic live show,sit stuck to wall,nipple clamps at 31m</t>
  </si>
  <si>
    <t>stella cox</t>
  </si>
  <si>
    <t>spit,vibrator,armpits,cunnilingus,fingering,nipple bite,strapon,leash,sybian</t>
  </si>
  <si>
    <t>spit at 1m,strapon at 24m,leash at 31m,sybian at 31m</t>
  </si>
  <si>
    <t>tit pull,nipple clamps,pussy clamps,blindfold,vibrator,flog,dildo stick,sybian,ball gag</t>
  </si>
  <si>
    <t>tit pull at 5m,nipple clamps at 8m,pussy clamps at 10m,blindfold at 11m,sybian at 32m</t>
  </si>
  <si>
    <t>stand,missionary,prone bone</t>
  </si>
  <si>
    <t>cuffs and blackout contacts preping at 4m,undress at 9m,tongue slap at 40m,taser in ass at 57m,nipple clamps at 65m</t>
  </si>
  <si>
    <t>undress at 3m,enema at 41m,ruthless flog while on crotch chain</t>
  </si>
  <si>
    <t>undress at 2m,spank at 6m,spike wheel at 8m,flog at 10m,smothered in tits at 14m,nipple suction at 15m,panty gag at 15m,electric at 31m</t>
  </si>
  <si>
    <t>undress struggle,flog at 19m,nipple clamp chain in mouth at 25m,shocking pussy at 27m</t>
  </si>
  <si>
    <t>undress struggle, lay down on side,69 at 9m,high heels in ass at 11m,enema at 42m</t>
  </si>
  <si>
    <t>pinned,undress,piv,fondle</t>
  </si>
  <si>
    <t>tiny girl,tit slap,tit pull,nipple clothespin,pussy clamps,cane,slap,spank,paddle,belt</t>
  </si>
  <si>
    <t>undress at 9m,pussy clamps at 16m,face slap at 22m,strong spank and brusing at end 30m later</t>
  </si>
  <si>
    <t>pussy bite,high heel,nipple pinch,flog,enema,rope gag</t>
  </si>
  <si>
    <t>pussy bite at 2m</t>
  </si>
  <si>
    <t>pussy clothspin at 12m,pretzel at 20m,feet lick at 23m,pussy bite at 27m,pussy flog at 30m,strapon at 33m,dual dildo at 45m</t>
  </si>
  <si>
    <t>sit,pretzel,lay down</t>
  </si>
  <si>
    <t>ass up face down,inverted,doggy</t>
  </si>
  <si>
    <t>spank at 6m,enema at 9m,oil at 19m, anal hook at 41m</t>
  </si>
  <si>
    <t>spank,enema,butt plug,oiled,anal hook,blowjob,anal</t>
  </si>
  <si>
    <t>flog at 14m,peg at 23m</t>
  </si>
  <si>
    <t>ball clamps,body clothespin,ball gag,flog,peg,piv,</t>
  </si>
  <si>
    <t>stand,lay down diamond,hogtied</t>
  </si>
  <si>
    <t>fingering,dildo stick vibrator,flog,cane,oiled,nipple clamps,butt plug,anal hook,ball gag,</t>
  </si>
  <si>
    <t>undress at 5m,fingering at 5m,flog at 10m,oiled at 13m,nipple clamps strong pull at 15m,butt plug at 16m,anal hook at 35m</t>
  </si>
  <si>
    <t>https://heavyfetish.com/videos/6908/device-bondage-mzberlin-felony-bella-rossi/</t>
  </si>
  <si>
    <t>DEVICE BONDAGE MzBerlin Felony Bella Rossi</t>
  </si>
  <si>
    <t>Extreme immobilization! Felony is at the mercy of two fierce Doms</t>
  </si>
  <si>
    <t>felony no ice (720p)</t>
  </si>
  <si>
    <t>stand,pretzel,bent</t>
  </si>
  <si>
    <t>nostalgia,tit flog at 10m,tit oiled at 23m,pretzel at 25m,electric at 27m,cane at 28m,bent at 44m,oiled at 45m</t>
  </si>
  <si>
    <t>https://heavyfetish.com/videos/94233/device-bondage-tara-lynn-fox/</t>
  </si>
  <si>
    <t>oiled at 5m,nipple clamps at 11m,clothespin remove at 25m,funnel gag at 30m,pussy clamps at 30m,both hand pussy fist at 31m,cane at 45m,blindfold at 46m,slap at 60m</t>
  </si>
  <si>
    <t>candence lux</t>
  </si>
  <si>
    <t>https://www.tnaflix.com/amateur-porn/Naked-Cross-Bondage-On-The-Floor-Cadence-Lux/video25531412</t>
  </si>
  <si>
    <t>Cadence Lux: The Depths of Hell</t>
  </si>
  <si>
    <t>lux on floor (720p)</t>
  </si>
  <si>
    <t>Naked Cross Bondage On The Floor - Cadence Lux</t>
  </si>
  <si>
    <t>drug,flog,nipple suction toothpick,vibrator,tit slap,tit pull,cane,suffocation,step on,waterboard</t>
  </si>
  <si>
    <t>flog at 8m,nipple suction toothpick at 14m,tit pull at 24m,pussy cane at 26m,suffocation at 34m,step on stomach at 48m,waterboard at 54m</t>
  </si>
  <si>
    <t>kink originals</t>
  </si>
  <si>
    <t>kink men in pain</t>
  </si>
  <si>
    <t>kink public disgrace</t>
  </si>
  <si>
    <t>kink sex and submission</t>
  </si>
  <si>
    <t>kink the training of o</t>
  </si>
  <si>
    <t>kink whipped ass</t>
  </si>
  <si>
    <t>kink wired pussy</t>
  </si>
  <si>
    <t>kink hogtied</t>
  </si>
  <si>
    <t>kink hardcore gangbang</t>
  </si>
  <si>
    <t>kink everything butt</t>
  </si>
  <si>
    <t>kink divine bitches</t>
  </si>
  <si>
    <t>kink device bondage</t>
  </si>
  <si>
    <t>aiden star,madison young</t>
  </si>
  <si>
    <t>maddy oreilly</t>
  </si>
  <si>
    <t>bent over at 25m,chain inside pussy and ass at 41m</t>
  </si>
  <si>
    <t>https://bdsmstreak.com/video/93110/jessie-cox-ami-emerson-and-isis-love-part-1-of-4-of-the-september-live-feed</t>
  </si>
  <si>
    <t>https://hitbdsm.com/19-year-old-is-devastated-in-brutal-bondage</t>
  </si>
  <si>
    <t>https://hitbdsm.com/19yr-old-fashion-fitness-model-made-to-cum-so-hard-she-cant-even-beg-for-mercy-totally-destroyed</t>
  </si>
  <si>
    <t>https://hitbdsm.com/19yr-orgasmed-past-the-breaking-point-can-someone-be-orgasmed-to-insanity-we-almost-found-out</t>
  </si>
  <si>
    <t>https://hitbdsm.com/1-blonde-1-brunette-1-redhead-hot-lesbian-punishment-and-sex</t>
  </si>
  <si>
    <t>https://hitbdsm.com/adorable-19-year-old-has-a-tough-first-ever-lesbian-experience-on-whippedass-com</t>
  </si>
  <si>
    <t>https://hitbdsm.com/a-few-of-felonys-favorite-things</t>
  </si>
  <si>
    <t>https://hitbdsm.com/a-for-anal</t>
  </si>
  <si>
    <t>https://hitbdsm.com/alexa-von-tess-5</t>
  </si>
  <si>
    <t>https://hitbdsm.com/alexa-von-tess-and-sandra-romain</t>
  </si>
  <si>
    <t>https://hitbdsm.com/alicia-stone-sienna-and-isis-love-part-2-of-4-of-the-february-live-show</t>
  </si>
  <si>
    <t>https://hitbdsm.com/all-anal-slave-girls-training-the-gape</t>
  </si>
  <si>
    <t>https://hitbdsm.com/all-natural-beauty-in-pile-driver-orgasm-overload</t>
  </si>
  <si>
    <t>https://hitbdsm.com/all-natural-blonde-babe-lisey-sweet-ass-fucked-and-abused-in-bondage</t>
  </si>
  <si>
    <t>https://hitbdsm.com/amateur-hottie-tries-electricity-with-isis-love</t>
  </si>
  <si>
    <t>https://hitbdsm.com/amber-rayne-4</t>
  </si>
  <si>
    <t>https://hitbdsm.com/amber-rayne-live-show-part-2-drawn-and-quartered</t>
  </si>
  <si>
    <t>https://hitbdsm.com/amber-rayne-live-show-part-3-bent-and-fisted</t>
  </si>
  <si>
    <t>https://hitbdsm.com/amber-rayne-returns-to-device-bondage</t>
  </si>
  <si>
    <t>https://hitbdsm.com/anal-action-at-its-deepest-hardest-claire-adams-lorelei-lee</t>
  </si>
  <si>
    <t>https://hitbdsm.com/anal-audition-skylar-sweats-through-a-hot-soapy-enema</t>
  </si>
  <si>
    <t>https://hitbdsm.com/anal-campus-sluts</t>
  </si>
  <si>
    <t>https://hitbdsm.com/anal-exploring-sexy-slut-gaia</t>
  </si>
  <si>
    <t>https://hitbdsm.com/anal-girls-slumber-holiday</t>
  </si>
  <si>
    <t>https://hitbdsm.com/anal-perversion</t>
  </si>
  <si>
    <t>https://hitbdsm.com/anal-slut-gets-cold-steel-anal-invasion</t>
  </si>
  <si>
    <t>https://hitbdsm.com/angela-white-begs-to-suffer-for-her-master-in-metal-bondage</t>
  </si>
  <si>
    <t>https://hitbdsm.com/annabelle-lee-no-mas-no-mas</t>
  </si>
  <si>
    <t>https://hitbdsm.com/annie-cruz-bitch-in-heat</t>
  </si>
  <si>
    <t>https://hitbdsm.com/annie-cruz-trapped-in-a-piledriver-made-to-squirt-in-her-own-face-and-throat</t>
  </si>
  <si>
    <t>https://hitbdsm.com/ariel-x-3</t>
  </si>
  <si>
    <t>https://hitbdsm.com/ariel-x-4</t>
  </si>
  <si>
    <t>https://hitbdsm.com/ariel-x-7</t>
  </si>
  <si>
    <t>https://hitbdsm.com/ariel-x-body-builder-double-penetrated-in-diabolical-devices</t>
  </si>
  <si>
    <t>https://hitbdsm.com/ariel-x-double-penetrated-and-squirting-everywhere</t>
  </si>
  <si>
    <t>https://hitbdsm.com/ariel-x-extreme-bondage-brutal-torment-and-squirting-orgasms</t>
  </si>
  <si>
    <t>https://hitbdsm.com/ariel-x-live-show-complete-edited-version</t>
  </si>
  <si>
    <t>https://hitbdsm.com/a-sadists-dream-come-true</t>
  </si>
  <si>
    <t>https://hitbdsm.com/ashley-jane-ally-ann-and-princess-donna-part-1-of-4-of-the-november-live-show</t>
  </si>
  <si>
    <t>https://hitbdsm.com/ashli-orion-2</t>
  </si>
  <si>
    <t>https://hitbdsm.com/ashli-orion-cums-back-for-more-brutal-ties-only-on-hogtied</t>
  </si>
  <si>
    <t>https://hitbdsm.com/ass-fucking-enemas-galore-bobbi-starr-ariel-x</t>
  </si>
  <si>
    <t>https://hitbdsm.com/ass-hooked-caned-made-to-cum-so-much-she-begs-for-mercy-humilated-and-abused-so-helpless</t>
  </si>
  <si>
    <t>https://hitbdsm.com/a-tale-of-kasey-and-casey</t>
  </si>
  <si>
    <t>https://hitbdsm.com/athletic-milf-fuck-toy-cherie-deville-punished-in-bondage-and-sybian</t>
  </si>
  <si>
    <t>https://hitbdsm.com/bad-pussy</t>
  </si>
  <si>
    <t>https://hitbdsm.com/ballerina-sluts</t>
  </si>
  <si>
    <t>https://hitbdsm.com/beautiful-blonde-with-big-tits-gets-oiled-up-and-used-as-a-cum-canvas</t>
  </si>
  <si>
    <t>https://hitbdsm.com/beauty-and-the-beast-kristen-scott-vs-the-pope</t>
  </si>
  <si>
    <t>https://hitbdsm.com/bella-rossi-dispenses-pain-and-pleasure-to-gabriella-violets-asses</t>
  </si>
  <si>
    <t>https://hitbdsm.com/bent</t>
  </si>
  <si>
    <t>https://hitbdsm.com/beretta-challenged-with-wanton-cruelty</t>
  </si>
  <si>
    <t>https://hitbdsm.com/beretta-james</t>
  </si>
  <si>
    <t>https://hitbdsm.com/beretta-james-live-show-complete-edited-version</t>
  </si>
  <si>
    <t>https://hitbdsm.com/berlin-and-her-massive-breasts-are-back-great-breast-bondage-and-hardcore-orgams</t>
  </si>
  <si>
    <t>https://hitbdsm.com/berlin-the-extreme-bitch-is-back</t>
  </si>
  <si>
    <t>https://hitbdsm.com/big-booty-latina-pushes-her-anal-boundaries-for-everything-butt-fans</t>
  </si>
  <si>
    <t>https://hitbdsm.com/big-tits-brutal-bondage-extreme-corporal-punishment-and-squirting-orgasms</t>
  </si>
  <si>
    <t>https://hitbdsm.com/birthday-party-for-the-princess-pt-2</t>
  </si>
  <si>
    <t>https://hitbdsm.com/bitch-bound-in-bag-extreme-spread-eagle-special</t>
  </si>
  <si>
    <t>https://hitbdsm.com/black-mailed-step-mother-daughter-sexually-punished-2</t>
  </si>
  <si>
    <t>https://hitbdsm.com/blair-bitch-project</t>
  </si>
  <si>
    <t>https://hitbdsm.com/blonde-bombshell-anal-electrofucked-live</t>
  </si>
  <si>
    <t>https://hitbdsm.com/blonde-bombshell-bound-spanked-and-anally-fisted</t>
  </si>
  <si>
    <t>https://hitbdsm.com/blonde-college-student-is-subjected-to-extreme-suffering</t>
  </si>
  <si>
    <t>https://hitbdsm.com/blonde-fuck-slut-squeals-and-begs-to-cum</t>
  </si>
  <si>
    <t>https://hitbdsm.com/blonde-with-big-natural-breasts-rode-hard</t>
  </si>
  <si>
    <t>https://hitbdsm.com/blond-firecracker-fucked-senseless-by-machines</t>
  </si>
  <si>
    <t>https://hitbdsm.com/bound-by-metal-covered-in-wax-fucked-by-machine</t>
  </si>
  <si>
    <t>https://hitbdsm.com/breaking-the-innocent</t>
  </si>
  <si>
    <t>https://hitbdsm.com/brooke-lee-adams-orgasmed-to-near-unconsciousness-seriously</t>
  </si>
  <si>
    <t>https://hitbdsm.com/brooke-report-the-sexy-body-of-brooke-johnson-gets-bound-and-broken</t>
  </si>
  <si>
    <t>https://hitbdsm.com/brunettes-have-more-fun-sweet-revenge</t>
  </si>
  <si>
    <t>https://hitbdsm.com/brutality-and-torment</t>
  </si>
  <si>
    <t>https://hitbdsm.com/buff-milf-cherie-deville-submits-to-rope-bondage-and-unwilling-orgasms</t>
  </si>
  <si>
    <t>https://hitbdsm.com/busty-california-blonde-courtney-gets-bent-fucked-challenged</t>
  </si>
  <si>
    <t>https://hitbdsm.com/cabo-day-of-the-dead-part-4-a-fantasy</t>
  </si>
  <si>
    <t>https://hitbdsm.com/cadence-lux-the-depths-of-hell</t>
  </si>
  <si>
    <t>https://hitbdsm.com/calico-4</t>
  </si>
  <si>
    <t>https://hitbdsm.com/candy-manson</t>
  </si>
  <si>
    <t>https://hitbdsm.com/casey-calvert-bondage-torment-and-sexual-servitude</t>
  </si>
  <si>
    <t>https://hitbdsm.com/chanel-preston-returns-to-hogtied</t>
  </si>
  <si>
    <t>https://hitbdsm.com/chanel-prestons-hot-new-play-thing</t>
  </si>
  <si>
    <t>https://hitbdsm.com/cherry-torns-dirty-talking-anal-lesbian-slut</t>
  </si>
  <si>
    <t>https://hitbdsm.com/claire-adams-vs-dahlia-sky</t>
  </si>
  <si>
    <t>https://hitbdsm.com/claire-adams-vs-rough-rider-wenona</t>
  </si>
  <si>
    <t>https://hitbdsm.com/claire-dames-and-wenona-there-is-something-you-dont-see-everyday</t>
  </si>
  <si>
    <t>https://hitbdsm.com/claires-day-off</t>
  </si>
  <si>
    <t>https://hitbdsm.com/college-girl-ravished</t>
  </si>
  <si>
    <t>https://hitbdsm.com/come-enema-and-anal-domination</t>
  </si>
  <si>
    <t>https://hitbdsm.com/crystal-frost</t>
  </si>
  <si>
    <t>https://hitbdsm.com/cute-red-head-plucked-off-the-street-hung-upside-down-and-double-penetrated</t>
  </si>
  <si>
    <t>https://hitbdsm.com/cute-young-blonde-overwhelmed-with-bondage-and-cock</t>
  </si>
  <si>
    <t>https://hitbdsm.com/cyd-black-and-amber-rayne</t>
  </si>
  <si>
    <t>https://hitbdsm.com/damage-me-please</t>
  </si>
  <si>
    <t>https://hitbdsm.com/dani-daniels-in-brutal-bondage-tormented-and-made-to-cum-uncontrollably</t>
  </si>
  <si>
    <t>https://hitbdsm.com/day-of-reckoning</t>
  </si>
  <si>
    <t>https://hitbdsm.com/delilah-strong-2</t>
  </si>
  <si>
    <t>https://hitbdsm.com/destroying-the-homecoming-queen</t>
  </si>
  <si>
    <t>https://hitbdsm.com/devastating-darling</t>
  </si>
  <si>
    <t>https://hitbdsm.com/dirty-fucking-girl-ten-is-pushed-beyond-her-clitoral-limits</t>
  </si>
  <si>
    <t>https://hitbdsm.com/dollys-innocence-lost</t>
  </si>
  <si>
    <t>https://hitbdsm.com/double-teamed-extreme-bondagebrutal-suffering-and-squirting-orgasms</t>
  </si>
  <si>
    <t>https://hitbdsm.com/double-trouble</t>
  </si>
  <si>
    <t>https://hitbdsm.com/double-your-pleasure</t>
  </si>
  <si>
    <t>https://hitbdsm.com/double-zippers-and-a-double-sybians-these-girls-are-made-to-cum-until-they-forget-their-names</t>
  </si>
  <si>
    <t>https://hitbdsm.com/dragonlilly-the-sarge</t>
  </si>
  <si>
    <t>https://hitbdsm.com/dual-pleasures-adrianna-nicole-claire-adams</t>
  </si>
  <si>
    <t>https://hitbdsm.com/dyke-bar-3-abella-danger-fisted-dpd-and-dominated-by-wild-lesbians</t>
  </si>
  <si>
    <t>https://hitbdsm.com/dynamite-katie-summers-brings-it-live</t>
  </si>
  <si>
    <t>https://hitbdsm.com/encore-of-amber-raynes-april-6th-live-show</t>
  </si>
  <si>
    <t>https://hitbdsm.com/extreme-bondage-brutal-torment-and-intense-orgasm-denial</t>
  </si>
  <si>
    <t>https://hitbdsm.com/extreme-immobilization-felony-is-at-the-mercy-of-two-fierce-doms</t>
  </si>
  <si>
    <t>https://hitbdsm.com/falling-into-ashes-ash-hollywood</t>
  </si>
  <si>
    <t>https://hitbdsm.com/father-issues</t>
  </si>
  <si>
    <t>https://hitbdsm.com/feature-shoot-wet-rock-canyon</t>
  </si>
  <si>
    <t>https://hitbdsm.com/felony-2</t>
  </si>
  <si>
    <t>https://hitbdsm.com/felony-amazing-milf-squirter</t>
  </si>
  <si>
    <t>https://hitbdsm.com/felony-bound-in-cruel-latex-metal-and-leather-bondage</t>
  </si>
  <si>
    <t>https://hitbdsm.com/felony-overloaded-overflowed</t>
  </si>
  <si>
    <t>https://hitbdsm.com/final-reckoning</t>
  </si>
  <si>
    <t>https://hitbdsm.com/first-kinky-lesbian-experience</t>
  </si>
  <si>
    <t>https://hitbdsm.com/first-timer-in-extreme-bondage-with-brutal-tormented-and-made-to-cum</t>
  </si>
  <si>
    <t>https://hitbdsm.com/fisting-class</t>
  </si>
  <si>
    <t>https://hitbdsm.com/fist-punching-sarah</t>
  </si>
  <si>
    <t>https://hitbdsm.com/fragments-viii</t>
  </si>
  <si>
    <t>https://hitbdsm.com/fresh-meat-rosalyn-sphinx</t>
  </si>
  <si>
    <t>https://hitbdsm.com/fresh-talent</t>
  </si>
  <si>
    <t>https://hitbdsm.com/fucking-up-rain-degrey-with-insane-bondage-and-brutal-torment</t>
  </si>
  <si>
    <t>https://hitbdsm.com/genuine-20yr-old-farmers-daughter-former-cheerleader-gymnast-gets-destroyed-by-cock</t>
  </si>
  <si>
    <t>https://hitbdsm.com/girl-next-door-severely-bound-and-helpless-stripped-elbows-bound-legs-split-multi-orgasms</t>
  </si>
  <si>
    <t>https://hitbdsm.com/gold-digging-step-mother-served-double-anal-trouble</t>
  </si>
  <si>
    <t>https://hitbdsm.com/grueling-bondage</t>
  </si>
  <si>
    <t>https://hitbdsm.com/hall-of-fuckingmachines-fame-the-top-of-the-fuck-chain</t>
  </si>
  <si>
    <t>https://hitbdsm.com/helpless-whore-devastated-by-extreme-bondage</t>
  </si>
  <si>
    <t>https://hitbdsm.com/helpless-whores-suffering</t>
  </si>
  <si>
    <t>https://hitbdsm.com/hot-blonde-anikka-albrights-first-bondage-shoot-ever</t>
  </si>
  <si>
    <t>https://hitbdsm.com/hot-blond-is-caned-ass-fucked-made-to-cum-over-and-over-4-doms-brutally-work-the-whore-over</t>
  </si>
  <si>
    <t>https://hitbdsm.com/i-hate-bugs</t>
  </si>
  <si>
    <t>https://hitbdsm.com/immigration-authority</t>
  </si>
  <si>
    <t>https://hitbdsm.com/iona-grace-punished-wanton-slut</t>
  </si>
  <si>
    <t>https://hitbdsm.com/isis-love-9</t>
  </si>
  <si>
    <t>https://hitbdsm.com/jade-indica-fucks-her-own-ass-in-suspension</t>
  </si>
  <si>
    <t>https://hitbdsm.com/jade-marxxx-3</t>
  </si>
  <si>
    <t>https://hitbdsm.com/jade-marxxx-live-part-1</t>
  </si>
  <si>
    <t>https://hitbdsm.com/jenni-lee-and-jade-marxxx</t>
  </si>
  <si>
    <t>https://hitbdsm.com/jessica-sexin-and-isis-love</t>
  </si>
  <si>
    <t>https://hitbdsm.com/jessie-cox-ami-emerson-and-isis-love-part-1-of-4-of-the-september-live-feed</t>
  </si>
  <si>
    <t>https://hitbdsm.com/jodi-taylor-eager-slut-elaborately-bound-caned-zapped-and-fucked</t>
  </si>
  <si>
    <t>https://hitbdsm.com/jodi-taylor-live</t>
  </si>
  <si>
    <t>https://hitbdsm.com/juliette-march-perfect-pain-slut-pushed-to-the-extreme</t>
  </si>
  <si>
    <t>https://hitbdsm.com/katie-summers-tormented-cunt</t>
  </si>
  <si>
    <t>https://hitbdsm.com/katya-rodriguez-hogtied-newcomer-bound-and-tormented-in-bondage</t>
  </si>
  <si>
    <t>https://hitbdsm.com/kayla-paige-and-tory-lane</t>
  </si>
  <si>
    <t>https://hitbdsm.com/keira-croft-pain-slut-gets-destroyed-squirts-everywhere</t>
  </si>
  <si>
    <t>https://hitbdsm.com/kikis-cumery-part-3-smothering-and-squirting-at-kikis-hump-palace</t>
  </si>
  <si>
    <t>https://hitbdsm.com/killing-the-machines-with-pussy-squirt-cytherea-and-dylan-ryan</t>
  </si>
  <si>
    <t>https://hitbdsm.com/lesbian-femdom-role-switch-leaves-both-women-begging-for-more</t>
  </si>
  <si>
    <t>https://hitbdsm.com/lil-pixie-odette-delacroix-world-class-deep-throating-champion-bound-vibrated-and-throat-blasted</t>
  </si>
  <si>
    <t>https://hitbdsm.com/lily-labeau-endures-extreme-bondage-brutal-foot-torment-and-screaming-orgasms</t>
  </si>
  <si>
    <t>https://hitbdsm.com/little-giver</t>
  </si>
  <si>
    <t>https://hitbdsm.com/little-nympho-whore</t>
  </si>
  <si>
    <t>https://hitbdsm.com/long-legs-and-huge-nipples-suffers-foot-caning-finger-fucking-til-squirting-agony-ecstasy</t>
  </si>
  <si>
    <t>https://hitbdsm.com/looking-for-trouble-3</t>
  </si>
  <si>
    <t>https://hitbdsm.com/lorelei-lee-is-bent-in-unforgiving-device-bondage</t>
  </si>
  <si>
    <t>https://hitbdsm.com/loreleis-new-pet</t>
  </si>
  <si>
    <t>https://hitbdsm.com/lyla-storm-complete-edited-live-show</t>
  </si>
  <si>
    <t>https://hitbdsm.com/lyla-storm-vs-jack-hammer</t>
  </si>
  <si>
    <t>https://hitbdsm.com/madison-scott-is-bound-in-a-traditional-japanese-torture-position-make-to-cum-and-squirt</t>
  </si>
  <si>
    <t>https://hitbdsm.com/madison-young-and-sandra-romain</t>
  </si>
  <si>
    <t>https://hitbdsm.com/march-madness-extreme-bondage-orgasm-overload-brutal-torment-hair-suspension</t>
  </si>
  <si>
    <t>https://hitbdsm.com/marie-mccray</t>
  </si>
  <si>
    <t>https://hitbdsm.com/mark-davis-and-jade-marxxx</t>
  </si>
  <si>
    <t>https://hitbdsm.com/mark-davis-and-nadia-styles</t>
  </si>
  <si>
    <t>https://hitbdsm.com/masochistic-anal-sluts-suffer-and-squirt-for-bdsm-party</t>
  </si>
  <si>
    <t>https://hitbdsm.com/mason-winter-sky-and-christina-carter-part-1-of-4-of-the-july-live-feed</t>
  </si>
  <si>
    <t>https://hitbdsm.com/mia-lelani-big-titted-cunt-tormented-complete-edited-live-show</t>
  </si>
  <si>
    <t>https://hitbdsm.com/miss-kitty</t>
  </si>
  <si>
    <t>https://hitbdsm.com/missy-minks-live-show-edited</t>
  </si>
  <si>
    <t>https://hitbdsm.com/missy-minks-tough-lesbian-slut</t>
  </si>
  <si>
    <t>https://hitbdsm.com/mommies-know-best-gorgeous-milfs-train-disobedient-young-girls</t>
  </si>
  <si>
    <t>https://hitbdsm.com/my-step-mother-is-a-secret-sex-slave-2</t>
  </si>
  <si>
    <t>https://hitbdsm.com/mz-berlin-vs-odile</t>
  </si>
  <si>
    <t>https://hitbdsm.com/newbie-gets-brutally-fucked-in-tight-bondage</t>
  </si>
  <si>
    <t>https://hitbdsm.com/newbie-is-trapped-in-evil-devices-and-tormented</t>
  </si>
  <si>
    <t>https://hitbdsm.com/new-recruit-crew-member-electro-fucked-and-tormented</t>
  </si>
  <si>
    <t>https://hitbdsm.com/nikki-darling-katharine-cane-complete-edited-live-show</t>
  </si>
  <si>
    <t>https://hitbdsm.com/no-cuntry-for-dirty-sluts</t>
  </si>
  <si>
    <t>https://hitbdsm.com/no-holds-barred-daisy-ducati-shocks-fucks-lesbian-pain-slut</t>
  </si>
  <si>
    <t>https://hitbdsm.com/obedient-girl-sensi-pearl</t>
  </si>
  <si>
    <t>https://hitbdsm.com/office-take-down</t>
  </si>
  <si>
    <t>https://hitbdsm.com/omega-fucks-another-tiny-brunette-into-sub-space</t>
  </si>
  <si>
    <t>https://hitbdsm.com/one-bad-ass-bitch-mona-wales</t>
  </si>
  <si>
    <t>https://hitbdsm.com/one-girl-is-stretched-to-the-limit-of-her-body-the-other-takes-the-cane-and-takes-it-hard</t>
  </si>
  <si>
    <t>https://hitbdsm.com/one-tough-bitch-holly-heart-and-maestro</t>
  </si>
  <si>
    <t>https://hitbdsm.com/painful-intimacy</t>
  </si>
  <si>
    <t>https://hitbdsm.com/pain-slut-destroyed-with-pleasure-massive-orgasm-overload-totally-implodes-this-whores-brain</t>
  </si>
  <si>
    <t>https://hitbdsm.com/penned-in</t>
  </si>
  <si>
    <t>https://hitbdsm.com/penny-barber-2</t>
  </si>
  <si>
    <t>https://hitbdsm.com/penny-dreadful-part-2</t>
  </si>
  <si>
    <t>https://hitbdsm.com/petite-asian-bondage-virgin-gets-a-dose-of-suffering</t>
  </si>
  <si>
    <t>https://hitbdsm.com/petite-blonde-gets-destroyed-in-extreme-bondage</t>
  </si>
  <si>
    <t>https://hitbdsm.com/petite-bondage-slut-sensi-pearl</t>
  </si>
  <si>
    <t>https://hitbdsm.com/phoenix-marie-gets-her-ass-fisted-in-bondage</t>
  </si>
  <si>
    <t>https://hitbdsm.com/piper-perris-sex-slave-initiation</t>
  </si>
  <si>
    <t>https://hitbdsm.com/pom-pom-girl-gets-gang-banged-by-basketball-coach-and-team</t>
  </si>
  <si>
    <t>https://hitbdsm.com/popping-the-cherry</t>
  </si>
  <si>
    <t>https://hitbdsm.com/pornstar-home-movies-derrick-felony</t>
  </si>
  <si>
    <t>https://hitbdsm.com/presenting-chloes-cunt-folded-opened-and-exposed</t>
  </si>
  <si>
    <t>https://hitbdsm.com/princess-donna-is-sandras-electro-submissive</t>
  </si>
  <si>
    <t>https://hitbdsm.com/princess-donnas-b-day-bash</t>
  </si>
  <si>
    <t>https://hitbdsm.com/public-gangbang-3</t>
  </si>
  <si>
    <t>https://hitbdsm.com/pushing-her-buttons</t>
  </si>
  <si>
    <t>https://hitbdsm.com/pushing-limits-with-hardcore-bdsm-sex</t>
  </si>
  <si>
    <t>https://hitbdsm.com/rain-degrey-makes-ashli-orion-cum-in-an-inverted-suspension</t>
  </si>
  <si>
    <t>https://hitbdsm.com/rain-gets-the-full-orgasmic-overload</t>
  </si>
  <si>
    <t>https://hitbdsm.com/red-hair-fair-skin-finger-fucked-machine-fucked-extreme-nipple-play-hot-wax-hard-caning</t>
  </si>
  <si>
    <t>https://hitbdsm.com/red-head-with-massive-huge-tits-then-it-must-be-berlin-we-love-a-girl-who-loves-bondage</t>
  </si>
  <si>
    <t>https://hitbdsm.com/resistance-is-futile-dana-gives-into-her-lust-and-aching-asshole</t>
  </si>
  <si>
    <t>https://hitbdsm.com/role-reversal-2</t>
  </si>
  <si>
    <t>https://hitbdsm.com/ruined-orgasm-theres-no-pleasurable-release-when-your-orgasm-is-abandoned</t>
  </si>
  <si>
    <t>https://hitbdsm.com/sara-faye-elyse-and-claire-adams</t>
  </si>
  <si>
    <t>https://hitbdsm.com/sarah-shevon-the-pile-driver</t>
  </si>
  <si>
    <t>https://hitbdsm.com/sasha-has-soooo-many-firsts-anal-squirt</t>
  </si>
  <si>
    <t>https://hitbdsm.com/scandalous-anal-college-admission-for-bratty-step-daughter</t>
  </si>
  <si>
    <t>https://hitbdsm.com/screaming-through-the-pain</t>
  </si>
  <si>
    <t>https://hitbdsm.com/service-session-clit-appreciation-day</t>
  </si>
  <si>
    <t>https://hitbdsm.com/sexy-bad-girl-tamed-by-chain</t>
  </si>
  <si>
    <t>https://hitbdsm.com/sexy-brunette-experiences-nipple-torture-brutal-crotch-rope-and-extreme-bondage</t>
  </si>
  <si>
    <t>https://hitbdsm.com/sexy-milf-in-hot-bondage-massive</t>
  </si>
  <si>
    <t>https://hitbdsm.com/sheena-shaw-rough-rider</t>
  </si>
  <si>
    <t>https://hitbdsm.com/sister-dee</t>
  </si>
  <si>
    <t>https://hitbdsm.com/slutty-anal-nurses</t>
  </si>
  <si>
    <t>https://hitbdsm.com/stella-cox-learns-the-hard-way-not-to-mess-with-a-dommes-money</t>
  </si>
  <si>
    <t>https://hitbdsm.com/step-sister-slut-featuring-riley-reid</t>
  </si>
  <si>
    <t>https://hitbdsm.com/stock-fucked</t>
  </si>
  <si>
    <t>https://hitbdsm.com/stolen-goods</t>
  </si>
  <si>
    <t>https://hitbdsm.com/submission-to-pain-cherries-felony</t>
  </si>
  <si>
    <t>https://hitbdsm.com/super-cute-blond-is-tormented-cloths-pins-on-her-body-are-ripped-off-made-to-cum-over-and-over</t>
  </si>
  <si>
    <t>https://hitbdsm.com/super-flexible-sensi-pearl-gets-tied-up-and-fucked</t>
  </si>
  <si>
    <t>https://hitbdsm.com/super-sexy-alt-pain-slut-captured-in-brutal-bondage-and-tormented</t>
  </si>
  <si>
    <t>https://hitbdsm.com/super-slut</t>
  </si>
  <si>
    <t>https://hitbdsm.com/tall-blond-bombshell-taken-down</t>
  </si>
  <si>
    <t>https://hitbdsm.com/tall-long-legged-blond-is-hung-upside-down-made-to-cum-choked-clamped-abused-left-hanging</t>
  </si>
  <si>
    <t>https://hitbdsm.com/tara-lynn-foxx-complete-edited-live-show</t>
  </si>
  <si>
    <t>https://hitbdsm.com/the-electroslut-next-door</t>
  </si>
  <si>
    <t>https://hitbdsm.com/the-family-platform-anal-whore-exposed-by-slutty-step-daughter</t>
  </si>
  <si>
    <t>https://hitbdsm.com/the-fuck-doll</t>
  </si>
  <si>
    <t>https://hitbdsm.com/the-gentle-approach-to-heavy-ass-fucking</t>
  </si>
  <si>
    <t>https://hitbdsm.com/the-intern</t>
  </si>
  <si>
    <t>https://hitbdsm.com/the-interview-part-2</t>
  </si>
  <si>
    <t>https://hitbdsm.com/the-naive-model-and-the-creepy-photographer</t>
  </si>
  <si>
    <t>https://hitbdsm.com/the-new-bitch</t>
  </si>
  <si>
    <t>https://hitbdsm.com/the-night-nurse-dani-daniels</t>
  </si>
  <si>
    <t>https://hitbdsm.com/the-return-of-darling</t>
  </si>
  <si>
    <t>https://hitbdsm.com/the-sarge-meets-mia-bangg</t>
  </si>
  <si>
    <t>https://hitbdsm.com/the-terminator-the-groovy-and-the-faithful-slave-part-4</t>
  </si>
  <si>
    <t>https://hitbdsm.com/the-virgin</t>
  </si>
  <si>
    <t>https://hitbdsm.com/tied-together-ot-uses-predicament-bondage-to-make-kate-and-dolly-torment-each-other</t>
  </si>
  <si>
    <t>https://hitbdsm.com/tiny-big-booty-hottie-jynx-maze-is-bound-face-fucked-deep-throated-and-pussy-fucked-to-orgasms</t>
  </si>
  <si>
    <t>https://hitbdsm.com/tiny-blonde-odette-delacroix-bound-inside-a-box-and-roughly-fucked-from-both-ends-by-cock</t>
  </si>
  <si>
    <t>https://hitbdsm.com/tiny-blonde-tied-up-and-ass-fucked-in-public</t>
  </si>
  <si>
    <t>https://hitbdsm.com/tiny-casey-calvert-is-inverted-skull-fucked-pussy-fucked-nipple-tortured-squirts-like-a-fountain</t>
  </si>
  <si>
    <t>https://hitbdsm.com/tiny-sex-kitten-isabella-nice-submits-in-rope-bondage-and-anal-fucking</t>
  </si>
  <si>
    <t>https://hitbdsm.com/tiny-slut-big-pain</t>
  </si>
  <si>
    <t>https://hitbdsm.com/tomi-knox-assaults-fuck-doll-kristine-kahill-with-creative-devices-and-sadism</t>
  </si>
  <si>
    <t>https://hitbdsm.com/tough-as-nails</t>
  </si>
  <si>
    <t>https://hitbdsm.com/tough-blonde-bombshell-fan-favorite-lorelei-lee-complete-edited-live-show</t>
  </si>
  <si>
    <t>https://hitbdsm.com/tracey-sweet</t>
  </si>
  <si>
    <t>https://hitbdsm.com/two-cunts-one-game</t>
  </si>
  <si>
    <t>https://hitbdsm.com/two-cute-two-cute-sluts-for-the-price-of-one</t>
  </si>
  <si>
    <t>https://hitbdsm.com/two-of-the-hottest-and-toughest-porn-stars-team-up-for-one-explosive-update</t>
  </si>
  <si>
    <t>https://hitbdsm.com/vendetta-returns-to-hogtied-you-can-only-see-her-exclusively-at-kink</t>
  </si>
  <si>
    <t>https://hitbdsm.com/vendetta-vs-the-machines</t>
  </si>
  <si>
    <t>https://hitbdsm.com/vulgar-display-of-power-on-ebony-slut</t>
  </si>
  <si>
    <t>https://hitbdsm.com/welcome-sheena-shaw</t>
  </si>
  <si>
    <t>https://hitbdsm.com/wenona-6</t>
  </si>
  <si>
    <t>https://hitbdsm.com/wenona-7</t>
  </si>
  <si>
    <t>https://hitbdsm.com/wenona-jessie-cox-and-isis-love-part-1-of-4-of-the-march-live-show</t>
  </si>
  <si>
    <t>https://hitbdsm.com/wenona-put-into-extreme-bondage</t>
  </si>
  <si>
    <t>https://hitbdsm.com/wenona-suffers</t>
  </si>
  <si>
    <t>https://hitbdsm.com/wenona-the-sarge</t>
  </si>
  <si>
    <t>https://hitbdsm.com/whipped-ass-live-in-december</t>
  </si>
  <si>
    <t>without dash</t>
  </si>
  <si>
    <t>-</t>
  </si>
  <si>
    <t>56824</t>
  </si>
  <si>
    <t>63317</t>
  </si>
  <si>
    <t>bent</t>
  </si>
  <si>
    <t>shocking her holes</t>
  </si>
  <si>
    <t>holly michaels suspension and domination</t>
  </si>
  <si>
    <t>lorelei lee dominating remy lacroix</t>
  </si>
  <si>
    <t>newcomer loses her innocence</t>
  </si>
  <si>
    <t>roses are red</t>
  </si>
  <si>
    <t>queen snake splits</t>
  </si>
  <si>
    <t>device bondage</t>
  </si>
  <si>
    <t>electric body used to power a light bulb and butt plug</t>
  </si>
  <si>
    <t>kelly divine stretched fucked flogged and squirting everywhere rosebud exposed</t>
  </si>
  <si>
    <t>cheyenne jewel punished with unwilling orgasms and mean metal bondage</t>
  </si>
  <si>
    <t>wild anal seductress</t>
  </si>
  <si>
    <t>journalist ash hollywood learns what is means to be nonbiased through electro motivation</t>
  </si>
  <si>
    <t>19 year old is devastated in brutal bondage</t>
  </si>
  <si>
    <t>19yr old fashion fitness model made to cum so hard she cant even beg for mercy totally destroyed</t>
  </si>
  <si>
    <t>19yr orgasmed past the breaking point can someone be orgasmed to insanity we almost found out</t>
  </si>
  <si>
    <t>1 blonde 1 brunette 1 redhead hot lesbian punishment and sex</t>
  </si>
  <si>
    <t>adorable 19 year old has a tough first ever lesbian experience on whippedass com</t>
  </si>
  <si>
    <t>a few of felonys favorite things</t>
  </si>
  <si>
    <t>a for anal</t>
  </si>
  <si>
    <t>alexa von tess 5</t>
  </si>
  <si>
    <t>alexa von tess and sandra romain</t>
  </si>
  <si>
    <t>alicia stone sienna and isis love part 2 of 4 of the february live show</t>
  </si>
  <si>
    <t>all anal slave girls training the gape</t>
  </si>
  <si>
    <t>all natural beauty in pile driver orgasm overload</t>
  </si>
  <si>
    <t>all natural blonde babe lisey sweet ass fucked and abused in bondage</t>
  </si>
  <si>
    <t>amateur hottie tries electricity with isis love</t>
  </si>
  <si>
    <t>amber rayne 4</t>
  </si>
  <si>
    <t>amber rayne live show part 2 drawn and quartered</t>
  </si>
  <si>
    <t>amber rayne live show part 3 bent and fisted</t>
  </si>
  <si>
    <t>amber rayne returns to device bondage</t>
  </si>
  <si>
    <t>anal action at its deepest hardest claire adams lorelei lee</t>
  </si>
  <si>
    <t>anal audition skylar sweats through a hot soapy enema</t>
  </si>
  <si>
    <t>anal campus sluts</t>
  </si>
  <si>
    <t>anal exploring sexy slut gaia</t>
  </si>
  <si>
    <t>anal girls slumber holiday</t>
  </si>
  <si>
    <t>anal perversion</t>
  </si>
  <si>
    <t>anal slut gets cold steel anal invasion</t>
  </si>
  <si>
    <t>angela white begs to suffer for her master in metal bondage</t>
  </si>
  <si>
    <t>annabelle lee no mas no mas</t>
  </si>
  <si>
    <t>annie cruz bitch in heat</t>
  </si>
  <si>
    <t>annie cruz trapped in a piledriver made to squirt in her own face and throat</t>
  </si>
  <si>
    <t>ariel x 3</t>
  </si>
  <si>
    <t>ariel x 4</t>
  </si>
  <si>
    <t>ariel x 7</t>
  </si>
  <si>
    <t>ariel x body builder double penetrated in diabolical devices</t>
  </si>
  <si>
    <t>ariel x double penetrated and squirting everywhere</t>
  </si>
  <si>
    <t>ariel x extreme bondage brutal torment and squirting orgasms</t>
  </si>
  <si>
    <t>ariel x live show complete edited version</t>
  </si>
  <si>
    <t>a sadists dream come true</t>
  </si>
  <si>
    <t>ashley jane ally ann and princess donna part 1 of 4 of the november live show</t>
  </si>
  <si>
    <t>ashli orion 2</t>
  </si>
  <si>
    <t>ashli orion cums back for more brutal ties only on hogtied</t>
  </si>
  <si>
    <t>ass fucking enemas galore bobbi starr ariel x</t>
  </si>
  <si>
    <t>ass hooked caned made to cum so much she begs for mercy humilated and abused so helpless</t>
  </si>
  <si>
    <t>a tale of kasey and casey</t>
  </si>
  <si>
    <t>athletic milf fuck toy cherie deville punished in bondage and sybian</t>
  </si>
  <si>
    <t>bad pussy</t>
  </si>
  <si>
    <t>ballerina sluts</t>
  </si>
  <si>
    <t>beautiful blonde with big tits gets oiled up and used as a cum canvas</t>
  </si>
  <si>
    <t>beauty and the beast kristen scott vs the pope</t>
  </si>
  <si>
    <t>bella rossi dispenses pain and pleasure to gabriella violets asses</t>
  </si>
  <si>
    <t>beretta challenged with wanton cruelty</t>
  </si>
  <si>
    <t>beretta james live show complete edited version</t>
  </si>
  <si>
    <t>berlin and her massive breasts are back great breast bondage and hardcore orgams</t>
  </si>
  <si>
    <t>berlin the extreme bitch is back</t>
  </si>
  <si>
    <t>big booty latina pushes her anal boundaries for everything butt fans</t>
  </si>
  <si>
    <t>big tits brutal bondage extreme corporal punishment and squirting orgasms</t>
  </si>
  <si>
    <t>birthday party for the princess pt 2</t>
  </si>
  <si>
    <t>bitch bound in bag extreme spread eagle special</t>
  </si>
  <si>
    <t>black mailed step mother daughter sexually punished 2</t>
  </si>
  <si>
    <t>blair bitch project</t>
  </si>
  <si>
    <t>blonde bombshell anal electrofucked live</t>
  </si>
  <si>
    <t>blonde bombshell bound spanked and anally fisted</t>
  </si>
  <si>
    <t>blonde college student is subjected to extreme suffering</t>
  </si>
  <si>
    <t>blonde fuck slut squeals and begs to cum</t>
  </si>
  <si>
    <t>blonde with big natural breasts rode hard</t>
  </si>
  <si>
    <t>blond firecracker fucked senseless by machines</t>
  </si>
  <si>
    <t>bound by metal covered in wax fucked by machine</t>
  </si>
  <si>
    <t>breaking the innocent</t>
  </si>
  <si>
    <t>brooke lee adams orgasmed to near unconsciousness seriously</t>
  </si>
  <si>
    <t>brooke report the sexy body of brooke johnson gets bound and broken</t>
  </si>
  <si>
    <t>brunettes have more fun sweet revenge</t>
  </si>
  <si>
    <t>brutality and torment</t>
  </si>
  <si>
    <t>buff milf cherie deville submits to rope bondage and unwilling orgasms</t>
  </si>
  <si>
    <t>busty california blonde courtney gets bent fucked challenged</t>
  </si>
  <si>
    <t>cabo day of the dead part 4 a fantasy</t>
  </si>
  <si>
    <t>cadence lux the depths of hell</t>
  </si>
  <si>
    <t>calico 4</t>
  </si>
  <si>
    <t>candy manson</t>
  </si>
  <si>
    <t>casey calvert bondage torment and sexual servitude</t>
  </si>
  <si>
    <t>chanel preston returns to hogtied</t>
  </si>
  <si>
    <t>chanel prestons hot new play thing</t>
  </si>
  <si>
    <t>cherry torns dirty talking anal lesbian slut</t>
  </si>
  <si>
    <t>claire adams vs dahlia sky</t>
  </si>
  <si>
    <t>claire adams vs rough rider wenona</t>
  </si>
  <si>
    <t>claire dames and wenona there is something you dont see everyday</t>
  </si>
  <si>
    <t>claires day off</t>
  </si>
  <si>
    <t>college girl ravished</t>
  </si>
  <si>
    <t>come enema and anal domination</t>
  </si>
  <si>
    <t>crystal frost</t>
  </si>
  <si>
    <t>cute red head plucked off the street hung upside down and double penetrated</t>
  </si>
  <si>
    <t>cute young blonde overwhelmed with bondage and cock</t>
  </si>
  <si>
    <t>cyd black and amber rayne</t>
  </si>
  <si>
    <t>damage me please</t>
  </si>
  <si>
    <t>dani daniels in brutal bondage tormented and made to cum uncontrollably</t>
  </si>
  <si>
    <t>day of reckoning</t>
  </si>
  <si>
    <t>delilah strong 2</t>
  </si>
  <si>
    <t>destroying the homecoming queen</t>
  </si>
  <si>
    <t>devastating darling</t>
  </si>
  <si>
    <t>dirty fucking girl ten is pushed beyond her clitoral limits</t>
  </si>
  <si>
    <t>dollys innocence lost</t>
  </si>
  <si>
    <t>double teamed extreme bondagebrutal suffering and squirting orgasms</t>
  </si>
  <si>
    <t>double trouble</t>
  </si>
  <si>
    <t>double your pleasure</t>
  </si>
  <si>
    <t>double zippers and a double sybians these girls are made to cum until they forget their names</t>
  </si>
  <si>
    <t>dragonlilly the sarge</t>
  </si>
  <si>
    <t>dual pleasures adrianna nicole claire adams</t>
  </si>
  <si>
    <t>dyke bar 3 abella danger fisted dpd and dominated by wild lesbians</t>
  </si>
  <si>
    <t>dynamite katie summers brings it live</t>
  </si>
  <si>
    <t>encore of amber raynes april 6th live show</t>
  </si>
  <si>
    <t>extreme bondage brutal torment and intense orgasm denial</t>
  </si>
  <si>
    <t>extreme immobilization felony is at the mercy of two fierce doms</t>
  </si>
  <si>
    <t>falling into ashes ash hollywood</t>
  </si>
  <si>
    <t>father issues</t>
  </si>
  <si>
    <t>feature shoot wet rock canyon</t>
  </si>
  <si>
    <t>felony 2</t>
  </si>
  <si>
    <t>felony amazing milf squirter</t>
  </si>
  <si>
    <t>felony bound in cruel latex metal and leather bondage</t>
  </si>
  <si>
    <t>felony overloaded overflowed</t>
  </si>
  <si>
    <t>final reckoning</t>
  </si>
  <si>
    <t>first kinky lesbian experience</t>
  </si>
  <si>
    <t>first timer in extreme bondage with brutal tormented and made to cum</t>
  </si>
  <si>
    <t>fisting class</t>
  </si>
  <si>
    <t>fist punching sarah</t>
  </si>
  <si>
    <t>fragments viii</t>
  </si>
  <si>
    <t>fresh meat rosalyn sphinx</t>
  </si>
  <si>
    <t>fresh talent</t>
  </si>
  <si>
    <t>fucking up rain degrey with insane bondage and brutal torment</t>
  </si>
  <si>
    <t>genuine 20yr old farmers daughter former cheerleader gymnast gets destroyed by cock</t>
  </si>
  <si>
    <t>girl next door severely bound and helpless stripped elbows bound legs split multi orgasms</t>
  </si>
  <si>
    <t>gold digging step mother served double anal trouble</t>
  </si>
  <si>
    <t>grueling bondage</t>
  </si>
  <si>
    <t>hall of fuckingmachines fame the top of the fuck chain</t>
  </si>
  <si>
    <t>helpless whore devastated by extreme bondage</t>
  </si>
  <si>
    <t>helpless whores suffering</t>
  </si>
  <si>
    <t>hot blonde anikka albrights first bondage shoot ever</t>
  </si>
  <si>
    <t>hot blond is caned ass fucked made to cum over and over 4 doms brutally work the whore over</t>
  </si>
  <si>
    <t>i hate bugs</t>
  </si>
  <si>
    <t>immigration authority</t>
  </si>
  <si>
    <t>iona grace punished wanton slut</t>
  </si>
  <si>
    <t>isis love 9</t>
  </si>
  <si>
    <t>jade indica fucks her own ass in suspension</t>
  </si>
  <si>
    <t>jade marxxx 3</t>
  </si>
  <si>
    <t>jade marxxx live part 1</t>
  </si>
  <si>
    <t>jenni lee and jade marxxx</t>
  </si>
  <si>
    <t>jessica sexin and isis love</t>
  </si>
  <si>
    <t>jessie cox ami emerson and isis love part 1 of 4 of the september live feed</t>
  </si>
  <si>
    <t>jodi taylor eager slut elaborately bound caned zapped and fucked</t>
  </si>
  <si>
    <t>jodi taylor live</t>
  </si>
  <si>
    <t>juliette march perfect pain slut pushed to the extreme</t>
  </si>
  <si>
    <t>katie summers tormented cunt</t>
  </si>
  <si>
    <t>katya rodriguez hogtied newcomer bound and tormented in bondage</t>
  </si>
  <si>
    <t>kayla paige and tory lane</t>
  </si>
  <si>
    <t>keira croft pain slut gets destroyed squirts everywhere</t>
  </si>
  <si>
    <t>kikis cumery part 3 smothering and squirting at kikis hump palace</t>
  </si>
  <si>
    <t>killing the machines with pussy squirt cytherea and dylan ryan</t>
  </si>
  <si>
    <t>lesbian femdom role switch leaves both women begging for more</t>
  </si>
  <si>
    <t>lil pixie odette delacroix world class deep throating champion bound vibrated and throat blasted</t>
  </si>
  <si>
    <t>lily labeau endures extreme bondage brutal foot torment and screaming orgasms</t>
  </si>
  <si>
    <t>little giver</t>
  </si>
  <si>
    <t>little nympho whore</t>
  </si>
  <si>
    <t>long legs and huge nipples suffers foot caning finger fucking til squirting agony ecstasy</t>
  </si>
  <si>
    <t>looking for trouble 3</t>
  </si>
  <si>
    <t>lorelei lee is bent in unforgiving device bondage</t>
  </si>
  <si>
    <t>loreleis new pet</t>
  </si>
  <si>
    <t>lyla storm complete edited live show</t>
  </si>
  <si>
    <t>lyla storm vs jack hammer</t>
  </si>
  <si>
    <t>madison scott is bound in a traditional japanese torture position make to cum and squirt</t>
  </si>
  <si>
    <t>madison young and sandra romain</t>
  </si>
  <si>
    <t>march madness extreme bondage orgasm overload brutal torment hair suspension</t>
  </si>
  <si>
    <t>marie mccray</t>
  </si>
  <si>
    <t>mark davis and jade marxxx</t>
  </si>
  <si>
    <t>mark davis and nadia styles</t>
  </si>
  <si>
    <t>masochistic anal sluts suffer and squirt for bdsm party</t>
  </si>
  <si>
    <t>mason winter sky and christina carter part 1 of 4 of the july live feed</t>
  </si>
  <si>
    <t>mia lelani big titted cunt tormented complete edited live show</t>
  </si>
  <si>
    <t>miss kitty</t>
  </si>
  <si>
    <t>missy minks live show edited</t>
  </si>
  <si>
    <t>missy minks tough lesbian slut</t>
  </si>
  <si>
    <t>mommies know best gorgeous milfs train disobedient young girls</t>
  </si>
  <si>
    <t>my step mother is a secret sex slave 2</t>
  </si>
  <si>
    <t>mz berlin vs odile</t>
  </si>
  <si>
    <t>newbie gets brutally fucked in tight bondage</t>
  </si>
  <si>
    <t>newbie is trapped in evil devices and tormented</t>
  </si>
  <si>
    <t>new recruit crew member electro fucked and tormented</t>
  </si>
  <si>
    <t>nikki darling katharine cane complete edited live show</t>
  </si>
  <si>
    <t>no cuntry for dirty sluts</t>
  </si>
  <si>
    <t>no holds barred daisy ducati shocks fucks lesbian pain slut</t>
  </si>
  <si>
    <t>obedient girl sensi pearl</t>
  </si>
  <si>
    <t>office take down</t>
  </si>
  <si>
    <t>omega fucks another tiny brunette into sub space</t>
  </si>
  <si>
    <t>one bad ass bitch mona wales</t>
  </si>
  <si>
    <t>one girl is stretched to the limit of her body the other takes the cane and takes it hard</t>
  </si>
  <si>
    <t>one tough bitch holly heart and maestro</t>
  </si>
  <si>
    <t>painful intimacy</t>
  </si>
  <si>
    <t>pain slut destroyed with pleasure massive orgasm overload totally implodes this whores brain</t>
  </si>
  <si>
    <t>penned in</t>
  </si>
  <si>
    <t>penny barber 2</t>
  </si>
  <si>
    <t>penny dreadful part 2</t>
  </si>
  <si>
    <t>petite asian bondage virgin gets a dose of suffering</t>
  </si>
  <si>
    <t>petite blonde gets destroyed in extreme bondage</t>
  </si>
  <si>
    <t>petite bondage slut sensi pearl</t>
  </si>
  <si>
    <t>phoenix marie gets her ass fisted in bondage</t>
  </si>
  <si>
    <t>piper perris sex slave initiation</t>
  </si>
  <si>
    <t>pom pom girl gets gang banged by basketball coach and team</t>
  </si>
  <si>
    <t>popping the cherry</t>
  </si>
  <si>
    <t>pornstar home movies derrick felony</t>
  </si>
  <si>
    <t>presenting chloes cunt folded opened and exposed</t>
  </si>
  <si>
    <t>princess donna is sandras electro submissive</t>
  </si>
  <si>
    <t>princess donnas b day bash</t>
  </si>
  <si>
    <t>public gangbang 3</t>
  </si>
  <si>
    <t>pushing her buttons</t>
  </si>
  <si>
    <t>pushing limits with hardcore bdsm sex</t>
  </si>
  <si>
    <t>rain degrey makes ashli orion cum in an inverted suspension</t>
  </si>
  <si>
    <t>rain gets the full orgasmic overload</t>
  </si>
  <si>
    <t>red hair fair skin finger fucked machine fucked extreme nipple play hot wax hard caning</t>
  </si>
  <si>
    <t>red head with massive huge tits then it must be berlin we love a girl who loves bondage</t>
  </si>
  <si>
    <t>resistance is futile dana gives into her lust and aching asshole</t>
  </si>
  <si>
    <t>role reversal 2</t>
  </si>
  <si>
    <t>ruined orgasm theres no pleasurable release when your orgasm is abandoned</t>
  </si>
  <si>
    <t>sara faye elyse and claire adams</t>
  </si>
  <si>
    <t>sarah shevon the pile driver</t>
  </si>
  <si>
    <t>sasha has soooo many firsts anal squirt</t>
  </si>
  <si>
    <t>scandalous anal college admission for bratty step daughter</t>
  </si>
  <si>
    <t>screaming through the pain</t>
  </si>
  <si>
    <t>service session clit appreciation day</t>
  </si>
  <si>
    <t>sexy bad girl tamed by chain</t>
  </si>
  <si>
    <t>sexy brunette experiences nipple torture brutal crotch rope and extreme bondage</t>
  </si>
  <si>
    <t>sexy milf in hot bondage massive</t>
  </si>
  <si>
    <t>sheena shaw rough rider</t>
  </si>
  <si>
    <t>slutty anal nurses</t>
  </si>
  <si>
    <t>stella cox learns the hard way not to mess with a dommes money</t>
  </si>
  <si>
    <t>step sister slut featuring riley reid</t>
  </si>
  <si>
    <t>stock fucked</t>
  </si>
  <si>
    <t>stolen goods</t>
  </si>
  <si>
    <t>submission to pain cherries felony</t>
  </si>
  <si>
    <t>super cute blond is tormented cloths pins on her body are ripped off made to cum over and over</t>
  </si>
  <si>
    <t>super flexible sensi pearl gets tied up and fucked</t>
  </si>
  <si>
    <t>super sexy alt pain slut captured in brutal bondage and tormented</t>
  </si>
  <si>
    <t>super slut</t>
  </si>
  <si>
    <t>tall blond bombshell taken down</t>
  </si>
  <si>
    <t>tall long legged blond is hung upside down made to cum choked clamped abused left hanging</t>
  </si>
  <si>
    <t>tara lynn foxx complete edited live show</t>
  </si>
  <si>
    <t>the electroslut next door</t>
  </si>
  <si>
    <t>the family platform anal whore exposed by slutty step daughter</t>
  </si>
  <si>
    <t>the fuck doll</t>
  </si>
  <si>
    <t>the gentle approach to heavy ass fucking</t>
  </si>
  <si>
    <t>the intern</t>
  </si>
  <si>
    <t>the interview part 2</t>
  </si>
  <si>
    <t>the naive model and the creepy photographer</t>
  </si>
  <si>
    <t>the new bitch</t>
  </si>
  <si>
    <t>the night nurse dani daniels</t>
  </si>
  <si>
    <t>the return of darling</t>
  </si>
  <si>
    <t>the sarge meets mia bangg</t>
  </si>
  <si>
    <t>the terminator the groovy and the faithful slave part 4</t>
  </si>
  <si>
    <t>the virgin</t>
  </si>
  <si>
    <t>tied together ot uses predicament bondage to make kate and dolly torment each other</t>
  </si>
  <si>
    <t>tiny big booty hottie jynx maze is bound face fucked deep throated and pussy fucked to orgasms</t>
  </si>
  <si>
    <t>tiny blonde odette delacroix bound inside a box and roughly fucked from both ends by cock</t>
  </si>
  <si>
    <t>tiny blonde tied up and ass fucked in public</t>
  </si>
  <si>
    <t>tiny casey calvert is inverted skull fucked pussy fucked nipple tortured squirts like a fountain</t>
  </si>
  <si>
    <t>tiny sex kitten isabella nice submits in rope bondage and anal fucking</t>
  </si>
  <si>
    <t>tiny slut big pain</t>
  </si>
  <si>
    <t>tomi knox assaults fuck doll kristine kahill with creative devices and sadism</t>
  </si>
  <si>
    <t>tough as nails</t>
  </si>
  <si>
    <t>tough blonde bombshell fan favorite lorelei lee complete edited live show</t>
  </si>
  <si>
    <t>tracey sweet</t>
  </si>
  <si>
    <t>two cunts one game</t>
  </si>
  <si>
    <t>two cute two cute sluts for the price of one</t>
  </si>
  <si>
    <t>two of the hottest and toughest porn stars team up for one explosive update</t>
  </si>
  <si>
    <t>vendetta returns to hogtied you can only see her exclusively at kink</t>
  </si>
  <si>
    <t>vendetta vs the machines</t>
  </si>
  <si>
    <t>vulgar display of power on ebony slut</t>
  </si>
  <si>
    <t>welcome sheena shaw</t>
  </si>
  <si>
    <t>wenona 6</t>
  </si>
  <si>
    <t>wenona 7</t>
  </si>
  <si>
    <t>wenona jessie cox and isis love part 1 of 4 of the march live show</t>
  </si>
  <si>
    <t>wenona put into extreme bondage</t>
  </si>
  <si>
    <t>wenona suffers</t>
  </si>
  <si>
    <t>wenona the sarge</t>
  </si>
  <si>
    <t>whipped ass live in december</t>
  </si>
  <si>
    <t>https://bdsmstreak.com/video/32839/shocking-her-holes</t>
  </si>
  <si>
    <t>cici rhodes</t>
  </si>
  <si>
    <t>holly micheals</t>
  </si>
  <si>
    <t>https://bdsmlust.com/hogtied-holly-michaels-suspension-and-domination/</t>
  </si>
  <si>
    <t xml:space="preserve">lorelei lee, remy lacroix </t>
  </si>
  <si>
    <t>https://bdsmmansion.com/video/11334/12-01-13-17365-lorelei-lee-remy-lacroix-popping-her-lesbian-cherry/</t>
  </si>
  <si>
    <t>willow hayes</t>
  </si>
  <si>
    <t>https://bdsmstreak.com/video/89479/newcomer-loses-her-innocence</t>
  </si>
  <si>
    <t>https://bdsmstreak.com/video/71867/jade-indica-oiled-fucked-bound-and-torturedcountdown-to-relaunch-5-of-20</t>
  </si>
  <si>
    <t>priority</t>
  </si>
  <si>
    <t>25m</t>
  </si>
  <si>
    <t>13m,26m</t>
  </si>
  <si>
    <t>https://queensnake.com/previewmovie/splits</t>
  </si>
  <si>
    <t>jessica</t>
  </si>
  <si>
    <t>kink electrosluts</t>
  </si>
  <si>
    <t>isis love,audrey rose</t>
  </si>
  <si>
    <t>https://www.porntry.com/videos/22501693/fcf101dc9e489774ee10635ef60ff256/</t>
  </si>
  <si>
    <t>https://bdsmstreak.com/video/89715/kelly-divine-stretched-fucked-flogged-and-squirting-everywhere-rosebud-exposed</t>
  </si>
  <si>
    <t>kelly divine</t>
  </si>
  <si>
    <t>https://bdsmstreak.com/video/93715/cheyenne-jewel-punished-with-unwilling-orgasms-and-mean-metal-bondage</t>
  </si>
  <si>
    <t xml:space="preserve">cheyenne jewel </t>
  </si>
  <si>
    <t>37m</t>
  </si>
  <si>
    <t>https://bdsmstreak.com/video/88534/sex-and-submission-jane-wilde-wild-anal-seductress</t>
  </si>
  <si>
    <t>kink original</t>
  </si>
  <si>
    <t>jane wilde</t>
  </si>
  <si>
    <t>very cute</t>
  </si>
  <si>
    <t>halie james, sarah jane ceylon, princess donna dolore</t>
  </si>
  <si>
    <t>31m</t>
  </si>
  <si>
    <t>https://bdsmstreak.com/video/69767/the-veteran-and-the-newbie</t>
  </si>
  <si>
    <t>isis love,ash hollywood</t>
  </si>
  <si>
    <t>https://bdsmstreak.com/video/74422/journalist-ash-hollywood-learns-what-is-means-to-be-nonbiased-through-electro-motivation</t>
  </si>
  <si>
    <t>https://www.kink.com/shoot/11955</t>
  </si>
  <si>
    <t>0m</t>
  </si>
  <si>
    <t>https://hcbdsm.com/video/81159/brooke-lee-adams-orgasmed-to-near-unconsciousness-seriously/</t>
  </si>
  <si>
    <t>brooke lee adams</t>
  </si>
  <si>
    <t>https://www.kink.com/shoot/11491</t>
  </si>
  <si>
    <t>haley cummings</t>
  </si>
  <si>
    <t>https://bdsmstreak.com/video/68845/1-blonde-1-brunette-1-redhead-hot-lesbian-punishment-and-sex</t>
  </si>
  <si>
    <t>krystal main, maitresse madeline marlowe, lilla katt</t>
  </si>
  <si>
    <t>aiden star,naidyne</t>
  </si>
  <si>
    <t>felony,bobbi star</t>
  </si>
  <si>
    <t>https://bdsmstreak.com/search?q=felony</t>
  </si>
  <si>
    <t>https://bdsmstreak.com/video/75325/felony-overloaded-overflowed</t>
  </si>
  <si>
    <t>https://bdsmmansion.com/video/11299/11-05-19-12756-bobbi-starr-felony-a-few-of-felony-s-favorite-things/</t>
  </si>
  <si>
    <t>https://bdsmmansion.com/video/11358/12-06-01-22053-aiden-starr-naidyne-adorable-19-year-old-has-a-tough-first-ever-lesbian-experience-on-whippedass-com/</t>
  </si>
  <si>
    <t>trimmed start and end,1 end scene</t>
  </si>
  <si>
    <t>trimmed start and end</t>
  </si>
  <si>
    <t>no trim,mp4 from bdsmmansion</t>
  </si>
  <si>
    <t>sit,pretzel,lay down,missionary,doggy,bent</t>
  </si>
  <si>
    <t>oiled,nipple clamps,sybian,ball gag,dildo stick,vibrator,nipple clamps weights</t>
  </si>
  <si>
    <t>good quality long length felony bdsm and bondage porn,mostly maledom but also fem and les</t>
  </si>
  <si>
    <t>neck lock at 21m,undress at 23m,nipple clamps at 25m,step on nails at 31m,anal hook at 32m</t>
  </si>
  <si>
    <t>sit,stand</t>
  </si>
  <si>
    <t>felony ice (720p)</t>
  </si>
  <si>
    <t>Felony.... OVERLOADED &amp; OVERFLOWED</t>
  </si>
  <si>
    <t xml:space="preserve">Felony.... OVERLOADED &amp; OVERFLOWED </t>
  </si>
  <si>
    <t>stand,suspended,pretzel,hogtied,doggy,sit</t>
  </si>
  <si>
    <t>ball gag,nipple clamps weights,ice,ice in pussy,dildo stick,cane,vibrator,crotch rope,dildo stick vibrator,sybian,body clothespin,flog</t>
  </si>
  <si>
    <t>ball gag at 4m,undress at 5m,nipple clamps weights at 7m,pretzel at 13m,ice play at 14m,ice in pussy at 15m,crotch rope at 25m,sybian at 34m,body clothespin at 36m,flog at 41m</t>
  </si>
  <si>
    <t>https://heavyfetish.com/videos/14029/wired-pussy-nineteen-year-old-beauty-princess-donna-dolore-lily-labeau/</t>
  </si>
  <si>
    <t>lily labeau,donna dolore</t>
  </si>
  <si>
    <t>nipple clamps electric at 4m,pussy clamps electric at 4m,nose hook at 7m,blackout contacts at 20m,nipple flog at 22m,slap at 31m,tit slap at 32m,nippls suction at 32m,clit suction at 34m,pussy slap at 44m,kiss at 44m,strapon blowjob at 45m,pussy eat at 52m</t>
  </si>
  <si>
    <t>https://bdsmmansion.com/video/7817/wired-pussy-the-cattleprod/</t>
  </si>
  <si>
    <t>stand,sit</t>
  </si>
  <si>
    <t>kneel,doggy,lay down</t>
  </si>
  <si>
    <t>feet,spank,handjob,latex,leash,paddle,ball gag,flog,peg,nipple clamps,pussy eat,footjob</t>
  </si>
  <si>
    <t>foot eat at 7m,spank at 10m,leash at 25m,flog at 30m,peg at 37m,pussy eat at 46m,footjob at 58m</t>
  </si>
  <si>
    <t>stand,lay down,spread eagle,hogtied,sit,doggy</t>
  </si>
  <si>
    <t>spank at 6m,flog at 8m,nipple clamps weights at 13m,taser at 20m,strapon at 62m</t>
  </si>
  <si>
    <t>lay down,inverted pussy over face,sit</t>
  </si>
  <si>
    <t>pretzel,cowgirl,sit</t>
  </si>
  <si>
    <t>https://m.hqporner.com/hdporn/20111-Hegre-art_-_Kiki_-_Volcano_Orgasm_Massage.html</t>
  </si>
  <si>
    <t>hegre</t>
  </si>
  <si>
    <t>kiki massage (720p)</t>
  </si>
  <si>
    <t>Screaming Volcano Orgasm Massage</t>
  </si>
  <si>
    <t>Hegre-art - Kiki - Volcano Orgasm Massage</t>
  </si>
  <si>
    <t>kenzie reeves</t>
  </si>
  <si>
    <t>kenzie corps (1080p)</t>
  </si>
  <si>
    <t>A Fine Piece Of Bound Meat</t>
  </si>
  <si>
    <t>https://www.porntrex.com/video/1800983/kenzie-reeves-a-fine-piece-of-bound-meat-part-1</t>
  </si>
  <si>
    <t>https://www.porntrex.com/video/1800985/kenzie-reeves-a-fine-piece-of-bound-meat-part-2</t>
  </si>
  <si>
    <t>https://www.porntrex.com/video/1800986/kenzie-reeves-a-fine-piece-of-bound-meat-part-3</t>
  </si>
  <si>
    <t>https://www.porntrex.com/video/1800987/kenzie-reeves-a-fine-piece-of-bound-meat-part-4</t>
  </si>
  <si>
    <t>trimmed start and end,merged 4 videos,mp4 from pornolab</t>
  </si>
  <si>
    <t>Kenzie Reeves - A Fine Piece Of Bound Meat Part 1</t>
  </si>
  <si>
    <t>Kenzie Reeves - A Fine Piece Of Bound Meat Part 2</t>
  </si>
  <si>
    <t>Kenzie Reeves - A Fine Piece Of Bound Meat Part 3</t>
  </si>
  <si>
    <t>Kenzie Reeves - A Fine Piece Of Bound Meat Part 4</t>
  </si>
  <si>
    <t>ball gag,spank,flog,tit flog</t>
  </si>
  <si>
    <t>spank at 2m,flog at 4m,tit flog at 6m</t>
  </si>
  <si>
    <t>sit,lay down,stand</t>
  </si>
  <si>
    <t>armpit at 0m,pussy flog at 3m,nipple binder clips at 9m</t>
  </si>
  <si>
    <t>sit split</t>
  </si>
  <si>
    <t>prone bone</t>
  </si>
  <si>
    <t>flog at 2m,spank at 3m</t>
  </si>
  <si>
    <t>ball gag,fingering,cane,flog,pussy flog,nipple binder clips,armpits,vibrator</t>
  </si>
  <si>
    <t>ball gag,flog,spank,vibrator</t>
  </si>
  <si>
    <t>ball gag,vibrator,whip,tit whip,nipple binder clips</t>
  </si>
  <si>
    <t>tit whip at 4m,nipple binder clips at 5m</t>
  </si>
  <si>
    <t>good section</t>
  </si>
  <si>
    <t>https://bdsmstreak.com/video/78388/19-year-old-is-devastated-in-brutal-bondage</t>
  </si>
  <si>
    <t>aidra fox</t>
  </si>
  <si>
    <t>https://bdsmmansion.com/video/16582/a-for-anal/</t>
  </si>
  <si>
    <t>https://bdsmstreak.com/video/94767/device-bondage-live-in-hd</t>
  </si>
  <si>
    <t>alexa von tess,sarah jane ceylon</t>
  </si>
  <si>
    <t>https://hcbdsm.com/video/102820/hogtied-beretta-james-challenged-with-wanton-cruelty/</t>
  </si>
  <si>
    <t>https://bdsmstreak.com/video/87203</t>
  </si>
  <si>
    <t>https://www.kink.com/shoot/7321</t>
  </si>
  <si>
    <t>https://hcbdsm.com/video/88539/ass-hooked-caned-made-to-cum-so-much-she-begs-for-mercy-humilated-and-roughd-so-helpless/</t>
  </si>
  <si>
    <t>https://hcbdsm.com/video/81139/annabelle-leeno-mas-no-mas/</t>
  </si>
  <si>
    <t>https://bdsmstreak.com/video/94101/amber-rayne-live-show-part-2-drawn-and-quartered</t>
  </si>
  <si>
    <t>https://bdsmstreak.com/video/81420/amber-rayne-live-show-part-3-bent-and-fisted</t>
  </si>
  <si>
    <t>https://www.eporner.com/hd-porn/OcnKTcgt4DY/Busty-Machine-Babe-Double-Dildo-Fucked/</t>
  </si>
  <si>
    <t>https://bdsmstreak.com/video/92863/alicia-stone-sienna-and-isis-love-part-2-of-4-of-the-february-live-show</t>
  </si>
  <si>
    <t>https://bdsmstreak.com/video/75224/beauty-and-the-beast-kristen-scott-vs-the-pope</t>
  </si>
  <si>
    <t>https://hcbdsm.com/video/94827/annie-cruz-bitch-in-heat/</t>
  </si>
  <si>
    <t>https://bdsmstreak.com/video/80068/all-natural-blonde-babe-lisey-sweet-assfucked-and-abused-in-bondage</t>
  </si>
  <si>
    <t>https://hcbdsm.com/video/107372/ashli-orion-cums-back-for-more-brutal-ties-only-on-hogtied3/</t>
  </si>
  <si>
    <t>https://hcbdsm.com/video/108464/big-tits-brutal-bondage-extreme-corporal-punishment-and-squirting-orgasms4/</t>
  </si>
  <si>
    <t>https://hcbdsm.com/video/96116/beautiful-blonde-with-big-tits-gets-oiled-up-and-used-as-a-cum-canvas3/</t>
  </si>
  <si>
    <t>https://bdsmstreak.com/video/93685</t>
  </si>
  <si>
    <t>https://hcbdsm.com/video/100409/ariel-x-body-builder-double-penetrated-in-diabolical-devices2/</t>
  </si>
  <si>
    <t>https://hcbdsm.com/video/110781/berlin-and-her-massive-32f-breasts-visit-for-her-first-ever-hogtied-shoot/</t>
  </si>
  <si>
    <t>https://bdsmstreak.com/video/75925/athletic-milf-fuck-toy-cherie-deville-punished-in-bondage-and-sybian</t>
  </si>
  <si>
    <t>https://v3.bdsmstreak.com/video/92918/ashley-jane-ally-ann-and-princess-donna-part-1-of-4-of-the-november-live-show</t>
  </si>
  <si>
    <t>https://www.kink.com/shoot/37514</t>
  </si>
  <si>
    <t>https://bdsmstreak.com/video/92004/ariel-x-extreme-bondage-brutal-torment-and-squirting-orgasms</t>
  </si>
  <si>
    <t>https://bdsmstreak.com/video/93817/all-natural-beauty-in-pile-driver-orgasm-overload</t>
  </si>
  <si>
    <t>https://heavyfetish.com/videos/124025/whipped-ass-alexa-von-tess-and-sandra-romain/</t>
  </si>
  <si>
    <t>https://www.kink.com/shoot/26099</t>
  </si>
  <si>
    <t>https://www.porntry.com/videos/22504113/a22dfc402e24e15bfd2dc0e88e68630d/</t>
  </si>
  <si>
    <t>https://bdsmstreak.com/video/80893/anal-campus-sluts</t>
  </si>
  <si>
    <t>https://hcbdsm.com/video/96481/bella-rossi-dispenses-pain-and-pleasure-to-gabriella-violet-s-asses/</t>
  </si>
  <si>
    <t>https://bdsmstreak.com/video/95182/anal-slut-gets-cold-steel-anal-invasion</t>
  </si>
  <si>
    <t>https://bdsmstreak.com/video/94025/ariel-x-live-show-complete-edited-version</t>
  </si>
  <si>
    <t>https://hcbdsm.com/video/95245/ass-fucking-enemas-galore-bobbi-starr-ariel-x2/</t>
  </si>
  <si>
    <t>https://www.kink.com/shoot/45596</t>
  </si>
  <si>
    <t>https://bdsmstreak.com/video/94954/anal-action-at-its-deepest-hardest-claire-adams-lorelei-lee</t>
  </si>
  <si>
    <t>kink dungeon sex</t>
  </si>
  <si>
    <t>kink the upper floor</t>
  </si>
  <si>
    <t>kink families tied</t>
  </si>
  <si>
    <t>annie cruz</t>
  </si>
  <si>
    <t>skylar price</t>
  </si>
  <si>
    <t>ariel x</t>
  </si>
  <si>
    <t>alicia stone,sienna,isis love</t>
  </si>
  <si>
    <t>kristen scott</t>
  </si>
  <si>
    <t>lisey sweet</t>
  </si>
  <si>
    <t>ashli orion</t>
  </si>
  <si>
    <t>bella rossi</t>
  </si>
  <si>
    <t>skylar price,donna dolore</t>
  </si>
  <si>
    <t>angela white</t>
  </si>
  <si>
    <t>ally ann,donna dolore,ashley jane</t>
  </si>
  <si>
    <t>phoenix marie,ella nova</t>
  </si>
  <si>
    <t>rilynn rae</t>
  </si>
  <si>
    <t>alexa von tess,sandra romain</t>
  </si>
  <si>
    <t>dee williams</t>
  </si>
  <si>
    <t>sofia lauryn,isis love</t>
  </si>
  <si>
    <t>casey calvert,cassandra nix</t>
  </si>
  <si>
    <t>violet monroe,gabriella paltrova,bella rossi</t>
  </si>
  <si>
    <t>penny pax</t>
  </si>
  <si>
    <t>wenona,madeline marlowe,sasha lexing</t>
  </si>
  <si>
    <t>penny pax,veruca james,casey calvert</t>
  </si>
  <si>
    <t>isis love,lyla storm,cameron canada</t>
  </si>
  <si>
    <t>bobbi star,ariel x</t>
  </si>
  <si>
    <t>casey calvert,kasey warner</t>
  </si>
  <si>
    <t>claire adams,lorelei lee</t>
  </si>
  <si>
    <t>beretta james,mz berlin,missy minks</t>
  </si>
  <si>
    <t>dana dearmond,gaia</t>
  </si>
  <si>
    <t>inverted,oiled</t>
  </si>
  <si>
    <t>enema</t>
  </si>
  <si>
    <t>inverted</t>
  </si>
  <si>
    <t>oiled</t>
  </si>
  <si>
    <t>bent on wheel</t>
  </si>
  <si>
    <t>one of the OG</t>
  </si>
  <si>
    <t>crotch rope</t>
  </si>
  <si>
    <t>24m</t>
  </si>
  <si>
    <t>oiled,bent</t>
  </si>
  <si>
    <t>fist</t>
  </si>
  <si>
    <t>krystal main, madeline marlowe, lilla katt</t>
  </si>
  <si>
    <t>https://bdsmstreak.com/video/89746/bound-by-metal-covered-in-wax-fucked-by-machine</t>
  </si>
  <si>
    <t>https://www.kink.com/shoot/35336</t>
  </si>
  <si>
    <t>https://porndoe.com/watch/pd0s4t6y9l1c#pwu</t>
  </si>
  <si>
    <t>lyla storm</t>
  </si>
  <si>
    <t>nice positions, crotch chain</t>
  </si>
  <si>
    <t>lyla storm,skin diamond</t>
  </si>
  <si>
    <t>double mounted zipper pull</t>
  </si>
  <si>
    <t>https://bdsmstreak.com/video/72979/birthday-party-for-the-princess-pt-2</t>
  </si>
  <si>
    <t>https://hcbdsm.com/video/91577/bitch-bound-in-bag-extreme-spread-eagle-special/</t>
  </si>
  <si>
    <t>https://heavyfetish.com/videos/116567/black-mailed-step-mother-daughter-sexually-punished/</t>
  </si>
  <si>
    <t>https://bdsmstreak.com/video/73812/blonde-bombshell-anal-electrofucked-live</t>
  </si>
  <si>
    <t>https://bdsmstreak.com/video/80303/blonde-bombshell-bound-spanked-and-anally-fisted</t>
  </si>
  <si>
    <t>https://bdsmstreak.com/video/74095/blonde-fuck-slut-squeals-and-begs-to-cum</t>
  </si>
  <si>
    <t>https://bdsmstreak.com/video/74047/blonde-with-big-natural-breasts-rode-hard</t>
  </si>
  <si>
    <t>https://bdsmstreak.com/video/78757/breaking-the-innocent</t>
  </si>
  <si>
    <t>https://x-x-x.tube/videos/708216/humiliation-bdsm-torture-whipping-brooke-johnson-brooke-report-hardtied-com/</t>
  </si>
  <si>
    <t>https://hcbdsm.com/video/90313/brunettes-have-more-fun-34-sweet-revenge-342/</t>
  </si>
  <si>
    <t>https://bdsmstreak.com/video/91916/buff-milf-cherie-deville-submits-to-rope-bondage-and-unwilling-orgasms</t>
  </si>
  <si>
    <t>https://bdsmstreak.com/video/81359/busty-california-blonde-courtney-gets-bent-fucked-challenged</t>
  </si>
  <si>
    <t>https://bdsmstreak.com/video/94519/candy-manson</t>
  </si>
  <si>
    <t>https://hcbdsm.com/video/99036/dynamite-katie-summers-brings-it-live/</t>
  </si>
  <si>
    <t>https://hcbdsm.com/video/110375/girl-next-door-severely-bound-and-helpless-stripped-elbows-bound-legs-split-multi-orgasms/</t>
  </si>
  <si>
    <t>https://hcbdsm.com/video/63086/vendetta-and-claire-adams/</t>
  </si>
  <si>
    <t>elyssa greene, cherie deville,madeline marlowe</t>
  </si>
  <si>
    <t>tia ling</t>
  </si>
  <si>
    <t>cherie deville,holly hendrix</t>
  </si>
  <si>
    <t>anikka albrite, lea lexis</t>
  </si>
  <si>
    <t>dahlia sky,lorelei lee</t>
  </si>
  <si>
    <t>sheena shaw</t>
  </si>
  <si>
    <t>missy minks</t>
  </si>
  <si>
    <t>brooke johnson</t>
  </si>
  <si>
    <t>felony,jessie cox,krissy lynn</t>
  </si>
  <si>
    <t>courtney taylor</t>
  </si>
  <si>
    <t>katie summers</t>
  </si>
  <si>
    <t>sensi pearl,rain degrey</t>
  </si>
  <si>
    <t>vendetta,clair adams</t>
  </si>
  <si>
    <t>plastic bag</t>
  </si>
  <si>
    <t>ass hair</t>
  </si>
  <si>
    <t>pretzel,oiled</t>
  </si>
  <si>
    <t>PRIORITY,oiled,wax</t>
  </si>
  <si>
    <t>https://www.kink.com/shoot/10425</t>
  </si>
  <si>
    <t>jennifier white</t>
  </si>
  <si>
    <t>inverted pussy over face</t>
  </si>
  <si>
    <t>https://bdsmstreak.com/video/93566/sandra-romain-and-wild-bill</t>
  </si>
  <si>
    <t>sandra romain</t>
  </si>
  <si>
    <t>cute and sexy</t>
  </si>
  <si>
    <t>https://bdsmstreak.com/video/81362/hot-girl-next-door-tomboy-gets-bent-in-unforgiving-bondage</t>
  </si>
  <si>
    <t>allie james</t>
  </si>
  <si>
    <t>step on stomach</t>
  </si>
  <si>
    <t>https://bdsmstreak.com/video/71167/my-stepmother-is-a-secret-sex-slave</t>
  </si>
  <si>
    <t>https://www.twistedfactory.com/shoot/36890</t>
  </si>
  <si>
    <t>kink sadistic rope</t>
  </si>
  <si>
    <t>kristina rose</t>
  </si>
  <si>
    <t>nipple clamps pull up</t>
  </si>
  <si>
    <t>tara lynn foxx,elizabeth thorn,mz berlin</t>
  </si>
  <si>
    <t>https://bdsmstreak.com/video/24227/ariel-x-and-gia-dimarco-lezdom-hd</t>
  </si>
  <si>
    <t>https://hcbdsm.com/video/97896/first-timer-in-extreme-bondage-with-brutal-tormented-and-made-to-cum/</t>
  </si>
  <si>
    <t>ariel x,annie cruz,isis love</t>
  </si>
  <si>
    <t>Ariel X, Annie Cruz Part 1 of 4 of the March Live Feed</t>
  </si>
  <si>
    <t>shave,best ariel x</t>
  </si>
  <si>
    <t>https://bdsmstreak.com/video/92915/ariel-x-annie-cruz-part-4-of-4-of-the-march-live-feed-the-domination-of-isis</t>
  </si>
  <si>
    <t>inverted OG ass up</t>
  </si>
  <si>
    <t>Ariel X, Annie Cruz Part 4 of 4 of the March Live Feed The domination of Isis</t>
  </si>
  <si>
    <t>https://bdsmstreak.com/video/69444/the-sadist-s-apprentice</t>
  </si>
  <si>
    <t>PRIORITY,cigg in ass, bent on wheel,live show</t>
  </si>
  <si>
    <t>live show</t>
  </si>
  <si>
    <t>2f-1m</t>
  </si>
  <si>
    <t>amber rayne,isis love,jade indica</t>
  </si>
  <si>
    <t>3f-1m</t>
  </si>
  <si>
    <t>2f-1m,ball gag,cock ring,body clothespin,flog,peg</t>
  </si>
  <si>
    <t>2f-1m,body clothespin,wax,face dildo,spitroast,ice</t>
  </si>
  <si>
    <t>2f-1m,flog,cunnilingus,peg,body clothespin,spank</t>
  </si>
  <si>
    <t>https://hcbdsm.com/video/109333/two-mean-bitches-and-one-worthless-little-prick6/</t>
  </si>
  <si>
    <t>2f-fmgb,fucking machine,flog,exhibitionism,lesbian spank,fingering,chain in pussy and ass</t>
  </si>
  <si>
    <t>2f-fmgb</t>
  </si>
  <si>
    <t>2f-1m,live,ball gag,neck lock,nipple clamps,flog,nipple clamps weights,step on nails,anal hook,vibrator</t>
  </si>
  <si>
    <t>hasMultistar</t>
  </si>
  <si>
    <t>https://bdsmstreak.com/video/89604/beretta-james-live-show-complete-edited-version</t>
  </si>
  <si>
    <t>1f-2f</t>
  </si>
  <si>
    <t>1f-1f</t>
  </si>
  <si>
    <t>2f-1f1m</t>
  </si>
  <si>
    <t>1f-1f,cunnilingus,fingering,panty gag,spank,tit flog,pussy flog,ball gag,flog,vibrator,strapon,open mouth gag,pussy clamps,clit suction,nipple suction</t>
  </si>
  <si>
    <t>1f-1f,fist,strapon,anal</t>
  </si>
  <si>
    <t>https://bdsmstreak.com/video/80920/butt-sluts-casey-calvert-and-katja-kassin</t>
  </si>
  <si>
    <t>1f-1f,butt plug,strapon,dildo stick,fist</t>
  </si>
  <si>
    <t>1f-1f,strapon,spank,pussy eat,feet,toe in pussy,inverted ass fuck</t>
  </si>
  <si>
    <t>1f-1f,nipple clamps,shocking,water board,bite gag,cane,flog</t>
  </si>
  <si>
    <t>https://bdsmstreak.com/video/80887/anal-exploring-sexy-slut-gaia</t>
  </si>
  <si>
    <t>1f-1f,nipple clamps electric,pussy clamps electric,nose hook,blackout contacts,ball gag,flog,slap,tit slap,nipple suction,clit suction,pussy slap,kiss,strapon,pussy eat</t>
  </si>
  <si>
    <t>1f-2f,bite gag,tit bound,flog,tit flog,oiled,electric,cane,sybian,vibrator</t>
  </si>
  <si>
    <t>2f-1f</t>
  </si>
  <si>
    <t>1f-1f,tape gag,flog,cunnilingus,oiled,strapon,tit torture</t>
  </si>
  <si>
    <t>https://hcbdsm.com/video/84160/elecro-lezdom-isis-love-opens-audrey-s-tight-asshole/</t>
  </si>
  <si>
    <t>https://hcbdsm.com/video/98524/anal-perversion/</t>
  </si>
  <si>
    <t>1f-1f,crotch rope walk,crotch chain walk,hot sauce lathering,whip</t>
  </si>
  <si>
    <t>1f-1f,cigg,pantyhose,tit slap,vibrator</t>
  </si>
  <si>
    <t>1f-2f,nose hook,ball gag, pussy wedgie,flog,cane,vibrator,anal hook,spank,clit suction,pussy clamps,slap,tit slap,dp dildo,nipple clamps weight,oiled,one bar prison,spit,fucking machine</t>
  </si>
  <si>
    <t>https://bdsmstreak.com/video/94812/ariel-x-annie-cruz-part-1-of-4-of-the-march-live-feed</t>
  </si>
  <si>
    <t>1f-1f,kiss,pussy clothespin,strapon,electric,feet,pussy bite,pussy eat,pussy flog,ball gag</t>
  </si>
  <si>
    <t>1f-1f,tunnel gag,spank,flog,nipple clamps,vibrator,taser,electric,ball gag,sybian,strapon</t>
  </si>
  <si>
    <t>https://bdsmstreak.com/video/80882/anal-girls-slumber-holiday</t>
  </si>
  <si>
    <t>1f-1f,trample,high heel,feet</t>
  </si>
  <si>
    <t>1f-1f,bite gag,stapler,flog</t>
  </si>
  <si>
    <t>1f-1f,spank,face sit,fondle,nipple suck</t>
  </si>
  <si>
    <t>1f-1f1m</t>
  </si>
  <si>
    <t>1f-1f,fist,ass eat,pussy eat,fingering,anal fingering,kiss</t>
  </si>
  <si>
    <t>1f-2f,live,ball gag,whip,oiled,nipple clamps,flog,body clothespin,vibrator,dildo stick,funnel gag,pussy clamps,pussy fist,sybian,blindfold,wire gag,slap</t>
  </si>
  <si>
    <t>https://bdsmmansion.com/video/11179/09-03-27-6306-wenona-maitresse-madeline-marlowe-sasha-lexing-ballerina-sluts/</t>
  </si>
  <si>
    <t>https://hcbdsm.com/video/83137/19-year-old-s-fierce-introduced-to-the-bitches/</t>
  </si>
  <si>
    <t>2f-1m,cane,flog,nipple clamps,peg,cunnilingus,cock plate,feet</t>
  </si>
  <si>
    <t>2f-1f1m,live,vibrator,dildo stick,nipple clamps weights,piss,fucking machine</t>
  </si>
  <si>
    <t>2f-1f1m,live,ball gag,flog,vibrator,wheel barrow face down,cane,strapon</t>
  </si>
  <si>
    <t>https://hcbdsm.com/video/103980/sex-and-submission-feeding-the-gimp2/</t>
  </si>
  <si>
    <t>1f-1f1m,tit slap,nipple clamps,flog,wax,fingering,body clothespin</t>
  </si>
  <si>
    <t>2f-1m,tied together,butt plug,dildo stick,vibrator,cane</t>
  </si>
  <si>
    <t>https://bdsmstreak.com/video/89737/machine-fucked-with-zipper-inducing-orgasms</t>
  </si>
  <si>
    <t>2f-2m</t>
  </si>
  <si>
    <t>2f-1m,spank,flog,nipple clamps,ball gag,crotch rope walk</t>
  </si>
  <si>
    <t xml:space="preserve">1f-1f,nipple suction,flog,fucking machine,piv,vibrator,strapon </t>
  </si>
  <si>
    <t>1f-1f1m,pretzel,toilet,toe in pussy,inverted ass fuck</t>
  </si>
  <si>
    <t>https://hcbdsm.com/video/107911/lew-rubens-alpha-productions-michelle-drea-liplocked/</t>
  </si>
  <si>
    <t>2f-1m,liplocker gag</t>
  </si>
  <si>
    <t>2f-1m,flog,lesbian fist,tongue clothespin,ass up face down,anal cum</t>
  </si>
  <si>
    <t>4f,massage,foursome,pussy eat,bbc,piv,fondle</t>
  </si>
  <si>
    <t>1f-1f,spank,pussy eat,fingering,scissor,pussy grind</t>
  </si>
  <si>
    <t>1f-1f,face sit,pussy eat,nipple suck,fondle,fingering</t>
  </si>
  <si>
    <t>2f-1m,blowjob,anal,squirt,pussy eat,piv</t>
  </si>
  <si>
    <t>riley reid,paige owens</t>
  </si>
  <si>
    <t>https://hcbdsm.com/video/81226/new-male-sub-falls-deep-into-sub-space-like-never-seen-before-on-divine-bitches/</t>
  </si>
  <si>
    <t>https://www.javxxx.me/video/tki-039/</t>
  </si>
  <si>
    <t>dia zerva,felony</t>
  </si>
  <si>
    <t>peg,humiliation,chastity,milking,latex,humbler</t>
  </si>
  <si>
    <t>peg,humiliation,chastity</t>
  </si>
  <si>
    <t>2f-2m,jav,body clothespin,oiled,fondle,pussy eat</t>
  </si>
  <si>
    <t>mei akikusa, misato nonomiya</t>
  </si>
  <si>
    <t>https://heavyfetish.com/videos/86145/everythingbutt-casey-calvert-and-tommy-king/</t>
  </si>
  <si>
    <t>unknown-studio</t>
  </si>
  <si>
    <t>website-link</t>
  </si>
  <si>
    <t>unknown-stars-many</t>
  </si>
  <si>
    <t>NotApplicable</t>
  </si>
  <si>
    <t>https://bdsmstreak.com/video/79085/ashley-lane-pain-slut-brutally-tormented-in-device-bondage</t>
  </si>
  <si>
    <t>ashley lane</t>
  </si>
  <si>
    <t>kneel,lay down</t>
  </si>
  <si>
    <t>tit flog at 8m,pussy flog at 9m,tit slap at 9m,full flog at 20m,spring matterss at 31m,step on back at 43m</t>
  </si>
  <si>
    <t>tit flog,pussy flog,tit slap,flog,cane,spring mattress,step on</t>
  </si>
  <si>
    <t>https://bdsmstreak.com/video/81101/harmony-wonder-19-year-old-tormented-and-cums-in-grueling-bondage</t>
  </si>
  <si>
    <t>harmony wonder</t>
  </si>
  <si>
    <t>tiny,small,young</t>
  </si>
  <si>
    <t>https://www.kink.com/shoot/3863</t>
  </si>
  <si>
    <t>alexa von tess</t>
  </si>
  <si>
    <t>kink fucking machines</t>
  </si>
  <si>
    <t>kink classics</t>
  </si>
  <si>
    <t>https://www.twistedfactory.com/shoot/30541</t>
  </si>
  <si>
    <t>https://www.twistedfactory.com/shoot/34259</t>
  </si>
  <si>
    <t>dallas blaze</t>
  </si>
  <si>
    <t>anal hook</t>
  </si>
  <si>
    <t>https://bdsmmansion.com/video/14741/casey-calvert-bondage-torment-and-sexual-servitude/</t>
  </si>
  <si>
    <t>casey calvert</t>
  </si>
  <si>
    <t>https://bdsmstreak.com/video/71348/chanel-preston-returns-to-hogtied</t>
  </si>
  <si>
    <t>https://bdsmstreak.com/video/71102/chanel-prestons-hot-new-play-thing</t>
  </si>
  <si>
    <t>chanel preston,dresden</t>
  </si>
  <si>
    <t>https://bdsmstreak.com/video/80236/cherry-torn-s-dirtytalking-anal-lesbian-slut</t>
  </si>
  <si>
    <t>kink</t>
  </si>
  <si>
    <t>cherry torn,dresden</t>
  </si>
  <si>
    <t>https://bdsmstreak.com/video/78561/claire-adams-vs-dahlia-sky</t>
  </si>
  <si>
    <t>claire adams,bailey blue (dahlia sky)</t>
  </si>
  <si>
    <t>oiled,paddle</t>
  </si>
  <si>
    <t>https://hcbdsm.com/video/96173/claire-adams-vs-rough-rider-wenona/</t>
  </si>
  <si>
    <t>wenona,claire adams</t>
  </si>
  <si>
    <t>pretzel,fist,split,sybian</t>
  </si>
  <si>
    <t>https://hcbdsm.com/video/109027/claire-dames-and-wenona-there-is-something-you-don-t-see-everyday/</t>
  </si>
  <si>
    <t>pretzel,face lock</t>
  </si>
  <si>
    <t>https://bdsmstreak.com/video/72144/claires-day-off</t>
  </si>
  <si>
    <t>sarah jay</t>
  </si>
  <si>
    <t>pretzel,fat</t>
  </si>
  <si>
    <t>https://bdsmstreak.com/video/72089/college-girl-ravished</t>
  </si>
  <si>
    <t>ash hollywood</t>
  </si>
  <si>
    <t>https://bdsmstreak.com/video/81010/come-enema-and-anal-domination</t>
  </si>
  <si>
    <t>isis love,elise graves</t>
  </si>
  <si>
    <t>https://bdsmstreak.com/video/94525/crystal-frost</t>
  </si>
  <si>
    <t>inverted,one bar,crotch metal</t>
  </si>
  <si>
    <t>https://bdsmstreak.com/video/80591/cute-red-head-plucked-off-the-street-hung-upside-down-and-double-penetrated</t>
  </si>
  <si>
    <t>nyomi banxxx,aiden starr,madeline marlowe,annabelle lee</t>
  </si>
  <si>
    <t>foursome lesbian</t>
  </si>
  <si>
    <t>https://bdsmstreak.com/video/88406/fucked-and-bound-2014-01-17-cute-young-blonde-overwhelmed-with-bondage-and-cock-elyssa-greene-mickey-mod</t>
  </si>
  <si>
    <t>kink fucked and bound</t>
  </si>
  <si>
    <t>elyssa greene</t>
  </si>
  <si>
    <t>inverted,suspended,</t>
  </si>
  <si>
    <t>https://hcbdsm.com/video/110561/cyd-black-and-amber-rayne/</t>
  </si>
  <si>
    <t>https://bdsmstreak.com/video/78428/damage-me-please</t>
  </si>
  <si>
    <t>dahlia sky</t>
  </si>
  <si>
    <t>inverted,bent,wax</t>
  </si>
  <si>
    <t>https://heavyfetish.com/videos/95757/dani-daniels-in-brutal-bondage-tormented-and-made-to-cum-uncontrollably/</t>
  </si>
  <si>
    <t>https://hcbdsm.com/video/90227/destroying-the-homecoming-queen/</t>
  </si>
  <si>
    <t>anikka albrite, ash hollywood, isis love, Gia dimarco</t>
  </si>
  <si>
    <t>foursome lesbian,toilet,plastic</t>
  </si>
  <si>
    <t>https://www.twistedfactory.com/shoot/34846</t>
  </si>
  <si>
    <t>darling</t>
  </si>
  <si>
    <t>actual is 50mins</t>
  </si>
  <si>
    <t>https://hcbdsm.com/video/94421/dolly-s-innocence-lost3/</t>
  </si>
  <si>
    <t>dolly leigh</t>
  </si>
  <si>
    <t>https://bdsmstreak.com/video/93726/double-teamed-extreme-bondage-brutal-suffering-and-squirting-orgasms</t>
  </si>
  <si>
    <t>https://www.twistedfactory.com/shoot/32113</t>
  </si>
  <si>
    <t>juliette march,nikki darling</t>
  </si>
  <si>
    <t>https://bdsmstreak.com/video/72674/double-your-pleasure</t>
  </si>
  <si>
    <t>casey calvert,veruca james</t>
  </si>
  <si>
    <t>jade indica,isis love,amber rayne</t>
  </si>
  <si>
    <t>live</t>
  </si>
  <si>
    <t>https://bdsmstreak.com/video/74631/dragonlilly-the-sarge</t>
  </si>
  <si>
    <t>kink water bondage</t>
  </si>
  <si>
    <t>dragonlily</t>
  </si>
  <si>
    <t>https://www.kink.com/shoot/6721</t>
  </si>
  <si>
    <t>clair adams,adrianna nicole</t>
  </si>
  <si>
    <t>https://bdsmstreak.com/video/70653/dyke-bar-3-abella-danger-fisted-dp-d-and-dominated-by-wild-lesbians</t>
  </si>
  <si>
    <t>abella danger,mona wales,mistress kara,phoenix marie</t>
  </si>
  <si>
    <t>https://bdsmstreak.com/video/94773/encore-of-amber-raynes-april-6th-live-show</t>
  </si>
  <si>
    <t>https://hcbdsm.com/video/109837/extreme-bondage-brutal-torment-and-intense-orgasm-denial3/</t>
  </si>
  <si>
    <t>roxanne rae</t>
  </si>
  <si>
    <t>https://hcbdsm.com/video/94479/falling-into-ashes-ash-hollywood3/</t>
  </si>
  <si>
    <t>kick stomach</t>
  </si>
  <si>
    <t>https://bdsmstreak.com/video/79058/father-issues</t>
  </si>
  <si>
    <t>lily lane,petra blair</t>
  </si>
  <si>
    <t>https://bdsmstreak.com/video/72108/feature-shoot-wet-rock-canyon</t>
  </si>
  <si>
    <t>penny pax.cherry torn</t>
  </si>
  <si>
    <t>outdoors</t>
  </si>
  <si>
    <t>https://hcbdsm.com/video/90620/part-2-felony-live-show-most-flexible-milf/</t>
  </si>
  <si>
    <t>https://hcbdsm.com/video/110052/felony-amazing-milf-squirter3/</t>
  </si>
  <si>
    <t>anal hook,inverted</t>
  </si>
  <si>
    <t>https://bdsmstreak.com/video/73957/final-reckoning</t>
  </si>
  <si>
    <t>iona grace</t>
  </si>
  <si>
    <t>https://bdsmstreak.com/video/80463/first-kinky-lesbian-experience</t>
  </si>
  <si>
    <t>ashlee graham,felony</t>
  </si>
  <si>
    <t>felony lesbian,pussy clamps</t>
  </si>
  <si>
    <t>https://bdsmstreak.com/video/80889/fist-punching-sarah</t>
  </si>
  <si>
    <t>krissy lynn,sarah shevon</t>
  </si>
  <si>
    <t>https://www.twistedfactory.com/shoot/34079</t>
  </si>
  <si>
    <t>kink chantasbitches</t>
  </si>
  <si>
    <t>mz berlin,amber rayne</t>
  </si>
  <si>
    <t>foot up ass</t>
  </si>
  <si>
    <t>https://bdsmstreak.com/video/89566/fragments-viii</t>
  </si>
  <si>
    <t>mz berlin,penny pax</t>
  </si>
  <si>
    <t>https://bdsmstreak.com/video/93740/fresh-meat-rosalyn-sphinx</t>
  </si>
  <si>
    <t>rosalyn sphinx</t>
  </si>
  <si>
    <t>https://bdsmstreak.com/video/68818/fresh-talent</t>
  </si>
  <si>
    <t>felony,madison scott</t>
  </si>
  <si>
    <t>felony lesbian</t>
  </si>
  <si>
    <t>https://bdsmstreak.com/video/89484</t>
  </si>
  <si>
    <t>rain degrey</t>
  </si>
  <si>
    <t>chains,suspened</t>
  </si>
  <si>
    <t>https://bdsmstreak.com/video/87371/sexually-broken-the-farmers-daughter</t>
  </si>
  <si>
    <t>unknown-star</t>
  </si>
  <si>
    <t>https://www.kink.com/shoot/25815</t>
  </si>
  <si>
    <t>kristina rose, lorelei lee</t>
  </si>
  <si>
    <t>inverted and bent</t>
  </si>
  <si>
    <t>https://www.twistedfactory.com/shoot/34426</t>
  </si>
  <si>
    <t>andre shakti</t>
  </si>
  <si>
    <t>pertzel</t>
  </si>
  <si>
    <t>https://bdsmstreak.com/video/70538/helpless-whore-begs-for-more</t>
  </si>
  <si>
    <t>https://bdsmstreak.com/video/76063/hot-blond-is-caned-ass-fucked-made-to-cum-over-and-over4-doms-brutally-work-the-whore-over</t>
  </si>
  <si>
    <t>lorelei lee,isis love</t>
  </si>
  <si>
    <t>https://hcbdsm.com/video/97104/hot-blonde-anikka-albright-s-first-bondage-shoot-ever4/</t>
  </si>
  <si>
    <t>anikka albrite</t>
  </si>
  <si>
    <t>https://bdsmstreak.com/video/78628/iona-grace-punished-wanton-slut</t>
  </si>
  <si>
    <t>hose pussy</t>
  </si>
  <si>
    <t>https://www.kink.com/shoot/7129</t>
  </si>
  <si>
    <t>oiled,nipple rope</t>
  </si>
  <si>
    <t>https://bdsmstreak.com/video/49558/jada-marxxx-and-sarah-jane-ceylon-db</t>
  </si>
  <si>
    <t>jade marxxx,sarah jane ceylon,clair adams</t>
  </si>
  <si>
    <t>https://bdsmstreak.com/video/94552</t>
  </si>
  <si>
    <t>jade marxxx,jenni lee</t>
  </si>
  <si>
    <t>https://www.kink.com/shoot/2423</t>
  </si>
  <si>
    <t>jessica sexin,isis love</t>
  </si>
  <si>
    <t>https://bdsmstreak.com/video/74033/jodi-taylor-eager-slut-elaborately-bound-caned-zapped-and-fucked</t>
  </si>
  <si>
    <t>jodi taylor</t>
  </si>
  <si>
    <t>nipple rope,anal hook</t>
  </si>
  <si>
    <t>https://hcbdsm.com/video/100478/juliette-march-perfect-pain-slut-pushed-to-the-extreme4/</t>
  </si>
  <si>
    <t>juliette march</t>
  </si>
  <si>
    <t>sticks on body</t>
  </si>
  <si>
    <t>https://bdsmstreak.com/video/76609/katie-summers-tormented-cunt</t>
  </si>
  <si>
    <t>oiled,nipple sticks</t>
  </si>
  <si>
    <t>https://hcbdsm.com/video/100300/katya-rodriguez-hogtied-newcomer-bound-and-tormented-in-bondage4/</t>
  </si>
  <si>
    <t>katya rodriguez</t>
  </si>
  <si>
    <t>https://www.kink.com/shoot/3623</t>
  </si>
  <si>
    <t>kayla paige,tory lane</t>
  </si>
  <si>
    <t>https://hcbdsm.com/video/100141/keira-croft-pain-slut-gets-destroyed-squirts-everywhere2/</t>
  </si>
  <si>
    <t>https://www.kink.com/shoot/27005</t>
  </si>
  <si>
    <t>cytherea, dylan ryan</t>
  </si>
  <si>
    <t>squirt</t>
  </si>
  <si>
    <t>https://hcbdsm.com/video/93382/lesbian-femdom-role-switch-leaves-both-women-begging-for-more3/</t>
  </si>
  <si>
    <t>penny pax,carissa montgomery</t>
  </si>
  <si>
    <t>sensual bdsm</t>
  </si>
  <si>
    <t>https://www.twistedfactory.com/shoot/35252</t>
  </si>
  <si>
    <t>https://bdsmstreak.com/video/47885/jaelyn-fox-sas</t>
  </si>
  <si>
    <t>jaelyn fox</t>
  </si>
  <si>
    <t>https://bdsmstreak.com/video/69744/little-nympho-whore</t>
  </si>
  <si>
    <t>https://bdsmstreak.com/video/94148/long-legs-and-huge-nipples-suffers-foot-caning-finger-fucking-til-squirting</t>
  </si>
  <si>
    <t>extreme pretzel,anal hook</t>
  </si>
  <si>
    <t>https://www.kink.com/shoot/10760</t>
  </si>
  <si>
    <t>jennifer white</t>
  </si>
  <si>
    <t>anal beads</t>
  </si>
  <si>
    <t>https://bdsmstreak.com/video/89623/lorelei-lee-is-bent-in-unforgiving-device-bondage</t>
  </si>
  <si>
    <t>bent,anal hook,chains</t>
  </si>
  <si>
    <t>https://pornzog.com/video/13641601/chanta-sbitches-new-pet-lorelei-lee-mason-moore/</t>
  </si>
  <si>
    <t>lorelei lee,manson moore</t>
  </si>
  <si>
    <t>wax</t>
  </si>
  <si>
    <t>https://bdsmstreak.com/video/76477/lyla-storm-complete-edited-live-show</t>
  </si>
  <si>
    <t>https://bdsmstreak.com/video/74130/lyla-storm-vs-jack-hammer</t>
  </si>
  <si>
    <t>anal hook tied to mouth in pretzel horizontal</t>
  </si>
  <si>
    <t>https://hcbdsm.com/video/94648/madison-scott-is-bound-in-a-traditional-japanese-torment-positionmake-to-cum-and-squirt3/</t>
  </si>
  <si>
    <t>madison scott</t>
  </si>
  <si>
    <t>https://www.kink.com/shoot/4472</t>
  </si>
  <si>
    <t>madison young,sandra romain</t>
  </si>
  <si>
    <t>wooden horse,shock plugs in pussy</t>
  </si>
  <si>
    <t>https://www.twistedfactory.com/shoot/35154</t>
  </si>
  <si>
    <t>https://bdsmmansion.com/video/11203/09-09-11-7084-aiden-starr-marie-mccray-marie-mccray/</t>
  </si>
  <si>
    <t>aiden starr, marie mccray</t>
  </si>
  <si>
    <t>https://bdsmmansion.com/video/16490/mark-davis-and-jade-marxxx/</t>
  </si>
  <si>
    <t>jade marxxx</t>
  </si>
  <si>
    <t>https://bdsmstreak.com/video/95647/mark-davis-and-nadia-styles</t>
  </si>
  <si>
    <t>nadia styles</t>
  </si>
  <si>
    <t>oiled,bent on wheel</t>
  </si>
  <si>
    <t>https://bdsmmansion.com/video/15068/masochistic-anal-sluts-suffer-and-squirt-for-bdsm-party/</t>
  </si>
  <si>
    <t>aiden starr, victoria voxxx, zoe sparx</t>
  </si>
  <si>
    <t>gangbang</t>
  </si>
  <si>
    <t>https://bdsmstreak.com/video/52055/winter-sky-with-christina-carter-and-mason</t>
  </si>
  <si>
    <t>christina carter,winter sky</t>
  </si>
  <si>
    <t>https://bdsmstreak.com/video/89611/mia-lelani-big-titted-cunt-tormented-complete-edited-live-show</t>
  </si>
  <si>
    <t>mia lelani,mz berlin,bella rossi</t>
  </si>
  <si>
    <t>wax tits</t>
  </si>
  <si>
    <t>https://bdsmstreak.com/video/92802/miss-kitty</t>
  </si>
  <si>
    <t>white pussy thin</t>
  </si>
  <si>
    <t>https://hcbdsm.com/video/84249/missy-minkslive-show-edited/</t>
  </si>
  <si>
    <t>missy minks,mz berlin</t>
  </si>
  <si>
    <t>inverted pussy over face,anal hook, stuck on wall,spank</t>
  </si>
  <si>
    <t>https://bdsmstreak.com/video/76569/missy-minks-tough-lesbian-slut</t>
  </si>
  <si>
    <t>https://www.kink.com/shoot/45960</t>
  </si>
  <si>
    <t>veronica avluv,victoria voxxx,cherie deville,ella nova,india summer,helena locke,kacie castle,abella danger,dana dearmond,amilia onyx</t>
  </si>
  <si>
    <t>compilation</t>
  </si>
  <si>
    <t>https://bdsmstreak.com/video/74017/mz-berlin-vs-odile</t>
  </si>
  <si>
    <t>mz berlin,odile</t>
  </si>
  <si>
    <t>https://bdsmstreak.com/video/72172/new-recruit-crew-member-electro-fucked-and-tormented</t>
  </si>
  <si>
    <t>mona wales,lilith luxe</t>
  </si>
  <si>
    <t>wire inside ass, probe electric</t>
  </si>
  <si>
    <t>https://hcbdsm.com/video/103682/fucked-and-bound-2014-04-04-newbie-gets-brutally-fucked-in-tight-bondage-derrick-pierce-sophia-locke/</t>
  </si>
  <si>
    <t>sophia locke</t>
  </si>
  <si>
    <t>https://bdsmstreak.com/video/77281</t>
  </si>
  <si>
    <t>chloe cherry</t>
  </si>
  <si>
    <t>https://bdsmstreak.com/video/89580/nikki-darling-katharine-cane-complete-edited-live-show</t>
  </si>
  <si>
    <t>mz berlin,nikki darling,katherine cane</t>
  </si>
  <si>
    <t>face locked into pussy</t>
  </si>
  <si>
    <t>https://bdsmstreak.com/video/73624/no-cuntry-for-dirty-sluts</t>
  </si>
  <si>
    <t>dakota skye,carter cruise</t>
  </si>
  <si>
    <t>https://bdsmstreak.com/video/70421/no-holds-barred-daisy-ducati-shocks-fucks-lesbian-pain-slut</t>
  </si>
  <si>
    <t>daisy ducati,london river</t>
  </si>
  <si>
    <t>wire inside ass, probe electric,pretzel</t>
  </si>
  <si>
    <t>https://bdsmstreak.com/video/87967/sex-and-submission-obedient-girl-sensi-pearl</t>
  </si>
  <si>
    <t>https://bdsmstreak.com/video/68870/office-take-down</t>
  </si>
  <si>
    <t>felony,isis love,luscious lopez</t>
  </si>
  <si>
    <t>https://hcbdsm.com/video/97408/omega-fucks-another-tiny-brunette-into-sub-space2/</t>
  </si>
  <si>
    <t>seda</t>
  </si>
  <si>
    <t>https://hcbdsm.com/video/89756/one-badass-bitch-mona-wales/</t>
  </si>
  <si>
    <t>mona wales</t>
  </si>
  <si>
    <t>https://bdsmstreak.com/video/89992/one-girl-is-stretched-to-the-limit-of-her-body-the-other-takes-the-cane-and-takes-it-hard</t>
  </si>
  <si>
    <t>https://bdsmstreak.com/video/68826/one-tough-bitch-holly-heart-and-maestro</t>
  </si>
  <si>
    <t>holly heart</t>
  </si>
  <si>
    <t>https://www.twistedfactory.com/shoot/26969</t>
  </si>
  <si>
    <t>dia zerva</t>
  </si>
  <si>
    <t>https://www.kink.com/shoot/11747</t>
  </si>
  <si>
    <t>https://bdsmstreak.com/video/92806/penned-in</t>
  </si>
  <si>
    <t>trina micheals</t>
  </si>
  <si>
    <t>trapped under net</t>
  </si>
  <si>
    <t>https://hcbdsm.com/video/95091/petite-asian-bondage-virgin-gets-a-dose-of-suffering2/</t>
  </si>
  <si>
    <t>alina li</t>
  </si>
  <si>
    <t>https://www.twistedfactory.com/shoot/35502</t>
  </si>
  <si>
    <t>jeze belle</t>
  </si>
  <si>
    <t>https://bdsmstreak.com/video/80570/petite-bondage-slut-sensi-pearl</t>
  </si>
  <si>
    <t>sensi pearl,bobbi star</t>
  </si>
  <si>
    <t>https://hcbdsm.com/video/93824/phoenix-marie-gets-her-ass-fisted-in-bondage/</t>
  </si>
  <si>
    <t>phoenix marie,donna dolore</t>
  </si>
  <si>
    <t>https://www.kink.com/shoot/39366</t>
  </si>
  <si>
    <t>casey calvert,piper perri</t>
  </si>
  <si>
    <t>https://bdsmstreak.com/video/76585/pom-pom-girl-gets-gang-banged-by-basketball-coach-and-team</t>
  </si>
  <si>
    <t>kink bound gang bangs</t>
  </si>
  <si>
    <t>emma haize</t>
  </si>
  <si>
    <t>1f-2mgb</t>
  </si>
  <si>
    <t>https://bdsmstreak.com/video/72527/popping-the-cherry</t>
  </si>
  <si>
    <t>https://hcbdsm.com/video/105177/presenting-chloe-s-cunt-folded-opened-and-exposed2/</t>
  </si>
  <si>
    <t>chloe camilla,payton bell</t>
  </si>
  <si>
    <t>2f-1m.extreme pretzel</t>
  </si>
  <si>
    <t>https://bdsmstreak.com/video/83230/pussy-princess-donna-is-sandras-electrosubmissive</t>
  </si>
  <si>
    <t>sandra romain,donna dolore</t>
  </si>
  <si>
    <t>1f-1f,feet in pussy</t>
  </si>
  <si>
    <t>https://bdsmstreak.com/video/91771/princess-donnas-bday-bash</t>
  </si>
  <si>
    <t>jade indica,donna dolore</t>
  </si>
  <si>
    <t>https://hcbdsm.com/video/88742/public-gangbang-3/</t>
  </si>
  <si>
    <t>sarah jane ceylon</t>
  </si>
  <si>
    <t>1f-fmgb</t>
  </si>
  <si>
    <t>https://bdsmstreak.com/video/71370/pushing-her-buttons</t>
  </si>
  <si>
    <t>mandy muse</t>
  </si>
  <si>
    <t>inverted,pretzel</t>
  </si>
  <si>
    <t>https://hcbdsm.com/video/103972/sex-and-submission-pushing-limits-with-hardcore-bdsm-sex/</t>
  </si>
  <si>
    <t>https://hcbdsm.com/video/95620/rain-degrey-makes-ashli-orion-cum-in-an-inverted-suspension3/</t>
  </si>
  <si>
    <t>ashli orion,rain degrey</t>
  </si>
  <si>
    <t>https://bdsmstreak.com/video/89936/red-hair-fair-skin-finger-fucked-machine-fucked-extreme-nipple-play-hot-wax-hard-caning</t>
  </si>
  <si>
    <t>https://bdsmmansion.com/video/15542/red-head-with-massive-huge-tits-then-it-must-be-berlin-we-love-a-girl-who-loves-bondage/</t>
  </si>
  <si>
    <t>https://www.kink.com/shoot/6561</t>
  </si>
  <si>
    <t>dana dearmond</t>
  </si>
  <si>
    <t>oiled,bent,closeup</t>
  </si>
  <si>
    <t>https://bdsmstreak.com/video/92822/sara-faye-elyse-and-claire-adams</t>
  </si>
  <si>
    <t>sara faye,elyse, claire adams</t>
  </si>
  <si>
    <t>2f-1f1m,blindfold</t>
  </si>
  <si>
    <t>https://hcbdsm.com/video/109224/sarah-shevon-the-pile-driver/</t>
  </si>
  <si>
    <t>sarah shevon</t>
  </si>
  <si>
    <t>extreme inverted</t>
  </si>
  <si>
    <t>https://www.kink.com/shoot/7570</t>
  </si>
  <si>
    <t>sasha yung</t>
  </si>
  <si>
    <t>cute,anal hook,asian</t>
  </si>
  <si>
    <t>chloe cherry,michele james</t>
  </si>
  <si>
    <t>normal-rough-maledom</t>
  </si>
  <si>
    <t>https://www.twistedfactory.com/shoot/35957</t>
  </si>
  <si>
    <t>https://hcbdsm.com/video/81160/service-session-clit-appreciation-day/</t>
  </si>
  <si>
    <t>cherry torn,bella rossi</t>
  </si>
  <si>
    <t>2f-1m,anal hook</t>
  </si>
  <si>
    <t>https://bdsmstreak.com/video/89780/sexy-bad-girl-tamed-by-chain</t>
  </si>
  <si>
    <t>rozen debowe</t>
  </si>
  <si>
    <t>https://bdsmstreak.com/video/74396/sexy-brunette-experiences-nipple-torture-brutal-crotch-rope-and-extreme-bondage</t>
  </si>
  <si>
    <t>nipple suction,bent on wheel,oiled,nipple ropes,nipple rops weights,anal hook in mouth</t>
  </si>
  <si>
    <t>https://bdsmstreak.com/video/89596/sheena-shaw-rough-rider</t>
  </si>
  <si>
    <t>nipple mouse traps,inverted,oiled,nipple clamps weights</t>
  </si>
  <si>
    <t>https://www.kink.com/shoot/6106</t>
  </si>
  <si>
    <t>inflatable plug,caged,nipple clamps</t>
  </si>
  <si>
    <t>https://bdsmstreak.com/video/69769/slutty-anal-nurses</t>
  </si>
  <si>
    <t>amber rayne,dana dearmond</t>
  </si>
  <si>
    <t>https://bdsmstreak.com/video/80742/stella-cox-learns-the-hard-way-not-to-mess-with-a-dommes-money</t>
  </si>
  <si>
    <t>stella cox,ariel x</t>
  </si>
  <si>
    <t>1f-1f,anal hook,inverted pussy over face</t>
  </si>
  <si>
    <t>https://bdsmstreak.com/video/88689/sex-and-submission-riley-reid-step-sister-slut-featuring-riley-reid</t>
  </si>
  <si>
    <t>riley reid</t>
  </si>
  <si>
    <t>https://bdsmstreak.com/video/87337/sexually-broken-penny-lay-jessie-dean-stock-fucked</t>
  </si>
  <si>
    <t>penny lay</t>
  </si>
  <si>
    <t>https://bdsmstreak.com/video/74088/stolen-goods</t>
  </si>
  <si>
    <t>chanel preston,riley evans,jessie rogers</t>
  </si>
  <si>
    <t>2f-1f1m,fist</t>
  </si>
  <si>
    <t>https://www.kink.com/shoot/7131</t>
  </si>
  <si>
    <t>felony,cherries jubalie</t>
  </si>
  <si>
    <t>https://bdsmstreak.com/video/76873/super-cute-blond-is-tormented-cloths-pins-on-her-body-are-ripped-off-made-to-cum-over-and-over</t>
  </si>
  <si>
    <t>chloe camilla,rain degrey</t>
  </si>
  <si>
    <t>https://bdsmstreak.com/video/91743/super-flexible-sensi-pearl-gets-tied-up-and-fucked</t>
  </si>
  <si>
    <t>https://bdsmstreak.com/video/93973/super-sexy-alt-pain-slut-captured-in-brutal-bondage-and-tormented</t>
  </si>
  <si>
    <t>kleio valentien</t>
  </si>
  <si>
    <t>inverted face over pussy</t>
  </si>
  <si>
    <t>https://bdsmstreak.com/video/69208/super-slut</t>
  </si>
  <si>
    <t>https://www.twistedfactory.com/shoot/30448</t>
  </si>
  <si>
    <t>dylan ryan</t>
  </si>
  <si>
    <t>https://bdsmstreak.com/video/74582/tall-long-legged-blond-is-hung-upside-down-made-to-cumchoked-clamped-abused-left-hanging</t>
  </si>
  <si>
    <t>inverted,crotch rope</t>
  </si>
  <si>
    <t>https://hcbdsm.com/video/81829/the-electroslut-next-door/</t>
  </si>
  <si>
    <t>dresden,daisy ducati</t>
  </si>
  <si>
    <t>anal electric probe</t>
  </si>
  <si>
    <t>https://www.twistedfactory.com/shoot/26968</t>
  </si>
  <si>
    <t>lorelei lee, mz berlin</t>
  </si>
  <si>
    <t>https://www.kink.com/shoot/6648</t>
  </si>
  <si>
    <t>madeline marlowe,nicotine</t>
  </si>
  <si>
    <t>1f-1f,enema</t>
  </si>
  <si>
    <t>https://bdsmstreak.com/video/71674/the-intern</t>
  </si>
  <si>
    <t>isis love, daisy ducati</t>
  </si>
  <si>
    <t>https://www.kink.com/shoot/13834</t>
  </si>
  <si>
    <t>lorelei lee, marie mccray, krysta kaos</t>
  </si>
  <si>
    <t>https://bdsmstreak.com/video/93998/the-naive-model-and-the-creepy-photographer</t>
  </si>
  <si>
    <t>dakota skye</t>
  </si>
  <si>
    <t>petite,small</t>
  </si>
  <si>
    <t>https://bdsmstreak.com/video/93587/the-new-bitch</t>
  </si>
  <si>
    <t>https://bdsmstreak.com/video/70025/the-new-bitch</t>
  </si>
  <si>
    <t>https://bdsmstreak.com/video/88715/sex-and-submission-the-night-nurse-dani-daniels</t>
  </si>
  <si>
    <t>spreader bar,sweaty</t>
  </si>
  <si>
    <t>https://bdsmstreak.com/video/94000/the-return-of-darling</t>
  </si>
  <si>
    <t>oiled,bent,nipple mouse traps</t>
  </si>
  <si>
    <t>https://bdsmstreak.com/video/83324/bondage-the-sarge-meets-mia-bangg</t>
  </si>
  <si>
    <t>mia bangg</t>
  </si>
  <si>
    <t>submerged</t>
  </si>
  <si>
    <t>https://heavyfetish.com/videos/12468/graias-the-terminator-the-groovy-and-the-faithful-slave-04/</t>
  </si>
  <si>
    <t>graias</t>
  </si>
  <si>
    <t>groovy,terminator,slave</t>
  </si>
  <si>
    <t>https://www.kink.com/shoot/6350</t>
  </si>
  <si>
    <t>harmony,rebecca blue</t>
  </si>
  <si>
    <t>https://bdsmstreak.com/video/43566/tied-together-kate-kennedy-and-dolly-mattel</t>
  </si>
  <si>
    <t>kate kenzie,dolly mattel</t>
  </si>
  <si>
    <t>https://bdsmmansion.com/video/11463/latina-bound-to-wood-stake-and-fucked-jynx-maze/</t>
  </si>
  <si>
    <t>jynx maze</t>
  </si>
  <si>
    <t>https://bdsmstreak.com/video/25183/odette-delacroix</t>
  </si>
  <si>
    <t>odette delacroix</t>
  </si>
  <si>
    <t>https://hcbdsm.com/video/107222/tiny-blonde-tied-up-and-ass-fucked-in-public2/</t>
  </si>
  <si>
    <t>https://www.eporner.com/video-bBBbPvnEkFe/tiny-casey-calvert-is-inverted-skull-fucked-pussy/</t>
  </si>
  <si>
    <t>casey calvert,dee williams</t>
  </si>
  <si>
    <t>2f-1m,inverted,pretzel</t>
  </si>
  <si>
    <t>https://bdsmstreak.com/video/70073/tiny-sex-kitten-isabella-nice-submits-in-rope-bondage-and-anal-fucking</t>
  </si>
  <si>
    <t>isabella nice</t>
  </si>
  <si>
    <t>https://www.twistedfactory.com/shoot/37110</t>
  </si>
  <si>
    <t>bailey paige</t>
  </si>
  <si>
    <t>pube pull</t>
  </si>
  <si>
    <t>https://bdsmstreak.com/video/89701/tomi-knox-assaults-fuck-doll-kristine-kahill-with-creative-devices-and-sadism</t>
  </si>
  <si>
    <t>kristine kahill</t>
  </si>
  <si>
    <t>inverted,torch in pussy at 24m,anal hook pussy</t>
  </si>
  <si>
    <t>https://bdsmstreak.com/video/76888/tough-as-nails</t>
  </si>
  <si>
    <t>elise graves,donna dolore</t>
  </si>
  <si>
    <t>https://bdsmstreak.com/video/76669/tough-as-nails-cassandra-nix</t>
  </si>
  <si>
    <t>cassandra nix</t>
  </si>
  <si>
    <t>wax,close pussy stick,anal hook</t>
  </si>
  <si>
    <t>https://hcbdsm.com/video/110053/tough-blonde-bombshell-fan-favorite-lorelei-lee-complete-edited-live-show3/</t>
  </si>
  <si>
    <t>https://bdsmstreak.com/video/81358/tracey-sweet</t>
  </si>
  <si>
    <t>https://bdsmstreak.com/video/72136/two-cunts-one-game</t>
  </si>
  <si>
    <t>riley james, lea lexis</t>
  </si>
  <si>
    <t>https://www.kink.com/shoot/7102</t>
  </si>
  <si>
    <t>jade indica,donna dolore,ariel x</t>
  </si>
  <si>
    <t>https://hcbdsm.com/video/19100/bdsm-vendetta/</t>
  </si>
  <si>
    <t>vendetta</t>
  </si>
  <si>
    <t>oiled,bent,nipple clamps</t>
  </si>
  <si>
    <t>https://bdsmstreak.com/video/88424/fucked-and-bound-2014-07-11-vulgar-display-of-power-on-ebony-slut-skin-diamond-tommy-pistol</t>
  </si>
  <si>
    <t>skin diamond</t>
  </si>
  <si>
    <t>https://bdsmstreak.com/video/94014/welcome-sheena-shaw</t>
  </si>
  <si>
    <t>stuck on wall, OG</t>
  </si>
  <si>
    <t>https://www.kink.com/shoot/4937</t>
  </si>
  <si>
    <t>https://bdsmstreak.com/video/80469/wenona-suffers</t>
  </si>
  <si>
    <t>wenona,felony</t>
  </si>
  <si>
    <t>https://bdsmstreak.com/video/93392/wenona-the-sarge</t>
  </si>
  <si>
    <t>2f-1m,live,flog,cage,cane,body clothespin,sybian,metal bondage</t>
  </si>
  <si>
    <t>1f-fmgb,ball gag,body clothespin,spank,water board,public indoors,humiliation</t>
  </si>
  <si>
    <t>1f-1f,live</t>
  </si>
  <si>
    <t>Amber Rayne Returns to Device Bondage</t>
  </si>
  <si>
    <t>main fingering at 19m,</t>
  </si>
  <si>
    <t>Sensual Fuck With Hot Brunette Holly - S9:E17</t>
  </si>
  <si>
    <t>New Recruit: Crew Member Electro Fucked and Tormented</t>
  </si>
  <si>
    <t>taser at 12m,wire in ass at 20m</t>
  </si>
  <si>
    <t>sit,spread eagle,lay down,face down ass up</t>
  </si>
  <si>
    <t>electric,fingering,flog,pussy eat,cane,probe</t>
  </si>
  <si>
    <t>Girl next door, severely bound and helpless Stripped, elbows bound, legs split, multi-orgasms!</t>
  </si>
  <si>
    <t>split vertical</t>
  </si>
  <si>
    <t>undress at 3m</t>
  </si>
  <si>
    <t>1f-1f1m,panty gag,flog,pussy flog,vibrator</t>
  </si>
  <si>
    <t>tunnel gag,closeup,oiled</t>
  </si>
  <si>
    <t>oiled with spray</t>
  </si>
  <si>
    <t>SEXUALLY BROKEN - Annie Cruz Trapped in a Piledriver</t>
  </si>
  <si>
    <t>Body Language - S9:E17</t>
  </si>
  <si>
    <t>undress at 1m,piv at 1m,</t>
  </si>
  <si>
    <t>bj,titjob,cum,pussy eat</t>
  </si>
  <si>
    <t>doggy,cowgirl,69</t>
  </si>
  <si>
    <t>Hogtied: The most beautiful girls on the planet, suffering and cumming</t>
  </si>
  <si>
    <t>19yr old fashion &amp; fitness model made to cum so hard she can't even beg for mercy. Totally destroyed</t>
  </si>
  <si>
    <t>Claire Dames and Wenona There is something you don't see everyday</t>
  </si>
  <si>
    <t>pretzel</t>
  </si>
  <si>
    <t>face lock pussy,face dildo,flog,tit flog,nipple clamps</t>
  </si>
  <si>
    <t xml:space="preserve">Ass hooked, caned &amp; made to cum so much she begs for mercy Humiliated and used, so helpless! </t>
  </si>
  <si>
    <t>stand face down</t>
  </si>
  <si>
    <t>anal hook while facing away down</t>
  </si>
  <si>
    <t>anal hook,cane,nipple clamps weights,fingering</t>
  </si>
  <si>
    <t>Anal Audition: Skylar sweats through a hot soapy enema</t>
  </si>
  <si>
    <t>enema,vibrator</t>
  </si>
  <si>
    <t>lay down,ass up face down</t>
  </si>
  <si>
    <t xml:space="preserve">Long legs, and huge nipples, suffers foot caning, finger fucking 'til squirting. Agony &amp; Ecstasy ! </t>
  </si>
  <si>
    <t>Long legs, and huge nipples, suffers foot caning, finger fucking 'til squirting</t>
  </si>
  <si>
    <t>flog,pussy flog,nipple suction,vibrator,cane,nipple string,anal hook</t>
  </si>
  <si>
    <t>pussy flog at 0m,nipple suction at 2m,anal hook at 9m</t>
  </si>
  <si>
    <t>enema from a bag</t>
  </si>
  <si>
    <t>AnnaBelle Lee NO MAS NO MAS</t>
  </si>
  <si>
    <t>vibrator,cane,dildo stick,fucking machine</t>
  </si>
  <si>
    <t>inverted and caned at 0m</t>
  </si>
  <si>
    <t>19yr orgasmed past the breaking point. Can someone be orgasmed to insanity? We almost found out!</t>
  </si>
  <si>
    <t xml:space="preserve">Pain slut, destroyed with pleasure. Massive orgasm overload totally implodes this whore's brain. </t>
  </si>
  <si>
    <t>Jessica Sexin and Isis Love</t>
  </si>
  <si>
    <t>Kayla Paige and Tory Lane</t>
  </si>
  <si>
    <t>Sasha has soooo many firsts! Anal &amp; squirt!</t>
  </si>
  <si>
    <t>Jade Indica fucks her own ass in suspension!</t>
  </si>
  <si>
    <t>The Virgin</t>
  </si>
  <si>
    <t>Day of Reckoning</t>
  </si>
  <si>
    <t>Wenona put into extreme bondage!!!</t>
  </si>
  <si>
    <t>Double Trouble</t>
  </si>
  <si>
    <t>Painful Intimacy</t>
  </si>
  <si>
    <t>Blair Bitch Project</t>
  </si>
  <si>
    <t>Hall of FuckingMachines FAME: The Top of the Fuck Chain</t>
  </si>
  <si>
    <t>Fisting Class</t>
  </si>
  <si>
    <t>Killing the Machines with Pussy SQUIRT: Cytherea and Dylan Ryan</t>
  </si>
  <si>
    <t>The Interview: Part 2</t>
  </si>
  <si>
    <t>All Anal Slave Girls Training the Gape!</t>
  </si>
  <si>
    <t>Dual Pleasures.... Adrianna Nicole &amp; Claire Adams</t>
  </si>
  <si>
    <t>Alexa Von Tess</t>
  </si>
  <si>
    <t>Devastating Darling</t>
  </si>
  <si>
    <t>Tall Blond Bombshell Taken Down</t>
  </si>
  <si>
    <t>Petite Blonde Gets Destroyed in Extreme Bondage</t>
  </si>
  <si>
    <t>Resistance is Futile.... Dana gives into her lust and aching asshole</t>
  </si>
  <si>
    <t>Looking for Trouble</t>
  </si>
  <si>
    <t xml:space="preserve">Looking for Trouble Lily LaBeau Endures Extreme Bondage, savage Foot Torment, and Screaming Orgasms!! </t>
  </si>
  <si>
    <t>Tiny Slut, Big Pain!!</t>
  </si>
  <si>
    <t xml:space="preserve">March Madness - Extreme Bondage, Orgasm Overload, merciless Torment, Hair Suspension! </t>
  </si>
  <si>
    <t>Bent</t>
  </si>
  <si>
    <t>Electrical Interrogation</t>
  </si>
  <si>
    <t>Screaming Through the Pain</t>
  </si>
  <si>
    <t>Helpless Whore Devastated by Extreme Bondage</t>
  </si>
  <si>
    <t xml:space="preserve">The Gentle Approach to Heavy Ass Fucking! </t>
  </si>
  <si>
    <t xml:space="preserve">Ariel X, Annie Cruz Part 1 of 4 of the March Live Feed </t>
  </si>
  <si>
    <t>Madison Young and Sandra Romain</t>
  </si>
  <si>
    <t>Her Body, Her Pain!</t>
  </si>
  <si>
    <t>Two of the hottest and toughest porn stars team up for one explosive update!!!!</t>
  </si>
  <si>
    <t>Piper Perri's Sex Slave Initiation</t>
  </si>
  <si>
    <t>Scandalous Anal College Admission For Bratty Step-Daughter</t>
  </si>
  <si>
    <t>Submission to pain..... Cherries &amp; Felony</t>
  </si>
  <si>
    <t>Blonde college student is subjected to extreme suffering</t>
  </si>
  <si>
    <t>A Tale of Kasey and Casey</t>
  </si>
  <si>
    <t>Mommies Know Best: Gorgeous MILFs Train Disobedient Young Girls</t>
  </si>
  <si>
    <t>The Fuck Doll</t>
  </si>
  <si>
    <t>DEVICE BONDAGE - Tara Lynn Fox</t>
  </si>
  <si>
    <t>Tara Lynn Fox INVERTAFUCKED</t>
  </si>
  <si>
    <t>WIRED PUSSY - The Cattleprod</t>
  </si>
  <si>
    <t>The Cattleprod</t>
  </si>
  <si>
    <t>Trinity Post - EverythingButt</t>
  </si>
  <si>
    <t>Trinity is back for more water &amp; deep ass fucking…</t>
  </si>
  <si>
    <t>Audrey Rose’s Submission &amp; Rough Fucking in BDSM</t>
  </si>
  <si>
    <t>Intense Submission: Audrey Rose</t>
  </si>
  <si>
    <t>Yes Mistress: April Olsen and JJ Graves</t>
  </si>
  <si>
    <t>April Olsen: Pegging Passion – Femdom &amp; Rough Anal</t>
  </si>
  <si>
    <t>Felony Bound in Cruel Latex, Metal and Leather Bondage!</t>
  </si>
  <si>
    <t xml:space="preserve">Clean and clear </t>
  </si>
  <si>
    <t xml:space="preserve">Felony cleaned out &amp; anally splayed open </t>
  </si>
  <si>
    <t>Mediaval Chambers</t>
  </si>
  <si>
    <t xml:space="preserve">No Safe Word </t>
  </si>
  <si>
    <t>Cassandra Nix, Lana S, Diana Stewart, Jenna Rose, Ashley Brooke</t>
  </si>
  <si>
    <t>Dominatrix 6 – No Safe Word</t>
  </si>
  <si>
    <t>My StepMother is a Secret Sex Slave</t>
  </si>
  <si>
    <t>My Step-Mother is a Secret Sex Slave</t>
  </si>
  <si>
    <t>WIRED PUSSY - Nineteen Year Old Beauty (Princess Donna Dolore, Lily LaBeau)</t>
  </si>
  <si>
    <t>Nineteen Year Old Beauty</t>
  </si>
  <si>
    <t>Kink – Avery Black – Sex And Submission</t>
  </si>
  <si>
    <t>Snatched Up</t>
  </si>
  <si>
    <t>Mistress Adria Rae Rewards Her Sweet Boy Sage Roux</t>
  </si>
  <si>
    <t>Adria Rae - Femdom Scene</t>
  </si>
  <si>
    <t>Pain Does Get Her Going Further</t>
  </si>
  <si>
    <t>Aiden Ashley: Suffering Slut in savage Bondage</t>
  </si>
  <si>
    <t xml:space="preserve">Sensi Pearl in DeviceBondage </t>
  </si>
  <si>
    <t>Sensi Pearl: Petite Brunette Tormented and Made to Squirt</t>
  </si>
  <si>
    <t>08.04.04 5181 Daisy Marie, Aiden Starr (Daisy's Promotion)</t>
  </si>
  <si>
    <t>Daisy's Promotion</t>
  </si>
  <si>
    <t>Squirt Alert, Device Bondage</t>
  </si>
  <si>
    <t>Squirt Alert! From the ass that keeps on taking</t>
  </si>
  <si>
    <t xml:space="preserve">Bondage Fetish - Kaitlyn Katsaros </t>
  </si>
  <si>
    <t>Gratuitous Torment</t>
  </si>
  <si>
    <t>WhippedAss - A Double Debut - Leah Gotti, Madelynn May</t>
  </si>
  <si>
    <t>A Double Debut</t>
  </si>
  <si>
    <t>INFERNAL RESTRAINTS - CURIOUS ELISE BONUS</t>
  </si>
  <si>
    <t xml:space="preserve">infernalrestraints.com - CURIOUS ELISE BONUS - Elise Graves </t>
  </si>
  <si>
    <t>https://www.kink.com/shoot/106509</t>
  </si>
  <si>
    <t>All For Me</t>
  </si>
  <si>
    <t>Ashley Lane: Pain Slut Brutally Tormented in Device Bondage</t>
  </si>
  <si>
    <t>Ashley Lane: Pain Slut Intense Tormented in Device Bondage</t>
  </si>
  <si>
    <t>Melody Marks</t>
  </si>
  <si>
    <t>Dungeon Corp – A Thorough Introduction to BDSM – Melody Marks</t>
  </si>
  <si>
    <t>Divine Bitches – Training Of A Bitchboy</t>
  </si>
  <si>
    <t>https://www.kink.com/shoot/8236</t>
  </si>
  <si>
    <t>aiden starr</t>
  </si>
  <si>
    <t>Chastity Tease and Denial: "Hump the Air Bitchboy" Episode 3</t>
  </si>
  <si>
    <t xml:space="preserve">Ariel X and Gia DiMarco - Lezdom HD </t>
  </si>
  <si>
    <t>"You Own Me" A fantasy feature film: A story of savage revenge &amp; sexual mental domination</t>
  </si>
  <si>
    <t>DEVICE BONDAGE Isis Love Missy Minks Audrey Rose</t>
  </si>
  <si>
    <t>Face down ass up x 2</t>
  </si>
  <si>
    <t>Mistress makes slave be in chastity him too</t>
  </si>
  <si>
    <t xml:space="preserve">Educating a Bitch Boy Episode: 1 </t>
  </si>
  <si>
    <t>january seraph</t>
  </si>
  <si>
    <t>Spank me lascivious</t>
  </si>
  <si>
    <t>QUEENSNAKE Long March - Jessica - Jessica, Tanita</t>
  </si>
  <si>
    <t>LONG MARCH - JESSICA</t>
  </si>
  <si>
    <t>Feisty Brunette Babe Bosses Around Her Asian Group in Lingerie</t>
  </si>
  <si>
    <t>Super Flexible Sensi Pearl Gets Tied up and Fucked</t>
  </si>
  <si>
    <t>HOGTIED - Charlotte Cross 2</t>
  </si>
  <si>
    <t>Princess Revisits Hogtied to Prove Herself to The Pope</t>
  </si>
  <si>
    <t>Chastity Woes: Episode 2</t>
  </si>
  <si>
    <t>https://bdsmstreak.com/video/75507/chastity-woes-episode-2</t>
  </si>
  <si>
    <t xml:space="preserve">Chastity Woes: Episode 2 </t>
  </si>
  <si>
    <t>Going for Gold</t>
  </si>
  <si>
    <t>https://bdsmstreak.com/video/95371/going-for-gold</t>
  </si>
  <si>
    <t>WIRED PUSSY – Annabelle Lee</t>
  </si>
  <si>
    <t>Annabelle Lee</t>
  </si>
  <si>
    <t>annabelle lee,donna dolore</t>
  </si>
  <si>
    <t>1f-1f,shocking cane at 8m,tit pull and slap at 10m, panties in mouth at 10m,oil at 18m,electric steel plug and hook at 19m,nipple sticks at 42m</t>
  </si>
  <si>
    <t>DEVICE BONDAGE Amber Rayne</t>
  </si>
  <si>
    <t xml:space="preserve">Ash and Allie </t>
  </si>
  <si>
    <t>ash hollywood,allie james</t>
  </si>
  <si>
    <t>Allie James, Ash Hollywood in Rocco's Perfect Slaves 4</t>
  </si>
  <si>
    <t>FLOOD: Submissive Women Bound in Metal and Made to Squirt</t>
  </si>
  <si>
    <t>https://bdsmmansion.com/video/15258/flood-submissive-women-bound-in-metal-and-made-to-squirt/</t>
  </si>
  <si>
    <t>bonnie rotten, daisy ducati, roxanne rae, janice griffith, lilly lit, ashley lane</t>
  </si>
  <si>
    <t>3f-1f1m,flog at 18m,nipple mousetrap at 34m,spike wheel on pussy at 35m</t>
  </si>
  <si>
    <t>Bdsm Session With Janice GriffithFLOOD: Submissive Women Bound in Metal and Made to Squirt</t>
  </si>
  <si>
    <t>Dominating Nerd Boy</t>
  </si>
  <si>
    <t>https://bdsmstreak.com/video/69888/dominating-nerd-boy</t>
  </si>
  <si>
    <t xml:space="preserve">Dominating Nerd Boy </t>
  </si>
  <si>
    <t>The Reward</t>
  </si>
  <si>
    <t>https://bdsmstreak.com/video/69656/the-reward</t>
  </si>
  <si>
    <t>1f1m-1f,balls tied to ground at 8m,ice on back at 19m,spitroast at 31m,face dildo at 39m</t>
  </si>
  <si>
    <t xml:space="preserve">Piper Perri Endures Outdoor Bondage, Domination &amp; Rough Sex for Help </t>
  </si>
  <si>
    <t>Piper Perri Gets it Rough</t>
  </si>
  <si>
    <t>DungeonCorp - Helplessness</t>
  </si>
  <si>
    <t>Society SM – Sia Helplessness – Sia Lust</t>
  </si>
  <si>
    <t>https://bdsmstreak.com/video/91062/infernal-restraints-katie-kush-crush</t>
  </si>
  <si>
    <t xml:space="preserve">INFERNAL RESTRAINTS - Katie Kush - Crush </t>
  </si>
  <si>
    <t xml:space="preserve">hardtied.com - Brooke Report - Brooke Johnson </t>
  </si>
  <si>
    <t xml:space="preserve">infernalrestraints.com - CRASH - Katie Kush </t>
  </si>
  <si>
    <t>No Mercy Under Heavy Submission</t>
  </si>
  <si>
    <t>Katie Kush: Bendy Bitch in Bondage</t>
  </si>
  <si>
    <t>HARDTIED - ﻿Cherie DeVille Deception</t>
  </si>
  <si>
    <t xml:space="preserve">Deception – Cherie DeVille HardTied com </t>
  </si>
  <si>
    <t xml:space="preserve">Riley Reid Paige Owens Anal Threesome </t>
  </si>
  <si>
    <t>Take My Girlfriend For Your Birthday</t>
  </si>
  <si>
    <t>INFERNAL RESTRAINTS - Dakota Marr - Wrong House - Pretzel</t>
  </si>
  <si>
    <t xml:space="preserve">infernalrestraints.com - Wrong House: Pretzel - Dakota Marr </t>
  </si>
  <si>
    <t>https://bdsmstreak.com/video/86730/infernal-restraints-dakota-marr-wrong-house-pretzel</t>
  </si>
  <si>
    <t>Lauren Phillips and Ashley Lane used Brutally in Dungeon</t>
  </si>
  <si>
    <t xml:space="preserve">infernalrestraints.com - Paired - Lauren Phillips | Ashley Lane </t>
  </si>
  <si>
    <t>Hazel Hypnotic - Part 4</t>
  </si>
  <si>
    <t>Hybristophilia – Surrealism Episode 4 (Hazel Hypnotic)</t>
  </si>
  <si>
    <t>insex infernal restraints</t>
  </si>
  <si>
    <t>insex hardtied</t>
  </si>
  <si>
    <t>Rope Walk</t>
  </si>
  <si>
    <t xml:space="preserve">20010110 - Tyler Scot - Insex </t>
  </si>
  <si>
    <t xml:space="preserve">hardtied.com - Glass Injection - Wenona </t>
  </si>
  <si>
    <t>HARDTIED -﻿ ﻿Wenona Glass Injection</t>
  </si>
  <si>
    <t>INSEX - Burning Bush (313)</t>
  </si>
  <si>
    <t>llela 313</t>
  </si>
  <si>
    <t>insex sexually broken</t>
  </si>
  <si>
    <t xml:space="preserve">Riding On An Unsafe Thrill - Liv Revamped </t>
  </si>
  <si>
    <t>Steel and Leather</t>
  </si>
  <si>
    <t>Kinky femdom porn clip</t>
  </si>
  <si>
    <t>bondage techniques for a male sub part 2 hislut</t>
  </si>
  <si>
    <t>adria rae,anna bell</t>
  </si>
  <si>
    <t>1f-1f,ball gag,cane,flog,spank,spike wheel,nipple suction,panty gag,cunnilingus,electric</t>
  </si>
  <si>
    <t>Tough Anna Bell Peaks and Adria Rae - kink video - The Lesbian Experience</t>
  </si>
  <si>
    <t>https://ok.porn/video/122346/</t>
  </si>
  <si>
    <t>ZIPPED</t>
  </si>
  <si>
    <t xml:space="preserve">Chastity, gloves and condoms. How many until he doesn't feel anything? </t>
  </si>
  <si>
    <t>Whipping 6728465</t>
  </si>
  <si>
    <t xml:space="preserve">BDSM T0RTURE CHAlR </t>
  </si>
  <si>
    <t>BDSM Hardcore Anal Fuck Skinny Big Tits Teen Loud Orgasm While Ass Fucked Rough - WHORNYFILMS.COM</t>
  </si>
  <si>
    <t>evilyn jezebel</t>
  </si>
  <si>
    <t>Doll House Evilyn Jezebel</t>
  </si>
  <si>
    <t>https://www.xvideos2.com/video.uutkhhke7a9/bdsm_hardcore_anal_fuck_skinny_big_tits_teen_loud_orgasm_while_ass_fucked_rough_-_whornyfilms.com</t>
  </si>
  <si>
    <t>Slave AnaKatana gets throat trained on the ThroatMaster 2! Predicament latex bondage! HARDCORE BDSM</t>
  </si>
  <si>
    <t>TKI-039 MASOTRONIX 08</t>
  </si>
  <si>
    <t>Lesbian teens licking each others pussies</t>
  </si>
  <si>
    <t>https://bdsmstreak.com/video/66353/the-fetish-shop-storythieves-deserves-cruel-punishment-extreme-bdsm-moviethe-full-movie</t>
  </si>
  <si>
    <t>The Fetish Shop Story.thieves Deserves Cruel Punishment. Extreme Bdsm Movie.the Full Movie.</t>
  </si>
  <si>
    <t>Double zippers and a double Sybians These girls are made to cum until they forget their names</t>
  </si>
  <si>
    <t>https://bdsmstreak.com/video/69045/double-zippers-and-a-double-sybians-these-girls-are-made-to-cum-until-they-forget-their-names</t>
  </si>
  <si>
    <t>Latex Goddess Julia Ann Dominates Dripping Cock Whore</t>
  </si>
  <si>
    <t>HOGTIED - Beretta James - Challenged with Wanton Cruelty</t>
  </si>
  <si>
    <t>Beretta - Challenged with Wanton Cruelty</t>
  </si>
  <si>
    <t>19 year old's Fierce Introduced to the Bitches!</t>
  </si>
  <si>
    <t>First Timer in Extreme Bondage with Brutal Tormented, and Made to Cum</t>
  </si>
  <si>
    <t xml:space="preserve">First Timer in Extreme Bondage with savage Tormented, and Made to Cum </t>
  </si>
  <si>
    <t>Jade Indica gets Spanked and Shocked in hot Lesbian BDSM Scene</t>
  </si>
  <si>
    <t>https://bdsmstreak.com/video/74140/jade-indica-gets-spanked-and-shocked-in-hot-lesbian-bdsm-scene</t>
  </si>
  <si>
    <t xml:space="preserve">Jade Indica gets Spanked and Shocked in hot Lesbian BDSM Scene </t>
  </si>
  <si>
    <t>Wenona, Jessie Cox, and Isis Love Part 1 of 4 of the March Live Show.</t>
  </si>
  <si>
    <t xml:space="preserve">Wenona, Jessie Cox, and Isis Love Part 1 of 4 of the March Live Show. </t>
  </si>
  <si>
    <t>2f-2m,live,pussy eat,nipple clamps,nipple suction,ball gag,flog,nipple string</t>
  </si>
  <si>
    <t>Oops, she did it again: Prostate Milking</t>
  </si>
  <si>
    <t>Filling The Void</t>
  </si>
  <si>
    <t>https://bdsmstreak.com/video/71098/filling-the-void</t>
  </si>
  <si>
    <t xml:space="preserve">Filling The Void </t>
  </si>
  <si>
    <t>Lesbian mistress bondage</t>
  </si>
  <si>
    <t>Scorned No More</t>
  </si>
  <si>
    <t>https://www.tnaflix.com/amateur-porn/Maintain-your-balance%21/video24986231</t>
  </si>
  <si>
    <t>Maintain your balance! (Octavia Red)</t>
  </si>
  <si>
    <t>Arabelle's Trashcan: Arabelle Raphael Destroys Marcelo</t>
  </si>
  <si>
    <t>https://bdsmstreak.com/video/89632/arabelles-trashcan-arabelle-raphael-destroys-marcelo</t>
  </si>
  <si>
    <t>HOGTIED - Abella Danger - Masochistic Pain Slut</t>
  </si>
  <si>
    <t>Masochistic Pain Slut in Bondage, Tormented, and Used for Her Holes</t>
  </si>
  <si>
    <t>Sensi Pearl on WiredPussy</t>
  </si>
  <si>
    <t>Sexy Sensi learns to love electro</t>
  </si>
  <si>
    <t>1f-1f, pussy shock,flog,nipple clamps,electric,blindfold,strapon,spreader bar</t>
  </si>
  <si>
    <t>Bondage Slut</t>
  </si>
  <si>
    <t>Hogtied - Katrina Colt</t>
  </si>
  <si>
    <t>Return of the Pain Slut: Katrina Colt</t>
  </si>
  <si>
    <t>https://bdsmstreak.com/video/95413/return-of-the-pain-slut-katrina-colt</t>
  </si>
  <si>
    <t>stand,suspended,lay down,ass up face down</t>
  </si>
  <si>
    <t>prepare and bind by rope at 7m (super hot),flog at 9m,pussy flog at 27m,ass up at 38m</t>
  </si>
  <si>
    <t>outdoor,ball gag,armpits,vibrator,fingering,flog,pussy flog,spank</t>
  </si>
  <si>
    <t>Psycho Bitch</t>
  </si>
  <si>
    <t>Kink - Psycho Bitch</t>
  </si>
  <si>
    <t>DEVICE BONDAGE Cherry Torn</t>
  </si>
  <si>
    <t>Unforgiving Metal</t>
  </si>
  <si>
    <t>Gorgeous Gusher</t>
  </si>
  <si>
    <t>https://pornone.com/au/domination/dungeon-sex-penny-barber-gorgeous-gusher/280045959/</t>
  </si>
  <si>
    <t>dungeon sex penny barber gorgeous gusher</t>
  </si>
  <si>
    <t>tit bite,flog ,blowjob,oiled,nipple clamps,piv,foot in pussy</t>
  </si>
  <si>
    <t>strip at 6m,tit flog at 6m,oiled at 15m,foot in pussy at 35m</t>
  </si>
  <si>
    <t xml:space="preserve">The Sadist's Apprentice </t>
  </si>
  <si>
    <t>The Sadist's Apprentice</t>
  </si>
  <si>
    <t>Jessie Cox, Ami Emerson, and Isis Love Part 1 of 4 of the September Live Feed</t>
  </si>
  <si>
    <t xml:space="preserve">Jessie Cox, Ami Emerson, and Isis Love Part 1 of 4 of the September Live Feed </t>
  </si>
  <si>
    <t>Sasha Sparks and Lacie Hart</t>
  </si>
  <si>
    <t>Riley Reid And Melissa Moore Hot StepSisters</t>
  </si>
  <si>
    <t>Twinning 2: Part Two by Girlsway</t>
  </si>
  <si>
    <t>I'm Gonna Fuck You Up</t>
  </si>
  <si>
    <t>https://www.femdomvc.com/video/139784/riley-reid-and-ryan-reid-im-gonna-fuck-you-up-hotandmean/</t>
  </si>
  <si>
    <t>Riley Reid And Ryan Reid - Im Gonna Fuck You Up - HotAndMean</t>
  </si>
  <si>
    <t>https://abxxx.com/video/485066/lie-face-down/?campaign_id=520379779&amp;subid1=79779</t>
  </si>
  <si>
    <t>Lie Face Down</t>
  </si>
  <si>
    <t>sexy oiled rocks on body,girl wearing a white crop top, blonde short hair and black long single braid hair</t>
  </si>
  <si>
    <t>FOOT FISTING - ABBY</t>
  </si>
  <si>
    <t>Shameless dykes LESDOM breathtaking xxx scene</t>
  </si>
  <si>
    <t>abby,jessica</t>
  </si>
  <si>
    <t>Chastity tease with Melody Pleasure and Cheffie Shot</t>
  </si>
  <si>
    <t>https://www.whoreshub.com/videos/365457/mollyredwolf-valorant-viper-fuck-her-teammate-femdom/</t>
  </si>
  <si>
    <t>mollyredwolf</t>
  </si>
  <si>
    <t>Mollyredwolf - Valorant Viper Fuck Her Teammate Femdom</t>
  </si>
  <si>
    <t>1f-1f,fist,oiled,foot in ass,vibrator</t>
  </si>
  <si>
    <t>https://www.xporn.tv/videos/311560/whole-foot-into-her-ass-siswet/</t>
  </si>
  <si>
    <t>Whole Foot Into Her Ass - Siswet</t>
  </si>
  <si>
    <t>Princess of Kink</t>
  </si>
  <si>
    <t>https://bdsmstreak.com/video/88158/sex-and-submission-princess-of-kink</t>
  </si>
  <si>
    <t>SEX AND SUBMISSION - Princess of Kink</t>
  </si>
  <si>
    <t>Japanese Mistress Whipping Training Male Slave and Female Slave at the Same Time</t>
  </si>
  <si>
    <t>Butt Sluts: Casey Calvert and Katja Kassin</t>
  </si>
  <si>
    <t xml:space="preserve">Welcome Mz Berlin to Divine Bitches! </t>
  </si>
  <si>
    <t>A Ruthless Work Environment</t>
  </si>
  <si>
    <t>MILF with a tiny body and HUGE tits Gangbanged by Co-Workers</t>
  </si>
  <si>
    <t>SEX AND SUBMISSION - Feeding the Gimp</t>
  </si>
  <si>
    <t>Feeding the Gimp</t>
  </si>
  <si>
    <t>Cheerleader and dominant brunette</t>
  </si>
  <si>
    <t xml:space="preserve">Halloween Party! </t>
  </si>
  <si>
    <t>DEVICE BONDAGE Claire Adams Tricia Oaks</t>
  </si>
  <si>
    <t>asphyxiation- we oblige.</t>
  </si>
  <si>
    <t>HOGTIED - Yhivi</t>
  </si>
  <si>
    <t>Sweet Yhivi is Decimated in merciless Bondage, Torment, and Screaming Orgasms!</t>
  </si>
  <si>
    <t>baylee lee</t>
  </si>
  <si>
    <t>orgasms. Then vibrated to multiple, back and forth, no mercy!</t>
  </si>
  <si>
    <t>Hot Asian is finger banged to multiple orgasms. Then vibrated to multiple, back and forth, no mercy!</t>
  </si>
  <si>
    <t>https://hcbdsm.com/video/90672/hot-asian-is-finger-banged-to-multiple-orgasms-then-vibrated-to-multiple-back-and-forth-no-mercy2/</t>
  </si>
  <si>
    <t xml:space="preserve">The Training of David Chase: Episode 1 "one week in chastity" </t>
  </si>
  <si>
    <t>The Training of David Chase: Episode 1 "one week in chastity"</t>
  </si>
  <si>
    <t>hazel hypnotic 4 (1080p)</t>
  </si>
  <si>
    <t>Bound and Breathless</t>
  </si>
  <si>
    <t>https://bdsmstreak.com/video/95490/bound-and-breathless</t>
  </si>
  <si>
    <t>New male sub falls deep into sub space like never seen before on Divine Bitches.</t>
  </si>
  <si>
    <t xml:space="preserve"> New male sub falls deep into sub space like never seen before on Divine Bitches. </t>
  </si>
  <si>
    <t>Whore bdsm</t>
  </si>
  <si>
    <t>European Import</t>
  </si>
  <si>
    <t>https://hcbdsm.com/video/82596/european-import/</t>
  </si>
  <si>
    <t>Tara Lynn Fox, Mellanie Monroe, and Isis Love Part 3 of 4 of the December Live Show</t>
  </si>
  <si>
    <t>Insex - 20040508 - Burning Bush (313)</t>
  </si>
  <si>
    <t>April Olsen: Helplessly Bound</t>
  </si>
  <si>
    <t>HOGTIED - Kendra James</t>
  </si>
  <si>
    <t>Kendra James Sophistication</t>
  </si>
  <si>
    <t xml:space="preserve">infernalrestraints.com - The Fly (BONUS) - Sister Dee </t>
  </si>
  <si>
    <t>INFERNAL RESTRAINTS - Sister Dee - The Fly</t>
  </si>
  <si>
    <t>Kink - Your Boss is Your Bitch Now</t>
  </si>
  <si>
    <t>Your Boss is Your Bitch Now</t>
  </si>
  <si>
    <t>oiled up at 8m,wax at 20m,chained legs at 24m,not enough bondage or stuff to jerk off to,strapon</t>
  </si>
  <si>
    <t>1f-1f,massage,oiled,vibrator,blindfold,strapon,chain,pussy eat,butt plug,nipple clamps</t>
  </si>
  <si>
    <t>Alex and Jay – Bondage with Bonnie</t>
  </si>
  <si>
    <t>Fresh Talent</t>
  </si>
  <si>
    <t>Anal Campus Sluts</t>
  </si>
  <si>
    <t>Fist Punching Sarah</t>
  </si>
  <si>
    <t>1f-1f,oiled,massage,stone massage,fingering</t>
  </si>
  <si>
    <t>Riley Reid and Carter Cruise Eating Ass of Eachother and Friends</t>
  </si>
  <si>
    <t>WhenGirlsPlay – Riley Reid And Jill Kassidy – Lesbian Bed Death</t>
  </si>
  <si>
    <t>TWISTYS - When Girls Play - Riley Reid Jill Kassidy - Lesbian Bed Death</t>
  </si>
  <si>
    <t>https://www.tnaflix.com/lesbian-porn/TWISTYS-When-Girls-Play-Riley-Reid-Jill-Kassidy-Lesbian-Bed-Death/video3824953</t>
  </si>
  <si>
    <t>First We Play - S10:E17</t>
  </si>
  <si>
    <t>https://www.porntrex.com/video/1930390/maddy-oreilly-first-we-play</t>
  </si>
  <si>
    <t>Maddy Oreilly First We Play</t>
  </si>
  <si>
    <t>blindfolded guy</t>
  </si>
  <si>
    <t>blowjob,piv,strip,blindfold</t>
  </si>
  <si>
    <t>Melody Marks in her very first professional porn video! excited &amp; nervous!</t>
  </si>
  <si>
    <t>https://www.porntry.com/videos/22564932/d6a61431b1f56521b376baf702bbfded/</t>
  </si>
  <si>
    <t>Kink - Scandalous Anal College Admission For Bratty Step-Daughter</t>
  </si>
  <si>
    <t xml:space="preserve"> Physically Exercise This Dick</t>
  </si>
  <si>
    <t xml:space="preserve">Presley dawson physically exercise this dick </t>
  </si>
  <si>
    <t>https://ukdevilz.com/watch/-155978534_456239968</t>
  </si>
  <si>
    <t>https://www.pornhub.org/view_video.php?viewkey=ph6064cff14a9ce</t>
  </si>
  <si>
    <t>BANGBROS - Petite  Piper Perri Ragdolled By Jmac</t>
  </si>
  <si>
    <t>Melody Marks To Watch A Predator</t>
  </si>
  <si>
    <t>To Watch a Predator</t>
  </si>
  <si>
    <t>HOW DOES IT FIT! TEEN PIPER PERRI SQUIRTS &amp; GETS CREAMPIED BY A MONSTER BBC</t>
  </si>
  <si>
    <t xml:space="preserve">Hot Petite BlondeBabysitter Piper Perri Gets Caught Masturbating </t>
  </si>
  <si>
    <t>https://www.eporner.com/video-LxACPfku8NS/emily-willis/</t>
  </si>
  <si>
    <t>evil angel</t>
  </si>
  <si>
    <t>Latina Emily Willis: Oil-Drenched Anal</t>
  </si>
  <si>
    <t xml:space="preserve">Emily Willis </t>
  </si>
  <si>
    <t>CHANGE TAGS</t>
  </si>
  <si>
    <t>Fucking Wet beer Festival with Selvaggia Balls Petite Body Deep Anal DAP Gapes Pee Drink Swallow GIO953</t>
  </si>
  <si>
    <t>Petite Piper Perri Get  Face Fucked by BBCs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</si>
</sst>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color theme="0"/>
      <name val="Calibri Light"/>
      <family val="2"/>
      <scheme val="major"/>
    </font>
    <font>
      <b/>
      <sz val="11"/>
      <color theme="1"/>
      <name val="Calibri"/>
      <family val="2"/>
      <scheme val="minor"/>
    </font>
  </fonts>
  <fills count="13">
    <fill>
      <patternFill patternType="none"/>
    </fill>
    <fill>
      <patternFill patternType="gray125"/>
    </fill>
    <fill>
      <patternFill patternType="solid">
        <fgColor theme="5" tint="-0.249977111117893"/>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C00000"/>
        <bgColor indexed="64"/>
      </patternFill>
    </fill>
    <fill>
      <patternFill patternType="solid">
        <fgColor rgb="FF7030A0"/>
        <bgColor indexed="64"/>
      </patternFill>
    </fill>
    <fill>
      <patternFill patternType="solid">
        <fgColor theme="5" tint="0.59999389629810485"/>
        <bgColor indexed="64"/>
      </patternFill>
    </fill>
    <fill>
      <patternFill patternType="solid">
        <fgColor rgb="FFE096F4"/>
        <bgColor indexed="64"/>
      </patternFill>
    </fill>
    <fill>
      <patternFill patternType="solid">
        <fgColor theme="1"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31">
    <xf numFmtId="0" fontId="0" fillId="0" borderId="0" xfId="0"/>
    <xf numFmtId="0" fontId="0" fillId="6" borderId="1" xfId="0" applyFill="1" applyBorder="1"/>
    <xf numFmtId="0" fontId="0" fillId="0" borderId="1" xfId="0" applyBorder="1"/>
    <xf numFmtId="0" fontId="0" fillId="3" borderId="3" xfId="0" applyFill="1" applyBorder="1"/>
    <xf numFmtId="0" fontId="0" fillId="4" borderId="3" xfId="0" applyFill="1" applyBorder="1"/>
    <xf numFmtId="0" fontId="0" fillId="5" borderId="3" xfId="0" applyFill="1" applyBorder="1"/>
    <xf numFmtId="0" fontId="0" fillId="6" borderId="3" xfId="0" applyFill="1" applyBorder="1"/>
    <xf numFmtId="0" fontId="0" fillId="7" borderId="3" xfId="0" applyFill="1" applyBorder="1"/>
    <xf numFmtId="0" fontId="0" fillId="0" borderId="5" xfId="0" applyBorder="1"/>
    <xf numFmtId="0" fontId="0" fillId="0" borderId="6" xfId="0" applyBorder="1"/>
    <xf numFmtId="0" fontId="0" fillId="8" borderId="1" xfId="0" applyFill="1" applyBorder="1"/>
    <xf numFmtId="0" fontId="0" fillId="9" borderId="1" xfId="0" applyFill="1" applyBorder="1"/>
    <xf numFmtId="0" fontId="0" fillId="2" borderId="1" xfId="0" applyFill="1" applyBorder="1"/>
    <xf numFmtId="0" fontId="0" fillId="8" borderId="6" xfId="0" applyFill="1" applyBorder="1"/>
    <xf numFmtId="0" fontId="0" fillId="2" borderId="6" xfId="0" applyFill="1" applyBorder="1"/>
    <xf numFmtId="0" fontId="0" fillId="5" borderId="7" xfId="0" applyFill="1" applyBorder="1"/>
    <xf numFmtId="0" fontId="0" fillId="10" borderId="1" xfId="0" applyFill="1" applyBorder="1"/>
    <xf numFmtId="0" fontId="0" fillId="11" borderId="1" xfId="0" applyFill="1" applyBorder="1"/>
    <xf numFmtId="0" fontId="0" fillId="9" borderId="4" xfId="0" applyFill="1" applyBorder="1"/>
    <xf numFmtId="0" fontId="0" fillId="2" borderId="4" xfId="0" applyFill="1" applyBorder="1"/>
    <xf numFmtId="0" fontId="0" fillId="2" borderId="8" xfId="0" applyFill="1" applyBorder="1"/>
    <xf numFmtId="0" fontId="0" fillId="10" borderId="4" xfId="0" applyFill="1" applyBorder="1"/>
    <xf numFmtId="0" fontId="0" fillId="11" borderId="4" xfId="0" applyFill="1" applyBorder="1"/>
    <xf numFmtId="0" fontId="0" fillId="0" borderId="0" xfId="0" applyAlignment="1">
      <alignment horizontal="left" vertical="top"/>
    </xf>
    <xf numFmtId="0" fontId="0" fillId="0" borderId="0" xfId="0" applyAlignment="1">
      <alignment horizontal="left" vertical="top" wrapText="1"/>
    </xf>
    <xf numFmtId="0" fontId="0" fillId="7" borderId="1" xfId="0" applyFill="1" applyBorder="1"/>
    <xf numFmtId="0" fontId="3" fillId="8" borderId="0" xfId="0" applyFont="1" applyFill="1" applyAlignment="1">
      <alignment horizontal="center" vertical="center" wrapText="1"/>
    </xf>
    <xf numFmtId="0" fontId="0" fillId="8" borderId="0" xfId="0" applyFill="1" applyAlignment="1">
      <alignment horizontal="center" vertical="center" wrapText="1"/>
    </xf>
    <xf numFmtId="0" fontId="3" fillId="0" borderId="0" xfId="0" applyFont="1" applyAlignment="1">
      <alignment vertical="center"/>
    </xf>
    <xf numFmtId="0" fontId="2" fillId="12" borderId="2" xfId="0" applyFont="1" applyFill="1" applyBorder="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3">
    <dxf>
      <font>
        <color rgb="FF9C0006"/>
      </font>
      <fill>
        <patternFill>
          <bgColor rgb="FFFFC7CE"/>
        </patternFill>
      </fill>
    </dxf>
    <dxf>
      <font>
        <color rgb="FF9C0006"/>
      </font>
      <fill>
        <patternFill>
          <bgColor rgb="FFFFC7CE"/>
        </patternFill>
      </fill>
    </dxf>
    <dxf>
      <fill>
        <patternFill>
          <bgColor theme="1" tint="0.14996795556505021"/>
        </patternFill>
      </fill>
    </dxf>
  </dxfs>
  <tableStyles count="0" defaultTableStyle="TableStyleMedium2" defaultPivotStyle="PivotStyleLight16"/>
  <colors>
    <mruColors>
      <color rgb="FFE096F4"/>
      <color rgb="FFFF6161"/>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hcbdsm.com/video/63086/vendetta-and-claire-adams/" TargetMode="External"/><Relationship Id="rId7" Type="http://schemas.openxmlformats.org/officeDocument/2006/relationships/printerSettings" Target="../printerSettings/printerSettings1.bin"/><Relationship Id="rId2" Type="http://schemas.openxmlformats.org/officeDocument/2006/relationships/hyperlink" Target="https://hcbdsm.com/video/83137/19-year-old-s-fierce-introduced-to-the-bitches/" TargetMode="External"/><Relationship Id="rId1" Type="http://schemas.openxmlformats.org/officeDocument/2006/relationships/hyperlink" Target="https://heavyfetish.com/videos/10066/device-bondage-isis-love-missy-minks-audrey-rose/" TargetMode="External"/><Relationship Id="rId6" Type="http://schemas.openxmlformats.org/officeDocument/2006/relationships/hyperlink" Target="https://www.tnaflix.com/lesbian-porn/TWISTYS-When-Girls-Play-Riley-Reid-Jill-Kassidy-Lesbian-Bed-Death/video3824953" TargetMode="External"/><Relationship Id="rId5" Type="http://schemas.openxmlformats.org/officeDocument/2006/relationships/hyperlink" Target="https://bdsmstreak.com/video/89632/arabelles-trashcan-arabelle-raphael-destroys-marcelo" TargetMode="External"/><Relationship Id="rId4" Type="http://schemas.openxmlformats.org/officeDocument/2006/relationships/hyperlink" Target="https://bdsmstreak.com/video/94773/encore-of-amber-raynes-april-6th-live-sho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93B7-B882-48B2-AAF6-D1E0B3702CB8}">
  <dimension ref="A1:U467"/>
  <sheetViews>
    <sheetView tabSelected="1" topLeftCell="G1" zoomScale="70" zoomScaleNormal="70" workbookViewId="0">
      <pane ySplit="1" topLeftCell="A2" activePane="bottomLeft" state="frozen"/>
      <selection pane="bottomLeft" activeCell="O4" sqref="O4"/>
    </sheetView>
  </sheetViews>
  <sheetFormatPr defaultRowHeight="15" x14ac:dyDescent="0.25"/>
  <cols>
    <col min="1" max="1" width="12.85546875" style="30" customWidth="1"/>
    <col min="2" max="2" width="60.5703125" style="30" customWidth="1"/>
    <col min="3" max="3" width="14.7109375" style="30" customWidth="1"/>
    <col min="4" max="4" width="29.5703125" style="30" customWidth="1"/>
    <col min="5" max="5" width="24.140625" style="30" customWidth="1"/>
    <col min="6" max="6" width="21.5703125" style="30" customWidth="1"/>
    <col min="7" max="7" width="57.28515625" style="30" customWidth="1"/>
    <col min="8" max="8" width="51" style="30" customWidth="1"/>
    <col min="9" max="10" width="21.5703125" style="30" customWidth="1"/>
    <col min="11" max="11" width="45.28515625" style="30" customWidth="1"/>
    <col min="12" max="12" width="33.5703125" style="30" customWidth="1"/>
    <col min="13" max="13" width="21.5703125" style="30" customWidth="1"/>
    <col min="14" max="14" width="10.5703125" style="30" customWidth="1"/>
    <col min="15" max="15" width="67.85546875" style="30" customWidth="1"/>
    <col min="16" max="16" width="24.28515625" style="30" bestFit="1" customWidth="1"/>
    <col min="17" max="17" width="17" style="30" customWidth="1"/>
    <col min="18" max="18" width="18" style="30" bestFit="1" customWidth="1"/>
    <col min="19" max="19" width="18" style="30" customWidth="1"/>
    <col min="20" max="20" width="32.7109375" style="30" customWidth="1"/>
    <col min="21" max="21" width="14.5703125" style="30" customWidth="1"/>
    <col min="22" max="16384" width="9.140625" style="30"/>
  </cols>
  <sheetData>
    <row r="1" spans="1:21" x14ac:dyDescent="0.25">
      <c r="A1" s="29" t="s">
        <v>243</v>
      </c>
      <c r="B1" s="29" t="s">
        <v>58</v>
      </c>
      <c r="C1" s="29" t="s">
        <v>60</v>
      </c>
      <c r="D1" s="29" t="s">
        <v>61</v>
      </c>
      <c r="E1" s="29" t="s">
        <v>326</v>
      </c>
      <c r="F1" s="29" t="s">
        <v>63</v>
      </c>
      <c r="G1" s="29" t="s">
        <v>768</v>
      </c>
      <c r="H1" s="29" t="s">
        <v>769</v>
      </c>
      <c r="I1" s="29" t="s">
        <v>1460</v>
      </c>
      <c r="J1" s="29" t="s">
        <v>1550</v>
      </c>
      <c r="K1" s="29" t="s">
        <v>327</v>
      </c>
      <c r="L1" s="29" t="s">
        <v>328</v>
      </c>
      <c r="M1" s="29" t="s">
        <v>62</v>
      </c>
      <c r="N1" s="29" t="s">
        <v>67</v>
      </c>
      <c r="O1" s="29" t="s">
        <v>66</v>
      </c>
      <c r="P1" s="29" t="s">
        <v>59</v>
      </c>
      <c r="Q1" s="29" t="s">
        <v>767</v>
      </c>
      <c r="R1" s="29" t="s">
        <v>766</v>
      </c>
      <c r="S1" s="29" t="s">
        <v>765</v>
      </c>
      <c r="T1" s="29" t="s">
        <v>782</v>
      </c>
      <c r="U1" s="29" t="s">
        <v>1706</v>
      </c>
    </row>
    <row r="2" spans="1:21" ht="90" x14ac:dyDescent="0.25">
      <c r="A2" s="29" t="str">
        <f>IF(ISBLANK(M2)=TRUE,"Pending","Done")</f>
        <v>Done</v>
      </c>
      <c r="B2" s="29" t="s">
        <v>783</v>
      </c>
      <c r="C2" s="29">
        <v>61</v>
      </c>
      <c r="D2" s="29" t="s">
        <v>868</v>
      </c>
      <c r="E2" s="29" t="s">
        <v>781</v>
      </c>
      <c r="F2" s="29" t="s">
        <v>71</v>
      </c>
      <c r="G2" s="29" t="s">
        <v>780</v>
      </c>
      <c r="H2" s="29" t="s">
        <v>784</v>
      </c>
      <c r="I2" s="29" t="s">
        <v>1769</v>
      </c>
      <c r="J2" s="29" t="s">
        <v>1769</v>
      </c>
      <c r="K2" s="29" t="s">
        <v>1726</v>
      </c>
      <c r="L2" s="29" t="s">
        <v>693</v>
      </c>
      <c r="M2" s="29" t="s">
        <v>65</v>
      </c>
      <c r="N2" s="29">
        <v>10</v>
      </c>
      <c r="O2" s="29" t="s">
        <v>692</v>
      </c>
      <c r="P2" s="29" t="str" cm="1">
        <f t="array" ref="P2">_xlfn.REGEXEXTRACT(B2,"(?&lt;=//)[^/]+")</f>
        <v>bdsmlust.com</v>
      </c>
      <c r="Q2" s="29" t="s">
        <v>694</v>
      </c>
      <c r="R2" s="29" t="s">
        <v>785</v>
      </c>
      <c r="S2" s="29" t="str" cm="1">
        <f t="array" ref="S2">IF(R2&lt;&gt;"NotApplicable",_xlfn.REGEXEXTRACT(R2,"\d+(?=p)"),"NotApplicable")</f>
        <v>720</v>
      </c>
      <c r="T2" s="29" t="s">
        <v>1498</v>
      </c>
      <c r="U2" s="29" t="b">
        <f>ISNUMBER(SEARCH(",",E2))</f>
        <v>1</v>
      </c>
    </row>
    <row r="3" spans="1:21" ht="30" x14ac:dyDescent="0.25">
      <c r="A3" s="29" t="str">
        <f>IF(ISBLANK(M3)=TRUE,"Pending","Done")</f>
        <v>Done</v>
      </c>
      <c r="B3" s="29" t="s">
        <v>842</v>
      </c>
      <c r="C3" s="29">
        <v>72</v>
      </c>
      <c r="D3" s="29" t="s">
        <v>868</v>
      </c>
      <c r="E3" s="29" t="s">
        <v>745</v>
      </c>
      <c r="F3" s="29" t="s">
        <v>71</v>
      </c>
      <c r="G3" s="29" t="s">
        <v>844</v>
      </c>
      <c r="H3" s="29" t="s">
        <v>843</v>
      </c>
      <c r="I3" s="29" t="s">
        <v>1769</v>
      </c>
      <c r="J3" s="29" t="s">
        <v>1769</v>
      </c>
      <c r="K3" s="29" t="s">
        <v>1719</v>
      </c>
      <c r="L3" s="29" t="s">
        <v>846</v>
      </c>
      <c r="M3" s="29" t="s">
        <v>65</v>
      </c>
      <c r="N3" s="29">
        <v>10</v>
      </c>
      <c r="O3" s="29" t="s">
        <v>847</v>
      </c>
      <c r="P3" s="29" t="str" cm="1">
        <f t="array" ref="P3">_xlfn.REGEXEXTRACT(B3,"(?&lt;=//)[^/]+")</f>
        <v>heavyfetish.com</v>
      </c>
      <c r="Q3" s="29" t="s">
        <v>694</v>
      </c>
      <c r="R3" s="29" t="s">
        <v>845</v>
      </c>
      <c r="S3" s="29" t="str" cm="1">
        <f t="array" ref="S3">IF(R3&lt;&gt;"NotApplicable",_xlfn.REGEXEXTRACT(R3,"\d+(?=p)"),"NotApplicable")</f>
        <v>720</v>
      </c>
      <c r="T3" s="29" t="s">
        <v>1497</v>
      </c>
      <c r="U3" s="29" t="b">
        <f>ISNUMBER(SEARCH(",",E3))</f>
        <v>1</v>
      </c>
    </row>
    <row r="4" spans="1:21" ht="60" x14ac:dyDescent="0.25">
      <c r="A4" s="29" t="str">
        <f>IF(ISBLANK(M4)=TRUE,"Pending","Done")</f>
        <v>Done</v>
      </c>
      <c r="B4" s="29" t="s">
        <v>1493</v>
      </c>
      <c r="C4" s="29">
        <v>48</v>
      </c>
      <c r="D4" s="29" t="s">
        <v>864</v>
      </c>
      <c r="E4" s="29" t="s">
        <v>747</v>
      </c>
      <c r="F4" s="29" t="s">
        <v>70</v>
      </c>
      <c r="G4" s="29" t="s">
        <v>1505</v>
      </c>
      <c r="H4" s="29" t="s">
        <v>1506</v>
      </c>
      <c r="I4" s="29" t="s">
        <v>1769</v>
      </c>
      <c r="J4" s="29" t="s">
        <v>1769</v>
      </c>
      <c r="K4" s="29" t="s">
        <v>1508</v>
      </c>
      <c r="L4" s="29" t="s">
        <v>1507</v>
      </c>
      <c r="M4" s="29" t="s">
        <v>65</v>
      </c>
      <c r="N4" s="29">
        <v>10</v>
      </c>
      <c r="O4" s="29" t="s">
        <v>1509</v>
      </c>
      <c r="P4" s="29" t="str" cm="1">
        <f t="array" ref="P4">_xlfn.REGEXEXTRACT(B4,"(?&lt;=//)[^/]+")</f>
        <v>bdsmstreak.com</v>
      </c>
      <c r="Q4" s="29" t="s">
        <v>694</v>
      </c>
      <c r="R4" s="29" t="s">
        <v>1504</v>
      </c>
      <c r="S4" s="29" t="str" cm="1">
        <f t="array" ref="S4">IF(R4&lt;&gt;"NotApplicable",_xlfn.REGEXEXTRACT(R4,"\d+(?=p)"),"NotApplicable")</f>
        <v>720</v>
      </c>
      <c r="T4" s="29" t="s">
        <v>1769</v>
      </c>
      <c r="U4" s="29" t="b">
        <f>ISNUMBER(SEARCH(",",E4))</f>
        <v>0</v>
      </c>
    </row>
    <row r="5" spans="1:21" ht="45" x14ac:dyDescent="0.25">
      <c r="A5" s="29" t="str">
        <f>IF(ISBLANK(M5)=TRUE,"Pending","Done")</f>
        <v>Done</v>
      </c>
      <c r="B5" s="29" t="s">
        <v>772</v>
      </c>
      <c r="C5" s="29">
        <v>58</v>
      </c>
      <c r="D5" s="29" t="s">
        <v>864</v>
      </c>
      <c r="E5" s="29" t="s">
        <v>774</v>
      </c>
      <c r="F5" s="29" t="s">
        <v>70</v>
      </c>
      <c r="G5" s="29" t="s">
        <v>776</v>
      </c>
      <c r="H5" s="29" t="s">
        <v>775</v>
      </c>
      <c r="I5" s="29" t="s">
        <v>1769</v>
      </c>
      <c r="J5" s="29" t="s">
        <v>1769</v>
      </c>
      <c r="K5" s="29" t="s">
        <v>840</v>
      </c>
      <c r="L5" s="29" t="s">
        <v>839</v>
      </c>
      <c r="M5" s="29" t="s">
        <v>65</v>
      </c>
      <c r="N5" s="29">
        <v>10</v>
      </c>
      <c r="O5" s="29" t="s">
        <v>841</v>
      </c>
      <c r="P5" s="29" t="str" cm="1">
        <f t="array" ref="P5">_xlfn.REGEXEXTRACT(B5,"(?&lt;=//)[^/]+")</f>
        <v>bdsmlust.com</v>
      </c>
      <c r="Q5" s="29" t="s">
        <v>694</v>
      </c>
      <c r="R5" s="29" t="s">
        <v>773</v>
      </c>
      <c r="S5" s="29" t="str" cm="1">
        <f t="array" ref="S5">IF(R5&lt;&gt;"NotApplicable",_xlfn.REGEXEXTRACT(R5,"\d+(?=p)"),"NotApplicable")</f>
        <v>720</v>
      </c>
      <c r="T5" s="29" t="s">
        <v>1496</v>
      </c>
      <c r="U5" s="29" t="b">
        <f>ISNUMBER(SEARCH(",",E5))</f>
        <v>0</v>
      </c>
    </row>
    <row r="6" spans="1:21" ht="60" x14ac:dyDescent="0.25">
      <c r="A6" s="29" t="str">
        <f>IF(ISBLANK(M6)=TRUE,"Pending","Done")</f>
        <v>Done</v>
      </c>
      <c r="B6" s="29" t="s">
        <v>739</v>
      </c>
      <c r="C6" s="29">
        <v>44</v>
      </c>
      <c r="D6" s="29" t="s">
        <v>857</v>
      </c>
      <c r="E6" s="29" t="s">
        <v>172</v>
      </c>
      <c r="F6" s="29" t="s">
        <v>70</v>
      </c>
      <c r="G6" s="29" t="s">
        <v>779</v>
      </c>
      <c r="H6" s="29" t="s">
        <v>771</v>
      </c>
      <c r="I6" s="29" t="s">
        <v>1769</v>
      </c>
      <c r="J6" s="29" t="s">
        <v>1769</v>
      </c>
      <c r="K6" s="29" t="s">
        <v>755</v>
      </c>
      <c r="L6" s="29" t="s">
        <v>735</v>
      </c>
      <c r="M6" s="29" t="s">
        <v>65</v>
      </c>
      <c r="N6" s="29">
        <v>10</v>
      </c>
      <c r="O6" s="29" t="s">
        <v>754</v>
      </c>
      <c r="P6" s="29" t="str" cm="1">
        <f t="array" ref="P6">_xlfn.REGEXEXTRACT(B6,"(?&lt;=//)[^/]+")</f>
        <v>bdsmmansion.com</v>
      </c>
      <c r="Q6" s="29" t="s">
        <v>694</v>
      </c>
      <c r="R6" s="29" t="s">
        <v>750</v>
      </c>
      <c r="S6" s="29" t="str" cm="1">
        <f t="array" ref="S6">IF(R6&lt;&gt;"NotApplicable",_xlfn.REGEXEXTRACT(R6,"\d+(?=p)"),"NotApplicable")</f>
        <v>1080</v>
      </c>
      <c r="T6" s="29" t="s">
        <v>1497</v>
      </c>
      <c r="U6" s="29" t="b">
        <f>ISNUMBER(SEARCH(",",E6))</f>
        <v>0</v>
      </c>
    </row>
    <row r="7" spans="1:21" ht="45" x14ac:dyDescent="0.25">
      <c r="A7" s="29" t="str">
        <f>IF(ISBLANK(M7)=TRUE,"Pending","Done")</f>
        <v>Done</v>
      </c>
      <c r="B7" s="29" t="s">
        <v>851</v>
      </c>
      <c r="C7" s="29">
        <v>77</v>
      </c>
      <c r="D7" s="29" t="s">
        <v>857</v>
      </c>
      <c r="E7" s="29" t="s">
        <v>850</v>
      </c>
      <c r="F7" s="29" t="s">
        <v>70</v>
      </c>
      <c r="G7" s="29" t="s">
        <v>852</v>
      </c>
      <c r="H7" s="29" t="s">
        <v>854</v>
      </c>
      <c r="I7" s="29" t="s">
        <v>1769</v>
      </c>
      <c r="J7" s="29" t="s">
        <v>1769</v>
      </c>
      <c r="K7" s="29" t="s">
        <v>855</v>
      </c>
      <c r="L7" s="29" t="s">
        <v>79</v>
      </c>
      <c r="M7" s="29" t="s">
        <v>65</v>
      </c>
      <c r="N7" s="29">
        <v>10</v>
      </c>
      <c r="O7" s="29" t="s">
        <v>856</v>
      </c>
      <c r="P7" s="29" t="str" cm="1">
        <f t="array" ref="P7">_xlfn.REGEXEXTRACT(B7,"(?&lt;=//)[^/]+")</f>
        <v>www.tnaflix.com</v>
      </c>
      <c r="Q7" s="29" t="s">
        <v>694</v>
      </c>
      <c r="R7" s="29" t="s">
        <v>853</v>
      </c>
      <c r="S7" s="29" t="str" cm="1">
        <f t="array" ref="S7">IF(R7&lt;&gt;"NotApplicable",_xlfn.REGEXEXTRACT(R7,"\d+(?=p)"),"NotApplicable")</f>
        <v>720</v>
      </c>
      <c r="T7" s="29" t="s">
        <v>1497</v>
      </c>
      <c r="U7" s="29" t="b">
        <f>ISNUMBER(SEARCH(",",E7))</f>
        <v>0</v>
      </c>
    </row>
    <row r="8" spans="1:21" ht="45" x14ac:dyDescent="0.25">
      <c r="A8" s="29" t="str">
        <f>IF(ISBLANK(M8)=TRUE,"Pending","Done")</f>
        <v>Done</v>
      </c>
      <c r="B8" s="29" t="s">
        <v>128</v>
      </c>
      <c r="C8" s="29">
        <v>87</v>
      </c>
      <c r="D8" s="29" t="s">
        <v>859</v>
      </c>
      <c r="E8" s="29" t="s">
        <v>249</v>
      </c>
      <c r="F8" s="29" t="s">
        <v>70</v>
      </c>
      <c r="G8" s="29" t="s">
        <v>777</v>
      </c>
      <c r="H8" s="29" t="s">
        <v>770</v>
      </c>
      <c r="I8" s="29" t="s">
        <v>1769</v>
      </c>
      <c r="J8" s="29" t="s">
        <v>1769</v>
      </c>
      <c r="K8" s="29" t="s">
        <v>670</v>
      </c>
      <c r="L8" s="29" t="s">
        <v>639</v>
      </c>
      <c r="M8" s="29" t="s">
        <v>65</v>
      </c>
      <c r="N8" s="29">
        <v>10</v>
      </c>
      <c r="O8" s="29" t="s">
        <v>822</v>
      </c>
      <c r="P8" s="29" t="str" cm="1">
        <f t="array" ref="P8">_xlfn.REGEXEXTRACT(B8,"(?&lt;=//)[^/]+")</f>
        <v>heavyfetish.com</v>
      </c>
      <c r="Q8" s="29" t="s">
        <v>694</v>
      </c>
      <c r="R8" s="29" t="s">
        <v>749</v>
      </c>
      <c r="S8" s="29" t="str" cm="1">
        <f t="array" ref="S8">IF(R8&lt;&gt;"NotApplicable",_xlfn.REGEXEXTRACT(R8,"\d+(?=p)"),"NotApplicable")</f>
        <v>720</v>
      </c>
      <c r="T8" s="29" t="s">
        <v>1497</v>
      </c>
      <c r="U8" s="29" t="b">
        <f>ISNUMBER(SEARCH(",",E8))</f>
        <v>0</v>
      </c>
    </row>
    <row r="9" spans="1:21" ht="60" x14ac:dyDescent="0.25">
      <c r="A9" s="29" t="str">
        <f>IF(ISBLANK(M9)=TRUE,"Pending","Done")</f>
        <v>Done</v>
      </c>
      <c r="B9" s="29" t="s">
        <v>848</v>
      </c>
      <c r="C9" s="29">
        <v>74</v>
      </c>
      <c r="D9" s="29" t="s">
        <v>868</v>
      </c>
      <c r="E9" s="29" t="s">
        <v>1684</v>
      </c>
      <c r="F9" s="29" t="s">
        <v>71</v>
      </c>
      <c r="G9" s="29" t="s">
        <v>2240</v>
      </c>
      <c r="H9" s="29" t="s">
        <v>2239</v>
      </c>
      <c r="I9" s="29" t="s">
        <v>1769</v>
      </c>
      <c r="J9" s="29" t="s">
        <v>1769</v>
      </c>
      <c r="K9" s="29" t="s">
        <v>1736</v>
      </c>
      <c r="L9" s="29" t="s">
        <v>1520</v>
      </c>
      <c r="M9" s="29" t="s">
        <v>65</v>
      </c>
      <c r="N9" s="29">
        <v>9</v>
      </c>
      <c r="O9" s="29" t="s">
        <v>849</v>
      </c>
      <c r="P9" s="29" t="str" cm="1">
        <f t="array" ref="P9">_xlfn.REGEXEXTRACT(B9,"(?&lt;=//)[^/]+")</f>
        <v>heavyfetish.com</v>
      </c>
      <c r="Q9" s="29" t="s">
        <v>695</v>
      </c>
      <c r="R9" s="29" t="s">
        <v>1769</v>
      </c>
      <c r="S9" s="29" t="str" cm="1">
        <f t="array" ref="S9">IF(R9&lt;&gt;"NotApplicable",_xlfn.REGEXEXTRACT(R9,"\d+(?=p)"),"NotApplicable")</f>
        <v>NotApplicable</v>
      </c>
      <c r="T9" s="29" t="s">
        <v>1769</v>
      </c>
      <c r="U9" s="29" t="b">
        <f>ISNUMBER(SEARCH(",",E9))</f>
        <v>1</v>
      </c>
    </row>
    <row r="10" spans="1:21" ht="75" x14ac:dyDescent="0.25">
      <c r="A10" s="29" t="str">
        <f>IF(ISBLANK(M10)=TRUE,"Pending","Done")</f>
        <v>Done</v>
      </c>
      <c r="B10" s="29" t="s">
        <v>1513</v>
      </c>
      <c r="C10" s="29">
        <v>60</v>
      </c>
      <c r="D10" s="29" t="s">
        <v>863</v>
      </c>
      <c r="E10" s="29" t="s">
        <v>788</v>
      </c>
      <c r="F10" s="29" t="s">
        <v>71</v>
      </c>
      <c r="G10" s="29" t="s">
        <v>2242</v>
      </c>
      <c r="H10" s="29" t="s">
        <v>2241</v>
      </c>
      <c r="I10" s="29" t="s">
        <v>1769</v>
      </c>
      <c r="J10" s="29" t="s">
        <v>1769</v>
      </c>
      <c r="K10" s="29" t="s">
        <v>1718</v>
      </c>
      <c r="L10" s="29" t="s">
        <v>1514</v>
      </c>
      <c r="M10" s="29" t="s">
        <v>65</v>
      </c>
      <c r="N10" s="29">
        <v>9</v>
      </c>
      <c r="O10" s="29" t="s">
        <v>1512</v>
      </c>
      <c r="P10" s="29" t="str" cm="1">
        <f t="array" ref="P10">_xlfn.REGEXEXTRACT(B10,"(?&lt;=//)[^/]+")</f>
        <v>bdsmmansion.com</v>
      </c>
      <c r="Q10" s="29" t="s">
        <v>695</v>
      </c>
      <c r="R10" s="29" t="s">
        <v>1769</v>
      </c>
      <c r="S10" s="29" t="str" cm="1">
        <f t="array" ref="S10">IF(R10&lt;&gt;"NotApplicable",_xlfn.REGEXEXTRACT(R10,"\d+(?=p)"),"NotApplicable")</f>
        <v>NotApplicable</v>
      </c>
      <c r="T10" s="29" t="s">
        <v>1769</v>
      </c>
      <c r="U10" s="29" t="b">
        <f>ISNUMBER(SEARCH(",",E10))</f>
        <v>1</v>
      </c>
    </row>
    <row r="11" spans="1:21" ht="30" x14ac:dyDescent="0.25">
      <c r="A11" s="29" t="str">
        <f>IF(ISBLANK(M11)=TRUE,"Pending","Done")</f>
        <v>Done</v>
      </c>
      <c r="B11" s="29" t="s">
        <v>700</v>
      </c>
      <c r="C11" s="29">
        <v>0</v>
      </c>
      <c r="D11" s="29" t="s">
        <v>857</v>
      </c>
      <c r="E11" s="29" t="s">
        <v>701</v>
      </c>
      <c r="F11" s="29" t="s">
        <v>70</v>
      </c>
      <c r="G11" s="29" t="s">
        <v>1769</v>
      </c>
      <c r="H11" s="29" t="s">
        <v>1769</v>
      </c>
      <c r="I11" s="29" t="s">
        <v>1769</v>
      </c>
      <c r="J11" s="29" t="s">
        <v>1769</v>
      </c>
      <c r="K11" s="29" t="s">
        <v>704</v>
      </c>
      <c r="L11" s="29" t="s">
        <v>705</v>
      </c>
      <c r="M11" s="29" t="s">
        <v>65</v>
      </c>
      <c r="N11" s="29">
        <v>9</v>
      </c>
      <c r="O11" s="29" t="s">
        <v>706</v>
      </c>
      <c r="P11" s="29" t="str" cm="1">
        <f t="array" ref="P11">_xlfn.REGEXEXTRACT(B11,"(?&lt;=//)[^/]+")</f>
        <v>www.hqbdsm.com</v>
      </c>
      <c r="Q11" s="29" t="s">
        <v>695</v>
      </c>
      <c r="R11" s="29" t="s">
        <v>1769</v>
      </c>
      <c r="S11" s="29" t="str" cm="1">
        <f t="array" ref="S11">IF(R11&lt;&gt;"NotApplicable",_xlfn.REGEXEXTRACT(R11,"\d+(?=p)"),"NotApplicable")</f>
        <v>NotApplicable</v>
      </c>
      <c r="T11" s="29" t="s">
        <v>1769</v>
      </c>
      <c r="U11" s="29" t="b">
        <f>ISNUMBER(SEARCH(",",E11))</f>
        <v>0</v>
      </c>
    </row>
    <row r="12" spans="1:21" ht="30" x14ac:dyDescent="0.25">
      <c r="A12" s="29" t="str">
        <f>IF(ISBLANK(M12)=TRUE,"Pending","Done")</f>
        <v>Done</v>
      </c>
      <c r="B12" s="29" t="s">
        <v>760</v>
      </c>
      <c r="C12" s="29">
        <v>0</v>
      </c>
      <c r="D12" s="29" t="s">
        <v>1767</v>
      </c>
      <c r="E12" s="29" t="s">
        <v>1768</v>
      </c>
      <c r="F12" s="29" t="s">
        <v>70</v>
      </c>
      <c r="G12" s="29" t="s">
        <v>1769</v>
      </c>
      <c r="H12" s="29" t="s">
        <v>1769</v>
      </c>
      <c r="I12" s="29" t="s">
        <v>1769</v>
      </c>
      <c r="J12" s="29" t="s">
        <v>1769</v>
      </c>
      <c r="K12" s="29" t="s">
        <v>761</v>
      </c>
      <c r="L12" s="29" t="s">
        <v>762</v>
      </c>
      <c r="M12" s="29" t="s">
        <v>65</v>
      </c>
      <c r="N12" s="29">
        <v>9</v>
      </c>
      <c r="O12" s="29" t="s">
        <v>763</v>
      </c>
      <c r="P12" s="29" t="str" cm="1">
        <f t="array" ref="P12">_xlfn.REGEXEXTRACT(B12,"(?&lt;=//)[^/]+")</f>
        <v>bdsmlust.com</v>
      </c>
      <c r="Q12" s="29" t="s">
        <v>695</v>
      </c>
      <c r="R12" s="29" t="s">
        <v>1769</v>
      </c>
      <c r="S12" s="29" t="str" cm="1">
        <f t="array" ref="S12">IF(R12&lt;&gt;"NotApplicable",_xlfn.REGEXEXTRACT(R12,"\d+(?=p)"),"NotApplicable")</f>
        <v>NotApplicable</v>
      </c>
      <c r="T12" s="29" t="s">
        <v>1769</v>
      </c>
      <c r="U12" s="29" t="b">
        <f>ISNUMBER(SEARCH(",",E12))</f>
        <v>0</v>
      </c>
    </row>
    <row r="13" spans="1:21" ht="30" x14ac:dyDescent="0.25">
      <c r="A13" s="29" t="str">
        <f>IF(ISBLANK(M13)=TRUE,"Pending","Done")</f>
        <v>Done</v>
      </c>
      <c r="B13" s="29" t="s">
        <v>122</v>
      </c>
      <c r="C13" s="29">
        <v>0</v>
      </c>
      <c r="D13" s="29" t="s">
        <v>1767</v>
      </c>
      <c r="E13" s="29" t="s">
        <v>123</v>
      </c>
      <c r="F13" s="29" t="s">
        <v>124</v>
      </c>
      <c r="G13" s="29" t="s">
        <v>1769</v>
      </c>
      <c r="H13" s="29" t="s">
        <v>1769</v>
      </c>
      <c r="I13" s="29" t="s">
        <v>1769</v>
      </c>
      <c r="J13" s="29" t="s">
        <v>1769</v>
      </c>
      <c r="K13" s="29" t="s">
        <v>354</v>
      </c>
      <c r="L13" s="29" t="s">
        <v>600</v>
      </c>
      <c r="M13" s="29" t="s">
        <v>65</v>
      </c>
      <c r="N13" s="29">
        <v>9</v>
      </c>
      <c r="O13" s="29" t="s">
        <v>125</v>
      </c>
      <c r="P13" s="29" t="str" cm="1">
        <f t="array" ref="P13">_xlfn.REGEXEXTRACT(B13,"(?&lt;=//)[^/]+")</f>
        <v>spankbang.com</v>
      </c>
      <c r="Q13" s="29" t="s">
        <v>695</v>
      </c>
      <c r="R13" s="29" t="s">
        <v>1769</v>
      </c>
      <c r="S13" s="29" t="str" cm="1">
        <f t="array" ref="S13">IF(R13&lt;&gt;"NotApplicable",_xlfn.REGEXEXTRACT(R13,"\d+(?=p)"),"NotApplicable")</f>
        <v>NotApplicable</v>
      </c>
      <c r="T13" s="29" t="s">
        <v>1769</v>
      </c>
      <c r="U13" s="29" t="b">
        <f>ISNUMBER(SEARCH(",",E13))</f>
        <v>0</v>
      </c>
    </row>
    <row r="14" spans="1:21" ht="45" x14ac:dyDescent="0.25">
      <c r="A14" s="29" t="str">
        <f>IF(ISBLANK(M14)=TRUE,"Pending","Done")</f>
        <v>Done</v>
      </c>
      <c r="B14" s="29" t="s">
        <v>679</v>
      </c>
      <c r="C14" s="29">
        <v>48</v>
      </c>
      <c r="D14" s="29" t="s">
        <v>857</v>
      </c>
      <c r="E14" s="29" t="s">
        <v>681</v>
      </c>
      <c r="F14" s="29" t="s">
        <v>81</v>
      </c>
      <c r="G14" s="29" t="s">
        <v>2247</v>
      </c>
      <c r="H14" s="29" t="s">
        <v>2248</v>
      </c>
      <c r="I14" s="29" t="s">
        <v>1769</v>
      </c>
      <c r="J14" s="29" t="s">
        <v>1769</v>
      </c>
      <c r="K14" s="29" t="s">
        <v>687</v>
      </c>
      <c r="L14" s="29" t="s">
        <v>686</v>
      </c>
      <c r="M14" s="29" t="s">
        <v>65</v>
      </c>
      <c r="N14" s="29">
        <v>8</v>
      </c>
      <c r="O14" s="29" t="s">
        <v>688</v>
      </c>
      <c r="P14" s="29" t="str" cm="1">
        <f t="array" ref="P14">_xlfn.REGEXEXTRACT(B14,"(?&lt;=//)[^/]+")</f>
        <v>abxxx.com</v>
      </c>
      <c r="Q14" s="29" t="s">
        <v>695</v>
      </c>
      <c r="R14" s="29" t="s">
        <v>1769</v>
      </c>
      <c r="S14" s="29" t="str" cm="1">
        <f t="array" ref="S14">IF(R14&lt;&gt;"NotApplicable",_xlfn.REGEXEXTRACT(R14,"\d+(?=p)"),"NotApplicable")</f>
        <v>NotApplicable</v>
      </c>
      <c r="T14" s="29" t="s">
        <v>1769</v>
      </c>
      <c r="U14" s="29" t="b">
        <f>ISNUMBER(SEARCH(",",E14))</f>
        <v>0</v>
      </c>
    </row>
    <row r="15" spans="1:21" ht="30" x14ac:dyDescent="0.25">
      <c r="A15" s="29" t="str">
        <f>IF(ISBLANK(M15)=TRUE,"Pending","Done")</f>
        <v>Done</v>
      </c>
      <c r="B15" s="29" t="s">
        <v>271</v>
      </c>
      <c r="C15" s="29">
        <v>0</v>
      </c>
      <c r="D15" s="29" t="s">
        <v>1767</v>
      </c>
      <c r="E15" s="29" t="s">
        <v>1768</v>
      </c>
      <c r="F15" s="29" t="s">
        <v>81</v>
      </c>
      <c r="G15" s="29" t="s">
        <v>1769</v>
      </c>
      <c r="H15" s="29" t="s">
        <v>1769</v>
      </c>
      <c r="I15" s="29" t="s">
        <v>1769</v>
      </c>
      <c r="J15" s="29" t="s">
        <v>1769</v>
      </c>
      <c r="K15" s="29" t="s">
        <v>460</v>
      </c>
      <c r="L15" s="29" t="s">
        <v>371</v>
      </c>
      <c r="M15" s="29" t="s">
        <v>65</v>
      </c>
      <c r="N15" s="29">
        <v>8</v>
      </c>
      <c r="O15" s="29" t="s">
        <v>288</v>
      </c>
      <c r="P15" s="29" t="str" cm="1">
        <f t="array" ref="P15">_xlfn.REGEXEXTRACT(B15,"(?&lt;=//)[^/]+")</f>
        <v>www.fuq.com</v>
      </c>
      <c r="Q15" s="29" t="s">
        <v>695</v>
      </c>
      <c r="R15" s="29" t="s">
        <v>1769</v>
      </c>
      <c r="S15" s="29" t="str" cm="1">
        <f t="array" ref="S15">IF(R15&lt;&gt;"NotApplicable",_xlfn.REGEXEXTRACT(R15,"\d+(?=p)"),"NotApplicable")</f>
        <v>NotApplicable</v>
      </c>
      <c r="T15" s="29" t="s">
        <v>1769</v>
      </c>
      <c r="U15" s="29" t="b">
        <f>ISNUMBER(SEARCH(",",E15))</f>
        <v>0</v>
      </c>
    </row>
    <row r="16" spans="1:21" ht="30" x14ac:dyDescent="0.25">
      <c r="A16" s="29" t="str">
        <f>IF(ISBLANK(M16)=TRUE,"Pending","Done")</f>
        <v>Done</v>
      </c>
      <c r="B16" s="29" t="s">
        <v>318</v>
      </c>
      <c r="C16" s="29">
        <v>0</v>
      </c>
      <c r="D16" s="29" t="s">
        <v>1767</v>
      </c>
      <c r="E16" s="29" t="s">
        <v>1768</v>
      </c>
      <c r="F16" s="29" t="s">
        <v>81</v>
      </c>
      <c r="G16" s="29" t="s">
        <v>1769</v>
      </c>
      <c r="H16" s="29" t="s">
        <v>1769</v>
      </c>
      <c r="I16" s="29" t="s">
        <v>1769</v>
      </c>
      <c r="J16" s="29" t="s">
        <v>1769</v>
      </c>
      <c r="K16" s="29" t="s">
        <v>1761</v>
      </c>
      <c r="L16" s="29" t="s">
        <v>634</v>
      </c>
      <c r="M16" s="29" t="s">
        <v>65</v>
      </c>
      <c r="N16" s="29">
        <v>8</v>
      </c>
      <c r="O16" s="29" t="s">
        <v>427</v>
      </c>
      <c r="P16" s="29" t="str" cm="1">
        <f t="array" ref="P16">_xlfn.REGEXEXTRACT(B16,"(?&lt;=//)[^/]+")</f>
        <v>www.tubebdsm.com</v>
      </c>
      <c r="Q16" s="29" t="s">
        <v>695</v>
      </c>
      <c r="R16" s="29" t="s">
        <v>1769</v>
      </c>
      <c r="S16" s="29" t="str" cm="1">
        <f t="array" ref="S16">IF(R16&lt;&gt;"NotApplicable",_xlfn.REGEXEXTRACT(R16,"\d+(?=p)"),"NotApplicable")</f>
        <v>NotApplicable</v>
      </c>
      <c r="T16" s="29" t="s">
        <v>1769</v>
      </c>
      <c r="U16" s="29" t="b">
        <f>ISNUMBER(SEARCH(",",E16))</f>
        <v>0</v>
      </c>
    </row>
    <row r="17" spans="1:21" ht="30" x14ac:dyDescent="0.25">
      <c r="A17" s="29" t="str">
        <f>IF(ISBLANK(M17)=TRUE,"Pending","Done")</f>
        <v>Done</v>
      </c>
      <c r="B17" s="29" t="s">
        <v>314</v>
      </c>
      <c r="C17" s="29">
        <v>11</v>
      </c>
      <c r="D17" s="29" t="s">
        <v>866</v>
      </c>
      <c r="E17" s="29" t="s">
        <v>1768</v>
      </c>
      <c r="F17" s="29" t="s">
        <v>71</v>
      </c>
      <c r="G17" s="29" t="s">
        <v>2251</v>
      </c>
      <c r="H17" s="29" t="s">
        <v>2250</v>
      </c>
      <c r="I17" s="29" t="s">
        <v>1769</v>
      </c>
      <c r="J17" s="29" t="s">
        <v>1769</v>
      </c>
      <c r="K17" s="29" t="s">
        <v>472</v>
      </c>
      <c r="L17" s="29" t="s">
        <v>637</v>
      </c>
      <c r="M17" s="29" t="s">
        <v>65</v>
      </c>
      <c r="N17" s="29">
        <v>8</v>
      </c>
      <c r="O17" s="29" t="s">
        <v>478</v>
      </c>
      <c r="P17" s="29" t="str" cm="1">
        <f t="array" ref="P17">_xlfn.REGEXEXTRACT(B17,"(?&lt;=//)[^/]+")</f>
        <v>xhamster44.desi</v>
      </c>
      <c r="Q17" s="29" t="s">
        <v>695</v>
      </c>
      <c r="R17" s="29" t="s">
        <v>1769</v>
      </c>
      <c r="S17" s="29" t="str" cm="1">
        <f t="array" ref="S17">IF(R17&lt;&gt;"NotApplicable",_xlfn.REGEXEXTRACT(R17,"\d+(?=p)"),"NotApplicable")</f>
        <v>NotApplicable</v>
      </c>
      <c r="T17" s="29" t="s">
        <v>1769</v>
      </c>
      <c r="U17" s="29" t="b">
        <f>ISNUMBER(SEARCH(",",E17))</f>
        <v>0</v>
      </c>
    </row>
    <row r="18" spans="1:21" ht="60" x14ac:dyDescent="0.25">
      <c r="A18" s="29" t="str">
        <f>IF(ISBLANK(M18)=TRUE,"Pending","Done")</f>
        <v>Done</v>
      </c>
      <c r="B18" s="29" t="s">
        <v>804</v>
      </c>
      <c r="C18" s="29">
        <v>46</v>
      </c>
      <c r="D18" s="29" t="s">
        <v>868</v>
      </c>
      <c r="E18" s="29" t="s">
        <v>747</v>
      </c>
      <c r="F18" s="29" t="s">
        <v>71</v>
      </c>
      <c r="G18" s="29" t="s">
        <v>2249</v>
      </c>
      <c r="H18" s="29" t="s">
        <v>2249</v>
      </c>
      <c r="I18" s="29" t="s">
        <v>1769</v>
      </c>
      <c r="J18" s="29" t="s">
        <v>1769</v>
      </c>
      <c r="K18" s="29" t="s">
        <v>813</v>
      </c>
      <c r="L18" s="29" t="s">
        <v>805</v>
      </c>
      <c r="M18" s="29" t="s">
        <v>65</v>
      </c>
      <c r="N18" s="29">
        <v>8</v>
      </c>
      <c r="O18" s="29" t="s">
        <v>806</v>
      </c>
      <c r="P18" s="29" t="str" cm="1">
        <f t="array" ref="P18">_xlfn.REGEXEXTRACT(B18,"(?&lt;=//)[^/]+")</f>
        <v>bdsmstreak.com</v>
      </c>
      <c r="Q18" s="29" t="s">
        <v>695</v>
      </c>
      <c r="R18" s="29" t="s">
        <v>1769</v>
      </c>
      <c r="S18" s="29" t="str" cm="1">
        <f t="array" ref="S18">IF(R18&lt;&gt;"NotApplicable",_xlfn.REGEXEXTRACT(R18,"\d+(?=p)"),"NotApplicable")</f>
        <v>NotApplicable</v>
      </c>
      <c r="T18" s="29" t="s">
        <v>1769</v>
      </c>
      <c r="U18" s="29" t="b">
        <f>ISNUMBER(SEARCH(",",E18))</f>
        <v>0</v>
      </c>
    </row>
    <row r="19" spans="1:21" ht="45" x14ac:dyDescent="0.25">
      <c r="A19" s="29" t="str">
        <f>IF(ISBLANK(M19)=TRUE,"Pending","Done")</f>
        <v>Done</v>
      </c>
      <c r="B19" s="29" t="s">
        <v>323</v>
      </c>
      <c r="C19" s="29">
        <v>53</v>
      </c>
      <c r="D19" s="29" t="s">
        <v>860</v>
      </c>
      <c r="E19" s="29" t="s">
        <v>324</v>
      </c>
      <c r="F19" s="29" t="s">
        <v>70</v>
      </c>
      <c r="G19" s="29" t="s">
        <v>2246</v>
      </c>
      <c r="H19" s="29" t="s">
        <v>2245</v>
      </c>
      <c r="I19" s="29" t="s">
        <v>1769</v>
      </c>
      <c r="J19" s="29" t="s">
        <v>1769</v>
      </c>
      <c r="K19" s="29" t="s">
        <v>485</v>
      </c>
      <c r="L19" s="29" t="s">
        <v>648</v>
      </c>
      <c r="M19" s="29" t="s">
        <v>65</v>
      </c>
      <c r="N19" s="29">
        <v>8</v>
      </c>
      <c r="O19" s="29" t="s">
        <v>514</v>
      </c>
      <c r="P19" s="29" t="str" cm="1">
        <f t="array" ref="P19">_xlfn.REGEXEXTRACT(B19,"(?&lt;=//)[^/]+")</f>
        <v>abxxx.com</v>
      </c>
      <c r="Q19" s="29" t="s">
        <v>695</v>
      </c>
      <c r="R19" s="29" t="s">
        <v>1769</v>
      </c>
      <c r="S19" s="29" t="str" cm="1">
        <f t="array" ref="S19">IF(R19&lt;&gt;"NotApplicable",_xlfn.REGEXEXTRACT(R19,"\d+(?=p)"),"NotApplicable")</f>
        <v>NotApplicable</v>
      </c>
      <c r="T19" s="29" t="s">
        <v>1769</v>
      </c>
      <c r="U19" s="29" t="b">
        <f>ISNUMBER(SEARCH(",",E19))</f>
        <v>0</v>
      </c>
    </row>
    <row r="20" spans="1:21" ht="45" x14ac:dyDescent="0.25">
      <c r="A20" s="29" t="str">
        <f>IF(ISBLANK(M20)=TRUE,"Pending","Done")</f>
        <v>Done</v>
      </c>
      <c r="B20" s="29" t="s">
        <v>13</v>
      </c>
      <c r="C20" s="29">
        <v>33</v>
      </c>
      <c r="D20" s="29" t="s">
        <v>2347</v>
      </c>
      <c r="E20" s="29" t="s">
        <v>78</v>
      </c>
      <c r="F20" s="29" t="s">
        <v>70</v>
      </c>
      <c r="G20" s="29" t="s">
        <v>2346</v>
      </c>
      <c r="H20" s="29" t="s">
        <v>2345</v>
      </c>
      <c r="I20" s="29" t="s">
        <v>1769</v>
      </c>
      <c r="J20" s="29" t="s">
        <v>1769</v>
      </c>
      <c r="K20" s="29" t="s">
        <v>359</v>
      </c>
      <c r="L20" s="29" t="s">
        <v>622</v>
      </c>
      <c r="M20" s="29" t="s">
        <v>65</v>
      </c>
      <c r="N20" s="29">
        <v>8</v>
      </c>
      <c r="O20" s="29" t="s">
        <v>102</v>
      </c>
      <c r="P20" s="29" t="str" cm="1">
        <f t="array" ref="P20">_xlfn.REGEXEXTRACT(B20,"(?&lt;=//)[^/]+")</f>
        <v>bdsmstreak.com</v>
      </c>
      <c r="Q20" s="29" t="s">
        <v>694</v>
      </c>
      <c r="R20" s="29" t="s">
        <v>2467</v>
      </c>
      <c r="S20" s="29" t="str" cm="1">
        <f t="array" ref="S20">IF(R20&lt;&gt;"NotApplicable",_xlfn.REGEXEXTRACT(R20,"\d+(?=p)"),"NotApplicable")</f>
        <v>1080</v>
      </c>
      <c r="T20" s="29" t="s">
        <v>1769</v>
      </c>
      <c r="U20" s="29" t="b">
        <f>ISNUMBER(SEARCH(",",E20))</f>
        <v>0</v>
      </c>
    </row>
    <row r="21" spans="1:21" ht="30" x14ac:dyDescent="0.25">
      <c r="A21" s="29" t="str">
        <f>IF(ISBLANK(M21)=TRUE,"Pending","Done")</f>
        <v>Done</v>
      </c>
      <c r="B21" s="29" t="s">
        <v>1530</v>
      </c>
      <c r="C21" s="29">
        <v>9</v>
      </c>
      <c r="D21" s="29" t="s">
        <v>149</v>
      </c>
      <c r="E21" s="29" t="s">
        <v>1527</v>
      </c>
      <c r="F21" s="29" t="s">
        <v>70</v>
      </c>
      <c r="G21" s="29" t="s">
        <v>1529</v>
      </c>
      <c r="H21" s="29" t="s">
        <v>1535</v>
      </c>
      <c r="I21" s="29" t="s">
        <v>1769</v>
      </c>
      <c r="J21" s="29" t="s">
        <v>1769</v>
      </c>
      <c r="K21" s="29" t="s">
        <v>1539</v>
      </c>
      <c r="L21" s="29" t="s">
        <v>1541</v>
      </c>
      <c r="M21" s="29" t="s">
        <v>65</v>
      </c>
      <c r="N21" s="29">
        <v>8</v>
      </c>
      <c r="O21" s="29" t="s">
        <v>1540</v>
      </c>
      <c r="P21" s="29" t="str" cm="1">
        <f t="array" ref="P21">_xlfn.REGEXEXTRACT(B21,"(?&lt;=//)[^/]+")</f>
        <v>www.porntrex.com</v>
      </c>
      <c r="Q21" s="29" t="s">
        <v>694</v>
      </c>
      <c r="R21" s="29" t="s">
        <v>1528</v>
      </c>
      <c r="S21" s="29" t="str" cm="1">
        <f t="array" ref="S21">IF(R21&lt;&gt;"NotApplicable",_xlfn.REGEXEXTRACT(R21,"\d+(?=p)"),"NotApplicable")</f>
        <v>1080</v>
      </c>
      <c r="T21" s="29" t="s">
        <v>1534</v>
      </c>
      <c r="U21" s="29" t="b">
        <f>ISNUMBER(SEARCH(",",E21))</f>
        <v>0</v>
      </c>
    </row>
    <row r="22" spans="1:21" ht="30" x14ac:dyDescent="0.25">
      <c r="A22" s="29" t="str">
        <f>IF(ISBLANK(M22)=TRUE,"Pending","Done")</f>
        <v>Done</v>
      </c>
      <c r="B22" s="29" t="s">
        <v>56</v>
      </c>
      <c r="C22" s="29">
        <v>0</v>
      </c>
      <c r="D22" s="29" t="s">
        <v>857</v>
      </c>
      <c r="E22" s="29" t="s">
        <v>1768</v>
      </c>
      <c r="F22" s="29" t="s">
        <v>70</v>
      </c>
      <c r="G22" s="29" t="s">
        <v>1769</v>
      </c>
      <c r="H22" s="29" t="s">
        <v>1769</v>
      </c>
      <c r="I22" s="29" t="s">
        <v>1769</v>
      </c>
      <c r="J22" s="29" t="s">
        <v>1769</v>
      </c>
      <c r="K22" s="29" t="s">
        <v>510</v>
      </c>
      <c r="L22" s="29" t="s">
        <v>370</v>
      </c>
      <c r="M22" s="29" t="s">
        <v>65</v>
      </c>
      <c r="N22" s="29">
        <v>8</v>
      </c>
      <c r="O22" s="29" t="s">
        <v>238</v>
      </c>
      <c r="P22" s="29" t="str" cm="1">
        <f t="array" ref="P22">_xlfn.REGEXEXTRACT(B22,"(?&lt;=//)[^/]+")</f>
        <v>tube.perverzija.com</v>
      </c>
      <c r="Q22" s="29" t="s">
        <v>695</v>
      </c>
      <c r="R22" s="29" t="s">
        <v>1769</v>
      </c>
      <c r="S22" s="29" t="str" cm="1">
        <f t="array" ref="S22">IF(R22&lt;&gt;"NotApplicable",_xlfn.REGEXEXTRACT(R22,"\d+(?=p)"),"NotApplicable")</f>
        <v>NotApplicable</v>
      </c>
      <c r="T22" s="29" t="s">
        <v>1769</v>
      </c>
      <c r="U22" s="29" t="b">
        <f>ISNUMBER(SEARCH(",",E22))</f>
        <v>0</v>
      </c>
    </row>
    <row r="23" spans="1:21" ht="30" x14ac:dyDescent="0.25">
      <c r="A23" s="29" t="str">
        <f>IF(ISBLANK(M23)=TRUE,"Pending","Done")</f>
        <v>Done</v>
      </c>
      <c r="B23" s="29" t="s">
        <v>316</v>
      </c>
      <c r="C23" s="29">
        <v>0</v>
      </c>
      <c r="D23" s="29" t="s">
        <v>1767</v>
      </c>
      <c r="E23" s="29" t="s">
        <v>1768</v>
      </c>
      <c r="F23" s="29" t="s">
        <v>70</v>
      </c>
      <c r="G23" s="29" t="s">
        <v>1769</v>
      </c>
      <c r="H23" s="29" t="s">
        <v>1769</v>
      </c>
      <c r="I23" s="29" t="s">
        <v>1769</v>
      </c>
      <c r="J23" s="29" t="s">
        <v>1769</v>
      </c>
      <c r="K23" s="29" t="s">
        <v>352</v>
      </c>
      <c r="L23" s="29" t="s">
        <v>372</v>
      </c>
      <c r="M23" s="29" t="s">
        <v>65</v>
      </c>
      <c r="N23" s="29">
        <v>8</v>
      </c>
      <c r="O23" s="29" t="s">
        <v>325</v>
      </c>
      <c r="P23" s="29" t="str" cm="1">
        <f t="array" ref="P23">_xlfn.REGEXEXTRACT(B23,"(?&lt;=//)[^/]+")</f>
        <v>www.tubebdsm.com</v>
      </c>
      <c r="Q23" s="29" t="s">
        <v>695</v>
      </c>
      <c r="R23" s="29" t="s">
        <v>1769</v>
      </c>
      <c r="S23" s="29" t="str" cm="1">
        <f t="array" ref="S23">IF(R23&lt;&gt;"NotApplicable",_xlfn.REGEXEXTRACT(R23,"\d+(?=p)"),"NotApplicable")</f>
        <v>NotApplicable</v>
      </c>
      <c r="T23" s="29" t="s">
        <v>1769</v>
      </c>
      <c r="U23" s="29" t="b">
        <f>ISNUMBER(SEARCH(",",E23))</f>
        <v>0</v>
      </c>
    </row>
    <row r="24" spans="1:21" ht="30" x14ac:dyDescent="0.25">
      <c r="A24" s="29" t="str">
        <f>IF(ISBLANK(M24)=TRUE,"Pending","Done")</f>
        <v>Done</v>
      </c>
      <c r="B24" s="29" t="s">
        <v>736</v>
      </c>
      <c r="C24" s="29">
        <v>55</v>
      </c>
      <c r="D24" s="29" t="s">
        <v>866</v>
      </c>
      <c r="E24" s="29" t="s">
        <v>737</v>
      </c>
      <c r="F24" s="29" t="s">
        <v>70</v>
      </c>
      <c r="G24" s="29" t="s">
        <v>2244</v>
      </c>
      <c r="H24" s="29" t="s">
        <v>2243</v>
      </c>
      <c r="I24" s="29" t="s">
        <v>1769</v>
      </c>
      <c r="J24" s="29" t="s">
        <v>1769</v>
      </c>
      <c r="K24" s="29" t="s">
        <v>836</v>
      </c>
      <c r="L24" s="29" t="s">
        <v>834</v>
      </c>
      <c r="M24" s="29" t="s">
        <v>65</v>
      </c>
      <c r="N24" s="29">
        <v>8</v>
      </c>
      <c r="O24" s="29" t="s">
        <v>835</v>
      </c>
      <c r="P24" s="29" t="str" cm="1">
        <f t="array" ref="P24">_xlfn.REGEXEXTRACT(B24,"(?&lt;=//)[^/]+")</f>
        <v>heavyfetish.com</v>
      </c>
      <c r="Q24" s="29" t="s">
        <v>695</v>
      </c>
      <c r="R24" s="29" t="s">
        <v>1769</v>
      </c>
      <c r="S24" s="29" t="str" cm="1">
        <f t="array" ref="S24">IF(R24&lt;&gt;"NotApplicable",_xlfn.REGEXEXTRACT(R24,"\d+(?=p)"),"NotApplicable")</f>
        <v>NotApplicable</v>
      </c>
      <c r="T24" s="29" t="s">
        <v>1769</v>
      </c>
      <c r="U24" s="29" t="b">
        <f>ISNUMBER(SEARCH(",",E24))</f>
        <v>0</v>
      </c>
    </row>
    <row r="25" spans="1:21" ht="30" x14ac:dyDescent="0.25">
      <c r="A25" s="29" t="str">
        <f>IF(ISBLANK(M25)=TRUE,"Pending","Done")</f>
        <v>Done</v>
      </c>
      <c r="B25" s="29" t="s">
        <v>1522</v>
      </c>
      <c r="C25" s="29">
        <v>31</v>
      </c>
      <c r="D25" s="29" t="s">
        <v>1523</v>
      </c>
      <c r="E25" s="29" t="s">
        <v>171</v>
      </c>
      <c r="F25" s="29" t="s">
        <v>169</v>
      </c>
      <c r="G25" s="29" t="s">
        <v>1525</v>
      </c>
      <c r="H25" s="29" t="s">
        <v>1526</v>
      </c>
      <c r="I25" s="29" t="s">
        <v>1769</v>
      </c>
      <c r="J25" s="29" t="s">
        <v>1769</v>
      </c>
      <c r="K25" s="29" t="s">
        <v>363</v>
      </c>
      <c r="L25" s="29" t="s">
        <v>79</v>
      </c>
      <c r="M25" s="29" t="s">
        <v>65</v>
      </c>
      <c r="N25" s="29">
        <v>8</v>
      </c>
      <c r="O25" s="29" t="s">
        <v>2159</v>
      </c>
      <c r="P25" s="29" t="str" cm="1">
        <f t="array" ref="P25">_xlfn.REGEXEXTRACT(B25,"(?&lt;=//)[^/]+")</f>
        <v>m.hqporner.com</v>
      </c>
      <c r="Q25" s="29" t="s">
        <v>694</v>
      </c>
      <c r="R25" s="29" t="s">
        <v>1524</v>
      </c>
      <c r="S25" s="29" t="str" cm="1">
        <f t="array" ref="S25">IF(R25&lt;&gt;"NotApplicable",_xlfn.REGEXEXTRACT(R25,"\d+(?=p)"),"NotApplicable")</f>
        <v>720</v>
      </c>
      <c r="T25" s="29" t="s">
        <v>1769</v>
      </c>
      <c r="U25" s="29" t="b">
        <f>ISNUMBER(SEARCH(",",E25))</f>
        <v>0</v>
      </c>
    </row>
    <row r="26" spans="1:21" ht="30" x14ac:dyDescent="0.25">
      <c r="A26" s="29" t="str">
        <f>IF(ISBLANK(M26)=TRUE,"Pending","Done")</f>
        <v>Done</v>
      </c>
      <c r="B26" s="29" t="s">
        <v>268</v>
      </c>
      <c r="C26" s="29">
        <v>0</v>
      </c>
      <c r="D26" s="29" t="s">
        <v>1767</v>
      </c>
      <c r="E26" s="29" t="s">
        <v>1768</v>
      </c>
      <c r="F26" s="29" t="s">
        <v>285</v>
      </c>
      <c r="G26" s="29" t="s">
        <v>1769</v>
      </c>
      <c r="H26" s="29" t="s">
        <v>1769</v>
      </c>
      <c r="I26" s="29" t="s">
        <v>1769</v>
      </c>
      <c r="J26" s="29" t="s">
        <v>1769</v>
      </c>
      <c r="K26" s="29" t="s">
        <v>59</v>
      </c>
      <c r="L26" s="29" t="s">
        <v>387</v>
      </c>
      <c r="M26" s="29" t="s">
        <v>65</v>
      </c>
      <c r="N26" s="29">
        <v>7</v>
      </c>
      <c r="O26" s="29" t="s">
        <v>295</v>
      </c>
      <c r="P26" s="29" t="str" cm="1">
        <f t="array" ref="P26">_xlfn.REGEXEXTRACT(B26,"(?&lt;=//)[^/]+")</f>
        <v>beeg.com</v>
      </c>
      <c r="Q26" s="29" t="s">
        <v>695</v>
      </c>
      <c r="R26" s="29" t="s">
        <v>1769</v>
      </c>
      <c r="S26" s="29" t="str" cm="1">
        <f t="array" ref="S26">IF(R26&lt;&gt;"NotApplicable",_xlfn.REGEXEXTRACT(R26,"\d+(?=p)"),"NotApplicable")</f>
        <v>NotApplicable</v>
      </c>
      <c r="T26" s="29" t="s">
        <v>1769</v>
      </c>
      <c r="U26" s="29" t="b">
        <f>ISNUMBER(SEARCH(",",E26))</f>
        <v>0</v>
      </c>
    </row>
    <row r="27" spans="1:21" ht="30" x14ac:dyDescent="0.25">
      <c r="A27" s="29" t="str">
        <f>IF(ISBLANK(M27)=TRUE,"Pending","Done")</f>
        <v>Done</v>
      </c>
      <c r="B27" s="29" t="s">
        <v>269</v>
      </c>
      <c r="C27" s="29">
        <v>0</v>
      </c>
      <c r="D27" s="29" t="s">
        <v>1767</v>
      </c>
      <c r="E27" s="29" t="s">
        <v>1768</v>
      </c>
      <c r="F27" s="29" t="s">
        <v>285</v>
      </c>
      <c r="G27" s="29" t="s">
        <v>1769</v>
      </c>
      <c r="H27" s="29" t="s">
        <v>1769</v>
      </c>
      <c r="I27" s="29" t="s">
        <v>1769</v>
      </c>
      <c r="J27" s="29" t="s">
        <v>1769</v>
      </c>
      <c r="K27" s="29" t="s">
        <v>59</v>
      </c>
      <c r="L27" s="29" t="s">
        <v>387</v>
      </c>
      <c r="M27" s="29" t="s">
        <v>65</v>
      </c>
      <c r="N27" s="29">
        <v>7</v>
      </c>
      <c r="O27" s="29" t="s">
        <v>296</v>
      </c>
      <c r="P27" s="29" t="str" cm="1">
        <f t="array" ref="P27">_xlfn.REGEXEXTRACT(B27,"(?&lt;=//)[^/]+")</f>
        <v>www.fuq.com</v>
      </c>
      <c r="Q27" s="29" t="s">
        <v>695</v>
      </c>
      <c r="R27" s="29" t="s">
        <v>1769</v>
      </c>
      <c r="S27" s="29" t="str" cm="1">
        <f t="array" ref="S27">IF(R27&lt;&gt;"NotApplicable",_xlfn.REGEXEXTRACT(R27,"\d+(?=p)"),"NotApplicable")</f>
        <v>NotApplicable</v>
      </c>
      <c r="T27" s="29" t="s">
        <v>1769</v>
      </c>
      <c r="U27" s="29" t="b">
        <f>ISNUMBER(SEARCH(",",E27))</f>
        <v>0</v>
      </c>
    </row>
    <row r="28" spans="1:21" ht="30" x14ac:dyDescent="0.25">
      <c r="A28" s="29" t="str">
        <f>IF(ISBLANK(M28)=TRUE,"Pending","Done")</f>
        <v>Done</v>
      </c>
      <c r="B28" s="29" t="s">
        <v>778</v>
      </c>
      <c r="C28" s="29">
        <v>57</v>
      </c>
      <c r="D28" s="29" t="s">
        <v>857</v>
      </c>
      <c r="E28" s="29" t="s">
        <v>293</v>
      </c>
      <c r="F28" s="29" t="s">
        <v>81</v>
      </c>
      <c r="G28" s="29" t="s">
        <v>2262</v>
      </c>
      <c r="H28" s="29" t="s">
        <v>2263</v>
      </c>
      <c r="I28" s="29" t="s">
        <v>1769</v>
      </c>
      <c r="J28" s="29" t="s">
        <v>1769</v>
      </c>
      <c r="K28" s="29" t="s">
        <v>498</v>
      </c>
      <c r="L28" s="29" t="s">
        <v>369</v>
      </c>
      <c r="M28" s="29" t="s">
        <v>65</v>
      </c>
      <c r="N28" s="29">
        <v>7</v>
      </c>
      <c r="O28" s="29" t="s">
        <v>521</v>
      </c>
      <c r="P28" s="29" t="str" cm="1">
        <f t="array" ref="P28">_xlfn.REGEXEXTRACT(B28,"(?&lt;=//)[^/]+")</f>
        <v>bdsmmansion.com</v>
      </c>
      <c r="Q28" s="29" t="s">
        <v>695</v>
      </c>
      <c r="R28" s="29" t="s">
        <v>1769</v>
      </c>
      <c r="S28" s="29" t="str" cm="1">
        <f t="array" ref="S28">IF(R28&lt;&gt;"NotApplicable",_xlfn.REGEXEXTRACT(R28,"\d+(?=p)"),"NotApplicable")</f>
        <v>NotApplicable</v>
      </c>
      <c r="T28" s="29" t="s">
        <v>1769</v>
      </c>
      <c r="U28" s="29" t="b">
        <f>ISNUMBER(SEARCH(",",E28))</f>
        <v>0</v>
      </c>
    </row>
    <row r="29" spans="1:21" ht="45" x14ac:dyDescent="0.25">
      <c r="A29" s="29" t="str">
        <f>IF(ISBLANK(M29)=TRUE,"Pending","Done")</f>
        <v>Done</v>
      </c>
      <c r="B29" s="29" t="s">
        <v>2278</v>
      </c>
      <c r="C29" s="29">
        <v>48</v>
      </c>
      <c r="D29" s="29" t="s">
        <v>867</v>
      </c>
      <c r="E29" s="29" t="s">
        <v>437</v>
      </c>
      <c r="F29" s="29" t="s">
        <v>81</v>
      </c>
      <c r="G29" s="29" t="s">
        <v>2279</v>
      </c>
      <c r="H29" s="29" t="s">
        <v>2279</v>
      </c>
      <c r="I29" s="29" t="s">
        <v>1769</v>
      </c>
      <c r="J29" s="29" t="s">
        <v>1769</v>
      </c>
      <c r="K29" s="29" t="s">
        <v>531</v>
      </c>
      <c r="L29" s="29" t="s">
        <v>627</v>
      </c>
      <c r="M29" s="29" t="s">
        <v>65</v>
      </c>
      <c r="N29" s="29">
        <v>7</v>
      </c>
      <c r="O29" s="29" t="s">
        <v>474</v>
      </c>
      <c r="P29" s="29" t="str" cm="1">
        <f t="array" ref="P29">_xlfn.REGEXEXTRACT(B29,"(?&lt;=//)[^/]+")</f>
        <v>www.kink.com</v>
      </c>
      <c r="Q29" s="29" t="s">
        <v>695</v>
      </c>
      <c r="R29" s="29" t="s">
        <v>1769</v>
      </c>
      <c r="S29" s="29" t="str" cm="1">
        <f t="array" ref="S29">IF(R29&lt;&gt;"NotApplicable",_xlfn.REGEXEXTRACT(R29,"\d+(?=p)"),"NotApplicable")</f>
        <v>NotApplicable</v>
      </c>
      <c r="T29" s="29" t="s">
        <v>1769</v>
      </c>
      <c r="U29" s="29" t="b">
        <f>ISNUMBER(SEARCH(",",E29))</f>
        <v>0</v>
      </c>
    </row>
    <row r="30" spans="1:21" ht="30" x14ac:dyDescent="0.25">
      <c r="A30" s="29" t="str">
        <f>IF(ISBLANK(M30)=TRUE,"Pending","Done")</f>
        <v>Done</v>
      </c>
      <c r="B30" s="29" t="s">
        <v>276</v>
      </c>
      <c r="C30" s="29">
        <v>46</v>
      </c>
      <c r="D30" s="29" t="s">
        <v>867</v>
      </c>
      <c r="E30" s="29" t="s">
        <v>2286</v>
      </c>
      <c r="F30" s="29" t="s">
        <v>81</v>
      </c>
      <c r="G30" s="29" t="s">
        <v>2287</v>
      </c>
      <c r="H30" s="29" t="s">
        <v>2284</v>
      </c>
      <c r="I30" s="29" t="s">
        <v>1769</v>
      </c>
      <c r="J30" s="29" t="s">
        <v>1769</v>
      </c>
      <c r="K30" s="29" t="s">
        <v>467</v>
      </c>
      <c r="L30" s="29" t="s">
        <v>603</v>
      </c>
      <c r="M30" s="29" t="s">
        <v>65</v>
      </c>
      <c r="N30" s="29">
        <v>7</v>
      </c>
      <c r="O30" s="29" t="s">
        <v>464</v>
      </c>
      <c r="P30" s="29" t="str" cm="1">
        <f t="array" ref="P30">_xlfn.REGEXEXTRACT(B30,"(?&lt;=//)[^/]+")</f>
        <v>heavyfetish.com</v>
      </c>
      <c r="Q30" s="29" t="s">
        <v>695</v>
      </c>
      <c r="R30" s="29" t="s">
        <v>1769</v>
      </c>
      <c r="S30" s="29" t="str" cm="1">
        <f t="array" ref="S30">IF(R30&lt;&gt;"NotApplicable",_xlfn.REGEXEXTRACT(R30,"\d+(?=p)"),"NotApplicable")</f>
        <v>NotApplicable</v>
      </c>
      <c r="T30" s="29" t="s">
        <v>1769</v>
      </c>
      <c r="U30" s="29" t="b">
        <f>ISNUMBER(SEARCH(",",E30))</f>
        <v>0</v>
      </c>
    </row>
    <row r="31" spans="1:21" ht="45" x14ac:dyDescent="0.25">
      <c r="A31" s="29" t="str">
        <f>IF(ISBLANK(M31)=TRUE,"Pending","Done")</f>
        <v>Done</v>
      </c>
      <c r="B31" s="29" t="s">
        <v>321</v>
      </c>
      <c r="C31" s="29">
        <v>44</v>
      </c>
      <c r="D31" s="29" t="s">
        <v>867</v>
      </c>
      <c r="E31" s="29" t="s">
        <v>2294</v>
      </c>
      <c r="F31" s="29" t="s">
        <v>81</v>
      </c>
      <c r="G31" s="29" t="s">
        <v>2293</v>
      </c>
      <c r="H31" s="29" t="s">
        <v>2292</v>
      </c>
      <c r="I31" s="29" t="s">
        <v>1769</v>
      </c>
      <c r="J31" s="29" t="s">
        <v>1769</v>
      </c>
      <c r="K31" s="29" t="s">
        <v>489</v>
      </c>
      <c r="L31" s="29" t="s">
        <v>423</v>
      </c>
      <c r="M31" s="29" t="s">
        <v>65</v>
      </c>
      <c r="N31" s="29">
        <v>7</v>
      </c>
      <c r="O31" s="29" t="s">
        <v>517</v>
      </c>
      <c r="P31" s="29" t="str" cm="1">
        <f t="array" ref="P31">_xlfn.REGEXEXTRACT(B31,"(?&lt;=//)[^/]+")</f>
        <v>www.fapcat.com</v>
      </c>
      <c r="Q31" s="29" t="s">
        <v>695</v>
      </c>
      <c r="R31" s="29" t="s">
        <v>1769</v>
      </c>
      <c r="S31" s="29" t="str" cm="1">
        <f t="array" ref="S31">IF(R31&lt;&gt;"NotApplicable",_xlfn.REGEXEXTRACT(R31,"\d+(?=p)"),"NotApplicable")</f>
        <v>NotApplicable</v>
      </c>
      <c r="T31" s="29" t="s">
        <v>1769</v>
      </c>
      <c r="U31" s="29" t="b">
        <f>ISNUMBER(SEARCH(",",E31))</f>
        <v>0</v>
      </c>
    </row>
    <row r="32" spans="1:21" x14ac:dyDescent="0.25">
      <c r="A32" s="29" t="str">
        <f>IF(ISBLANK(M32)=TRUE,"Pending","Done")</f>
        <v>Done</v>
      </c>
      <c r="B32" s="29" t="s">
        <v>270</v>
      </c>
      <c r="C32" s="29">
        <v>0</v>
      </c>
      <c r="D32" s="29" t="s">
        <v>452</v>
      </c>
      <c r="E32" s="29" t="s">
        <v>1768</v>
      </c>
      <c r="F32" s="29" t="s">
        <v>81</v>
      </c>
      <c r="G32" s="29" t="s">
        <v>1769</v>
      </c>
      <c r="H32" s="29" t="s">
        <v>1769</v>
      </c>
      <c r="I32" s="29" t="s">
        <v>1769</v>
      </c>
      <c r="J32" s="29" t="s">
        <v>1769</v>
      </c>
      <c r="K32" s="29" t="s">
        <v>727</v>
      </c>
      <c r="L32" s="29" t="s">
        <v>602</v>
      </c>
      <c r="M32" s="29" t="s">
        <v>65</v>
      </c>
      <c r="N32" s="29">
        <v>7</v>
      </c>
      <c r="O32" s="29" t="s">
        <v>287</v>
      </c>
      <c r="P32" s="29" t="str" cm="1">
        <f t="array" ref="P32">_xlfn.REGEXEXTRACT(B32,"(?&lt;=//)[^/]+")</f>
        <v>beeg.com</v>
      </c>
      <c r="Q32" s="29" t="s">
        <v>695</v>
      </c>
      <c r="R32" s="29" t="s">
        <v>1769</v>
      </c>
      <c r="S32" s="29" t="str" cm="1">
        <f t="array" ref="S32">IF(R32&lt;&gt;"NotApplicable",_xlfn.REGEXEXTRACT(R32,"\d+(?=p)"),"NotApplicable")</f>
        <v>NotApplicable</v>
      </c>
      <c r="T32" s="29" t="s">
        <v>1769</v>
      </c>
      <c r="U32" s="29" t="b">
        <f>ISNUMBER(SEARCH(",",E32))</f>
        <v>0</v>
      </c>
    </row>
    <row r="33" spans="1:21" ht="30" x14ac:dyDescent="0.25">
      <c r="A33" s="29" t="str">
        <f>IF(ISBLANK(M33)=TRUE,"Pending","Done")</f>
        <v>Done</v>
      </c>
      <c r="B33" s="29" t="s">
        <v>303</v>
      </c>
      <c r="C33" s="29">
        <v>0</v>
      </c>
      <c r="D33" s="29" t="s">
        <v>867</v>
      </c>
      <c r="E33" s="29" t="s">
        <v>1768</v>
      </c>
      <c r="F33" s="29" t="s">
        <v>81</v>
      </c>
      <c r="G33" s="29" t="s">
        <v>1769</v>
      </c>
      <c r="H33" s="29" t="s">
        <v>1769</v>
      </c>
      <c r="I33" s="29" t="s">
        <v>1769</v>
      </c>
      <c r="J33" s="29" t="s">
        <v>1769</v>
      </c>
      <c r="K33" s="29" t="s">
        <v>511</v>
      </c>
      <c r="L33" s="29" t="s">
        <v>375</v>
      </c>
      <c r="M33" s="29" t="s">
        <v>65</v>
      </c>
      <c r="N33" s="29">
        <v>7</v>
      </c>
      <c r="O33" s="29" t="s">
        <v>304</v>
      </c>
      <c r="P33" s="29" t="str" cm="1">
        <f t="array" ref="P33">_xlfn.REGEXEXTRACT(B33,"(?&lt;=//)[^/]+")</f>
        <v>www.pornhits.com</v>
      </c>
      <c r="Q33" s="29" t="s">
        <v>695</v>
      </c>
      <c r="R33" s="29" t="s">
        <v>1769</v>
      </c>
      <c r="S33" s="29" t="str" cm="1">
        <f t="array" ref="S33">IF(R33&lt;&gt;"NotApplicable",_xlfn.REGEXEXTRACT(R33,"\d+(?=p)"),"NotApplicable")</f>
        <v>NotApplicable</v>
      </c>
      <c r="T33" s="29" t="s">
        <v>1769</v>
      </c>
      <c r="U33" s="29" t="b">
        <f>ISNUMBER(SEARCH(",",E33))</f>
        <v>0</v>
      </c>
    </row>
    <row r="34" spans="1:21" ht="30" x14ac:dyDescent="0.25">
      <c r="A34" s="29" t="str">
        <f>IF(ISBLANK(M34)=TRUE,"Pending","Done")</f>
        <v>Done</v>
      </c>
      <c r="B34" s="29" t="s">
        <v>255</v>
      </c>
      <c r="C34" s="29">
        <v>0</v>
      </c>
      <c r="D34" s="29" t="s">
        <v>867</v>
      </c>
      <c r="E34" s="29" t="s">
        <v>1768</v>
      </c>
      <c r="F34" s="29" t="s">
        <v>81</v>
      </c>
      <c r="G34" s="29" t="s">
        <v>1769</v>
      </c>
      <c r="H34" s="29" t="s">
        <v>1769</v>
      </c>
      <c r="I34" s="29" t="s">
        <v>1769</v>
      </c>
      <c r="J34" s="29" t="s">
        <v>1769</v>
      </c>
      <c r="K34" s="29" t="s">
        <v>462</v>
      </c>
      <c r="L34" s="29" t="s">
        <v>712</v>
      </c>
      <c r="M34" s="29" t="s">
        <v>65</v>
      </c>
      <c r="N34" s="29">
        <v>7</v>
      </c>
      <c r="O34" s="29" t="s">
        <v>256</v>
      </c>
      <c r="P34" s="29" t="str" cm="1">
        <f t="array" ref="P34">_xlfn.REGEXEXTRACT(B34,"(?&lt;=//)[^/]+")</f>
        <v>www.txxx.porn</v>
      </c>
      <c r="Q34" s="29" t="s">
        <v>695</v>
      </c>
      <c r="R34" s="29" t="s">
        <v>1769</v>
      </c>
      <c r="S34" s="29" t="str" cm="1">
        <f t="array" ref="S34">IF(R34&lt;&gt;"NotApplicable",_xlfn.REGEXEXTRACT(R34,"\d+(?=p)"),"NotApplicable")</f>
        <v>NotApplicable</v>
      </c>
      <c r="T34" s="29" t="s">
        <v>1769</v>
      </c>
      <c r="U34" s="29" t="b">
        <f>ISNUMBER(SEARCH(",",E34))</f>
        <v>0</v>
      </c>
    </row>
    <row r="35" spans="1:21" ht="75" x14ac:dyDescent="0.25">
      <c r="A35" s="29" t="str">
        <f>IF(ISBLANK(M35)=TRUE,"Pending","Done")</f>
        <v>Done</v>
      </c>
      <c r="B35" s="29" t="s">
        <v>449</v>
      </c>
      <c r="C35" s="29">
        <v>51</v>
      </c>
      <c r="D35" s="29" t="s">
        <v>862</v>
      </c>
      <c r="E35" s="29" t="s">
        <v>454</v>
      </c>
      <c r="F35" s="29" t="s">
        <v>71</v>
      </c>
      <c r="G35" s="29" t="s">
        <v>2269</v>
      </c>
      <c r="H35" s="29" t="s">
        <v>2268</v>
      </c>
      <c r="I35" s="29" t="s">
        <v>1769</v>
      </c>
      <c r="J35" s="29" t="s">
        <v>1769</v>
      </c>
      <c r="K35" s="29" t="s">
        <v>1711</v>
      </c>
      <c r="L35" s="29" t="s">
        <v>673</v>
      </c>
      <c r="M35" s="29" t="s">
        <v>65</v>
      </c>
      <c r="N35" s="29">
        <v>7</v>
      </c>
      <c r="O35" s="29" t="s">
        <v>674</v>
      </c>
      <c r="P35" s="29" t="str" cm="1">
        <f t="array" ref="P35">_xlfn.REGEXEXTRACT(B35,"(?&lt;=//)[^/]+")</f>
        <v>bdsmmansion.com</v>
      </c>
      <c r="Q35" s="29" t="s">
        <v>695</v>
      </c>
      <c r="R35" s="29" t="s">
        <v>1769</v>
      </c>
      <c r="S35" s="29" t="str" cm="1">
        <f t="array" ref="S35">IF(R35&lt;&gt;"NotApplicable",_xlfn.REGEXEXTRACT(R35,"\d+(?=p)"),"NotApplicable")</f>
        <v>NotApplicable</v>
      </c>
      <c r="T35" s="29" t="s">
        <v>1769</v>
      </c>
      <c r="U35" s="29" t="b">
        <f>ISNUMBER(SEARCH(",",E35))</f>
        <v>1</v>
      </c>
    </row>
    <row r="36" spans="1:21" ht="45" x14ac:dyDescent="0.25">
      <c r="A36" s="29" t="str">
        <f>IF(ISBLANK(M36)=TRUE,"Pending","Done")</f>
        <v>Done</v>
      </c>
      <c r="B36" s="29" t="s">
        <v>1685</v>
      </c>
      <c r="C36" s="29">
        <v>46</v>
      </c>
      <c r="D36" s="29" t="s">
        <v>864</v>
      </c>
      <c r="E36" s="29" t="s">
        <v>330</v>
      </c>
      <c r="F36" s="29" t="s">
        <v>71</v>
      </c>
      <c r="G36" s="29" t="s">
        <v>2289</v>
      </c>
      <c r="H36" s="29" t="s">
        <v>2288</v>
      </c>
      <c r="I36" s="29" t="s">
        <v>1769</v>
      </c>
      <c r="J36" s="29" t="s">
        <v>1769</v>
      </c>
      <c r="K36" s="29" t="s">
        <v>1721</v>
      </c>
      <c r="L36" s="29" t="s">
        <v>376</v>
      </c>
      <c r="M36" s="29" t="s">
        <v>65</v>
      </c>
      <c r="N36" s="29">
        <v>7</v>
      </c>
      <c r="O36" s="29" t="s">
        <v>560</v>
      </c>
      <c r="P36" s="29" t="str" cm="1">
        <f t="array" ref="P36">_xlfn.REGEXEXTRACT(B36,"(?&lt;=//)[^/]+")</f>
        <v>bdsmstreak.com</v>
      </c>
      <c r="Q36" s="29" t="s">
        <v>695</v>
      </c>
      <c r="R36" s="29" t="s">
        <v>1769</v>
      </c>
      <c r="S36" s="29" t="str" cm="1">
        <f t="array" ref="S36">IF(R36&lt;&gt;"NotApplicable",_xlfn.REGEXEXTRACT(R36,"\d+(?=p)"),"NotApplicable")</f>
        <v>NotApplicable</v>
      </c>
      <c r="T36" s="29" t="s">
        <v>1769</v>
      </c>
      <c r="U36" s="29" t="b">
        <f>ISNUMBER(SEARCH(",",E36))</f>
        <v>1</v>
      </c>
    </row>
    <row r="37" spans="1:21" ht="30" x14ac:dyDescent="0.25">
      <c r="A37" s="29" t="str">
        <f>IF(ISBLANK(M37)=TRUE,"Pending","Done")</f>
        <v>Done</v>
      </c>
      <c r="B37" s="29" t="s">
        <v>91</v>
      </c>
      <c r="C37" s="29">
        <v>48</v>
      </c>
      <c r="D37" s="29" t="s">
        <v>97</v>
      </c>
      <c r="E37" s="29" t="s">
        <v>98</v>
      </c>
      <c r="F37" s="29" t="s">
        <v>71</v>
      </c>
      <c r="G37" s="29" t="s">
        <v>2277</v>
      </c>
      <c r="H37" s="29" t="s">
        <v>2276</v>
      </c>
      <c r="I37" s="29" t="s">
        <v>1769</v>
      </c>
      <c r="J37" s="29" t="s">
        <v>1769</v>
      </c>
      <c r="K37" s="29" t="s">
        <v>353</v>
      </c>
      <c r="L37" s="29" t="s">
        <v>99</v>
      </c>
      <c r="M37" s="29" t="s">
        <v>65</v>
      </c>
      <c r="N37" s="29">
        <v>7</v>
      </c>
      <c r="O37" s="29" t="s">
        <v>523</v>
      </c>
      <c r="P37" s="29" t="str" cm="1">
        <f t="array" ref="P37">_xlfn.REGEXEXTRACT(B37,"(?&lt;=//)[^/]+")</f>
        <v>heavyfetish.com</v>
      </c>
      <c r="Q37" s="29" t="s">
        <v>695</v>
      </c>
      <c r="R37" s="29" t="s">
        <v>1769</v>
      </c>
      <c r="S37" s="29" t="str" cm="1">
        <f t="array" ref="S37">IF(R37&lt;&gt;"NotApplicable",_xlfn.REGEXEXTRACT(R37,"\d+(?=p)"),"NotApplicable")</f>
        <v>NotApplicable</v>
      </c>
      <c r="T37" s="29" t="s">
        <v>1769</v>
      </c>
      <c r="U37" s="29" t="b">
        <f>ISNUMBER(SEARCH(",",E37))</f>
        <v>0</v>
      </c>
    </row>
    <row r="38" spans="1:21" ht="30" x14ac:dyDescent="0.25">
      <c r="A38" s="29" t="str">
        <f>IF(ISBLANK(M38)=TRUE,"Pending","Done")</f>
        <v>Done</v>
      </c>
      <c r="B38" s="29" t="s">
        <v>92</v>
      </c>
      <c r="C38" s="29">
        <v>24</v>
      </c>
      <c r="D38" s="29" t="s">
        <v>93</v>
      </c>
      <c r="E38" s="29" t="s">
        <v>346</v>
      </c>
      <c r="F38" s="29" t="s">
        <v>71</v>
      </c>
      <c r="G38" s="29" t="s">
        <v>2297</v>
      </c>
      <c r="H38" s="29" t="s">
        <v>2296</v>
      </c>
      <c r="I38" s="29" t="s">
        <v>1769</v>
      </c>
      <c r="J38" s="29" t="s">
        <v>1769</v>
      </c>
      <c r="K38" s="29" t="s">
        <v>1724</v>
      </c>
      <c r="L38" s="29" t="s">
        <v>107</v>
      </c>
      <c r="M38" s="29" t="s">
        <v>65</v>
      </c>
      <c r="N38" s="29">
        <v>7</v>
      </c>
      <c r="O38" s="29" t="s">
        <v>108</v>
      </c>
      <c r="P38" s="29" t="str" cm="1">
        <f t="array" ref="P38">_xlfn.REGEXEXTRACT(B38,"(?&lt;=//)[^/]+")</f>
        <v>heavyfetish.com</v>
      </c>
      <c r="Q38" s="29" t="s">
        <v>695</v>
      </c>
      <c r="R38" s="29" t="s">
        <v>1769</v>
      </c>
      <c r="S38" s="29" t="str" cm="1">
        <f t="array" ref="S38">IF(R38&lt;&gt;"NotApplicable",_xlfn.REGEXEXTRACT(R38,"\d+(?=p)"),"NotApplicable")</f>
        <v>NotApplicable</v>
      </c>
      <c r="T38" s="29" t="s">
        <v>1769</v>
      </c>
      <c r="U38" s="29" t="b">
        <f>ISNUMBER(SEARCH(",",E38))</f>
        <v>1</v>
      </c>
    </row>
    <row r="39" spans="1:21" ht="45" x14ac:dyDescent="0.25">
      <c r="A39" s="29" t="str">
        <f>IF(ISBLANK(M39)=TRUE,"Pending","Done")</f>
        <v>Done</v>
      </c>
      <c r="B39" s="29" t="s">
        <v>790</v>
      </c>
      <c r="C39" s="29">
        <v>51</v>
      </c>
      <c r="D39" s="29" t="s">
        <v>862</v>
      </c>
      <c r="E39" s="29" t="s">
        <v>791</v>
      </c>
      <c r="F39" s="29" t="s">
        <v>71</v>
      </c>
      <c r="G39" s="29" t="s">
        <v>2275</v>
      </c>
      <c r="H39" s="29" t="s">
        <v>2274</v>
      </c>
      <c r="I39" s="29" t="s">
        <v>1769</v>
      </c>
      <c r="J39" s="29" t="s">
        <v>1769</v>
      </c>
      <c r="K39" s="29" t="s">
        <v>1728</v>
      </c>
      <c r="L39" s="29" t="s">
        <v>833</v>
      </c>
      <c r="M39" s="29" t="s">
        <v>65</v>
      </c>
      <c r="N39" s="29">
        <v>7</v>
      </c>
      <c r="O39" s="29" t="s">
        <v>832</v>
      </c>
      <c r="P39" s="29" t="str" cm="1">
        <f t="array" ref="P39">_xlfn.REGEXEXTRACT(B39,"(?&lt;=//)[^/]+")</f>
        <v>heavyfetish.com</v>
      </c>
      <c r="Q39" s="29" t="s">
        <v>695</v>
      </c>
      <c r="R39" s="29" t="s">
        <v>1769</v>
      </c>
      <c r="S39" s="29" t="str" cm="1">
        <f t="array" ref="S39">IF(R39&lt;&gt;"NotApplicable",_xlfn.REGEXEXTRACT(R39,"\d+(?=p)"),"NotApplicable")</f>
        <v>NotApplicable</v>
      </c>
      <c r="T39" s="29" t="s">
        <v>1769</v>
      </c>
      <c r="U39" s="29" t="b">
        <f>ISNUMBER(SEARCH(",",E39))</f>
        <v>1</v>
      </c>
    </row>
    <row r="40" spans="1:21" ht="45" x14ac:dyDescent="0.25">
      <c r="A40" s="29" t="str">
        <f>IF(ISBLANK(M40)=TRUE,"Pending","Done")</f>
        <v>Done</v>
      </c>
      <c r="B40" s="29" t="s">
        <v>1510</v>
      </c>
      <c r="C40" s="29">
        <v>77</v>
      </c>
      <c r="D40" s="29" t="s">
        <v>863</v>
      </c>
      <c r="E40" s="29" t="s">
        <v>1511</v>
      </c>
      <c r="F40" s="29" t="s">
        <v>71</v>
      </c>
      <c r="G40" s="29" t="s">
        <v>2259</v>
      </c>
      <c r="H40" s="29" t="s">
        <v>2258</v>
      </c>
      <c r="I40" s="29" t="s">
        <v>1769</v>
      </c>
      <c r="J40" s="29" t="s">
        <v>1769</v>
      </c>
      <c r="K40" s="29" t="s">
        <v>1729</v>
      </c>
      <c r="L40" s="29" t="s">
        <v>1518</v>
      </c>
      <c r="M40" s="29" t="s">
        <v>65</v>
      </c>
      <c r="N40" s="29">
        <v>7</v>
      </c>
      <c r="O40" s="29" t="s">
        <v>1519</v>
      </c>
      <c r="P40" s="29" t="str" cm="1">
        <f t="array" ref="P40">_xlfn.REGEXEXTRACT(B40,"(?&lt;=//)[^/]+")</f>
        <v>heavyfetish.com</v>
      </c>
      <c r="Q40" s="29" t="s">
        <v>695</v>
      </c>
      <c r="R40" s="29" t="s">
        <v>1769</v>
      </c>
      <c r="S40" s="29" t="str" cm="1">
        <f t="array" ref="S40">IF(R40&lt;&gt;"NotApplicable",_xlfn.REGEXEXTRACT(R40,"\d+(?=p)"),"NotApplicable")</f>
        <v>NotApplicable</v>
      </c>
      <c r="T40" s="29" t="s">
        <v>1769</v>
      </c>
      <c r="U40" s="29" t="b">
        <f>ISNUMBER(SEARCH(",",E40))</f>
        <v>1</v>
      </c>
    </row>
    <row r="41" spans="1:21" ht="30" x14ac:dyDescent="0.25">
      <c r="A41" s="29" t="str">
        <f>IF(ISBLANK(M41)=TRUE,"Pending","Done")</f>
        <v>Done</v>
      </c>
      <c r="B41" s="29" t="s">
        <v>1770</v>
      </c>
      <c r="C41" s="29">
        <v>48</v>
      </c>
      <c r="D41" s="29" t="s">
        <v>868</v>
      </c>
      <c r="E41" s="29" t="s">
        <v>1771</v>
      </c>
      <c r="F41" s="29" t="s">
        <v>70</v>
      </c>
      <c r="G41" s="29" t="s">
        <v>2281</v>
      </c>
      <c r="H41" s="29" t="s">
        <v>2280</v>
      </c>
      <c r="I41" s="29" t="s">
        <v>1769</v>
      </c>
      <c r="J41" s="29" t="s">
        <v>1769</v>
      </c>
      <c r="K41" s="29" t="s">
        <v>1774</v>
      </c>
      <c r="L41" s="29" t="s">
        <v>1772</v>
      </c>
      <c r="M41" s="29" t="s">
        <v>65</v>
      </c>
      <c r="N41" s="29">
        <v>7</v>
      </c>
      <c r="O41" s="29" t="s">
        <v>1773</v>
      </c>
      <c r="P41" s="29" t="str" cm="1">
        <f t="array" ref="P41">_xlfn.REGEXEXTRACT(B41,"(?&lt;=//)[^/]+")</f>
        <v>bdsmstreak.com</v>
      </c>
      <c r="Q41" s="29" t="s">
        <v>695</v>
      </c>
      <c r="R41" s="29" t="s">
        <v>1769</v>
      </c>
      <c r="S41" s="29" t="str" cm="1">
        <f t="array" ref="S41">IF(R41&lt;&gt;"NotApplicable",_xlfn.REGEXEXTRACT(R41,"\d+(?=p)"),"NotApplicable")</f>
        <v>NotApplicable</v>
      </c>
      <c r="T41" s="29" t="s">
        <v>1769</v>
      </c>
      <c r="U41" s="29" t="b">
        <f>ISNUMBER(SEARCH(",",E41))</f>
        <v>0</v>
      </c>
    </row>
    <row r="42" spans="1:21" ht="45" x14ac:dyDescent="0.25">
      <c r="A42" s="29" t="str">
        <f>IF(ISBLANK(M42)=TRUE,"Pending","Done")</f>
        <v>Done</v>
      </c>
      <c r="B42" s="29" t="s">
        <v>697</v>
      </c>
      <c r="C42" s="29">
        <v>51</v>
      </c>
      <c r="D42" s="29" t="s">
        <v>857</v>
      </c>
      <c r="E42" s="29" t="s">
        <v>738</v>
      </c>
      <c r="F42" s="29" t="s">
        <v>70</v>
      </c>
      <c r="G42" s="29" t="s">
        <v>2273</v>
      </c>
      <c r="H42" s="29" t="s">
        <v>2272</v>
      </c>
      <c r="I42" s="29" t="s">
        <v>1769</v>
      </c>
      <c r="J42" s="29" t="s">
        <v>1769</v>
      </c>
      <c r="K42" s="29" t="s">
        <v>828</v>
      </c>
      <c r="L42" s="29" t="s">
        <v>821</v>
      </c>
      <c r="M42" s="29" t="s">
        <v>65</v>
      </c>
      <c r="N42" s="29">
        <v>7</v>
      </c>
      <c r="O42" s="29" t="s">
        <v>829</v>
      </c>
      <c r="P42" s="29" t="str" cm="1">
        <f t="array" ref="P42">_xlfn.REGEXEXTRACT(B42,"(?&lt;=//)[^/]+")</f>
        <v>www.eporner.com</v>
      </c>
      <c r="Q42" s="29" t="s">
        <v>695</v>
      </c>
      <c r="R42" s="29" t="s">
        <v>1769</v>
      </c>
      <c r="S42" s="29" t="str" cm="1">
        <f t="array" ref="S42">IF(R42&lt;&gt;"NotApplicable",_xlfn.REGEXEXTRACT(R42,"\d+(?=p)"),"NotApplicable")</f>
        <v>NotApplicable</v>
      </c>
      <c r="T42" s="29" t="s">
        <v>1769</v>
      </c>
      <c r="U42" s="29" t="b">
        <f>ISNUMBER(SEARCH(",",E42))</f>
        <v>0</v>
      </c>
    </row>
    <row r="43" spans="1:21" ht="30" x14ac:dyDescent="0.25">
      <c r="A43" s="29" t="str">
        <f>IF(ISBLANK(M43)=TRUE,"Pending","Done")</f>
        <v>Done</v>
      </c>
      <c r="B43" s="29" t="s">
        <v>698</v>
      </c>
      <c r="C43" s="29">
        <v>45</v>
      </c>
      <c r="D43" s="29" t="s">
        <v>868</v>
      </c>
      <c r="E43" s="29" t="s">
        <v>699</v>
      </c>
      <c r="F43" s="29" t="s">
        <v>70</v>
      </c>
      <c r="G43" s="29" t="s">
        <v>2291</v>
      </c>
      <c r="H43" s="29" t="s">
        <v>2290</v>
      </c>
      <c r="I43" s="29" t="s">
        <v>1769</v>
      </c>
      <c r="J43" s="29" t="s">
        <v>1769</v>
      </c>
      <c r="K43" s="29" t="s">
        <v>1741</v>
      </c>
      <c r="L43" s="29" t="s">
        <v>756</v>
      </c>
      <c r="M43" s="29" t="s">
        <v>65</v>
      </c>
      <c r="N43" s="29">
        <v>7</v>
      </c>
      <c r="O43" s="29" t="s">
        <v>757</v>
      </c>
      <c r="P43" s="29" t="str" cm="1">
        <f t="array" ref="P43">_xlfn.REGEXEXTRACT(B43,"(?&lt;=//)[^/]+")</f>
        <v>heavyfetish.com</v>
      </c>
      <c r="Q43" s="29" t="s">
        <v>695</v>
      </c>
      <c r="R43" s="29" t="s">
        <v>1769</v>
      </c>
      <c r="S43" s="29" t="str" cm="1">
        <f t="array" ref="S43">IF(R43&lt;&gt;"NotApplicable",_xlfn.REGEXEXTRACT(R43,"\d+(?=p)"),"NotApplicable")</f>
        <v>NotApplicable</v>
      </c>
      <c r="T43" s="29" t="s">
        <v>1769</v>
      </c>
      <c r="U43" s="29" t="b">
        <f>ISNUMBER(SEARCH(",",E43))</f>
        <v>1</v>
      </c>
    </row>
    <row r="44" spans="1:21" ht="45" x14ac:dyDescent="0.25">
      <c r="A44" s="29" t="str">
        <f>IF(ISBLANK(M44)=TRUE,"Pending","Done")</f>
        <v>Done</v>
      </c>
      <c r="B44" s="29" t="s">
        <v>247</v>
      </c>
      <c r="C44" s="29">
        <v>73</v>
      </c>
      <c r="D44" s="29" t="s">
        <v>860</v>
      </c>
      <c r="E44" s="29" t="s">
        <v>248</v>
      </c>
      <c r="F44" s="29" t="s">
        <v>70</v>
      </c>
      <c r="G44" s="29" t="s">
        <v>2261</v>
      </c>
      <c r="H44" s="29" t="s">
        <v>2260</v>
      </c>
      <c r="I44" s="29" t="s">
        <v>1769</v>
      </c>
      <c r="J44" s="29" t="s">
        <v>1769</v>
      </c>
      <c r="K44" s="29" t="s">
        <v>481</v>
      </c>
      <c r="L44" s="29" t="s">
        <v>373</v>
      </c>
      <c r="M44" s="29" t="s">
        <v>65</v>
      </c>
      <c r="N44" s="29">
        <v>7</v>
      </c>
      <c r="O44" s="29" t="s">
        <v>546</v>
      </c>
      <c r="P44" s="29" t="str" cm="1">
        <f t="array" ref="P44">_xlfn.REGEXEXTRACT(B44,"(?&lt;=//)[^/]+")</f>
        <v>heavyfetish.com</v>
      </c>
      <c r="Q44" s="29" t="s">
        <v>695</v>
      </c>
      <c r="R44" s="29" t="s">
        <v>1769</v>
      </c>
      <c r="S44" s="29" t="str" cm="1">
        <f t="array" ref="S44">IF(R44&lt;&gt;"NotApplicable",_xlfn.REGEXEXTRACT(R44,"\d+(?=p)"),"NotApplicable")</f>
        <v>NotApplicable</v>
      </c>
      <c r="T44" s="29" t="s">
        <v>1769</v>
      </c>
      <c r="U44" s="29" t="b">
        <f>ISNUMBER(SEARCH(",",E44))</f>
        <v>0</v>
      </c>
    </row>
    <row r="45" spans="1:21" ht="30" x14ac:dyDescent="0.25">
      <c r="A45" s="29" t="str">
        <f>IF(ISBLANK(M45)=TRUE,"Pending","Done")</f>
        <v>Done</v>
      </c>
      <c r="B45" s="29" t="s">
        <v>52</v>
      </c>
      <c r="C45" s="29">
        <v>111</v>
      </c>
      <c r="D45" s="29" t="s">
        <v>1766</v>
      </c>
      <c r="E45" s="29" t="s">
        <v>1768</v>
      </c>
      <c r="F45" s="29" t="s">
        <v>70</v>
      </c>
      <c r="G45" s="29" t="s">
        <v>1769</v>
      </c>
      <c r="H45" s="29" t="s">
        <v>2252</v>
      </c>
      <c r="I45" s="29" t="s">
        <v>1769</v>
      </c>
      <c r="J45" s="29" t="s">
        <v>1769</v>
      </c>
      <c r="K45" s="29" t="s">
        <v>493</v>
      </c>
      <c r="L45" s="29" t="s">
        <v>653</v>
      </c>
      <c r="M45" s="29" t="s">
        <v>65</v>
      </c>
      <c r="N45" s="29">
        <v>7</v>
      </c>
      <c r="O45" s="29" t="s">
        <v>520</v>
      </c>
      <c r="P45" s="29" t="str" cm="1">
        <f t="array" ref="P45">_xlfn.REGEXEXTRACT(B45,"(?&lt;=//)[^/]+")</f>
        <v>punishworld.com</v>
      </c>
      <c r="Q45" s="29" t="s">
        <v>695</v>
      </c>
      <c r="R45" s="29" t="s">
        <v>1769</v>
      </c>
      <c r="S45" s="29" t="str" cm="1">
        <f t="array" ref="S45">IF(R45&lt;&gt;"NotApplicable",_xlfn.REGEXEXTRACT(R45,"\d+(?=p)"),"NotApplicable")</f>
        <v>NotApplicable</v>
      </c>
      <c r="T45" s="29" t="s">
        <v>1769</v>
      </c>
      <c r="U45" s="29" t="b">
        <f>ISNUMBER(SEARCH(",",E45))</f>
        <v>0</v>
      </c>
    </row>
    <row r="46" spans="1:21" ht="45" x14ac:dyDescent="0.25">
      <c r="A46" s="29" t="str">
        <f>IF(ISBLANK(M46)=TRUE,"Pending","Done")</f>
        <v>Done</v>
      </c>
      <c r="B46" s="29" t="s">
        <v>130</v>
      </c>
      <c r="C46" s="29">
        <v>47</v>
      </c>
      <c r="D46" s="29" t="s">
        <v>149</v>
      </c>
      <c r="E46" s="29" t="s">
        <v>170</v>
      </c>
      <c r="F46" s="29" t="s">
        <v>70</v>
      </c>
      <c r="G46" s="29" t="s">
        <v>2283</v>
      </c>
      <c r="H46" s="29" t="s">
        <v>2282</v>
      </c>
      <c r="I46" s="29" t="s">
        <v>1769</v>
      </c>
      <c r="J46" s="29" t="s">
        <v>1769</v>
      </c>
      <c r="K46" s="29" t="s">
        <v>579</v>
      </c>
      <c r="L46" s="29" t="s">
        <v>620</v>
      </c>
      <c r="M46" s="29" t="s">
        <v>65</v>
      </c>
      <c r="N46" s="29">
        <v>7</v>
      </c>
      <c r="O46" s="29" t="s">
        <v>591</v>
      </c>
      <c r="P46" s="29" t="str" cm="1">
        <f t="array" ref="P46">_xlfn.REGEXEXTRACT(B46,"(?&lt;=//)[^/]+")</f>
        <v>bdsmstreak.com</v>
      </c>
      <c r="Q46" s="29" t="s">
        <v>695</v>
      </c>
      <c r="R46" s="29" t="s">
        <v>1769</v>
      </c>
      <c r="S46" s="29" t="str" cm="1">
        <f t="array" ref="S46">IF(R46&lt;&gt;"NotApplicable",_xlfn.REGEXEXTRACT(R46,"\d+(?=p)"),"NotApplicable")</f>
        <v>NotApplicable</v>
      </c>
      <c r="T46" s="29" t="s">
        <v>1769</v>
      </c>
      <c r="U46" s="29" t="b">
        <f>ISNUMBER(SEARCH(",",E46))</f>
        <v>0</v>
      </c>
    </row>
    <row r="47" spans="1:21" ht="60" x14ac:dyDescent="0.25">
      <c r="A47" s="29" t="str">
        <f>IF(ISBLANK(M47)=TRUE,"Pending","Done")</f>
        <v>Done</v>
      </c>
      <c r="B47" s="29" t="s">
        <v>312</v>
      </c>
      <c r="C47" s="29">
        <v>99</v>
      </c>
      <c r="D47" s="29" t="s">
        <v>1766</v>
      </c>
      <c r="E47" s="29" t="s">
        <v>2254</v>
      </c>
      <c r="F47" s="29" t="s">
        <v>70</v>
      </c>
      <c r="G47" s="29" t="s">
        <v>2255</v>
      </c>
      <c r="H47" s="29" t="s">
        <v>2253</v>
      </c>
      <c r="I47" s="29" t="s">
        <v>1769</v>
      </c>
      <c r="J47" s="29" t="s">
        <v>1769</v>
      </c>
      <c r="K47" s="29" t="s">
        <v>507</v>
      </c>
      <c r="L47" s="29" t="s">
        <v>643</v>
      </c>
      <c r="M47" s="29" t="s">
        <v>65</v>
      </c>
      <c r="N47" s="29">
        <v>7</v>
      </c>
      <c r="O47" s="29" t="s">
        <v>524</v>
      </c>
      <c r="P47" s="29" t="str" cm="1">
        <f t="array" ref="P47">_xlfn.REGEXEXTRACT(B47,"(?&lt;=//)[^/]+")</f>
        <v>xhamster44.desi</v>
      </c>
      <c r="Q47" s="29" t="s">
        <v>695</v>
      </c>
      <c r="R47" s="29" t="s">
        <v>1769</v>
      </c>
      <c r="S47" s="29" t="str" cm="1">
        <f t="array" ref="S47">IF(R47&lt;&gt;"NotApplicable",_xlfn.REGEXEXTRACT(R47,"\d+(?=p)"),"NotApplicable")</f>
        <v>NotApplicable</v>
      </c>
      <c r="T47" s="29" t="s">
        <v>1769</v>
      </c>
      <c r="U47" s="29" t="b">
        <f>ISNUMBER(SEARCH(",",E47))</f>
        <v>1</v>
      </c>
    </row>
    <row r="48" spans="1:21" ht="30" x14ac:dyDescent="0.25">
      <c r="A48" s="29" t="str">
        <f>IF(ISBLANK(M48)=TRUE,"Pending","Done")</f>
        <v>Done</v>
      </c>
      <c r="B48" s="29" t="s">
        <v>746</v>
      </c>
      <c r="C48" s="29">
        <v>0</v>
      </c>
      <c r="D48" s="29" t="s">
        <v>1767</v>
      </c>
      <c r="E48" s="29" t="s">
        <v>747</v>
      </c>
      <c r="F48" s="29" t="s">
        <v>70</v>
      </c>
      <c r="G48" s="29" t="s">
        <v>1769</v>
      </c>
      <c r="H48" s="29" t="s">
        <v>1769</v>
      </c>
      <c r="I48" s="29" t="s">
        <v>1769</v>
      </c>
      <c r="J48" s="29" t="s">
        <v>1769</v>
      </c>
      <c r="K48" s="29" t="s">
        <v>751</v>
      </c>
      <c r="L48" s="29" t="s">
        <v>753</v>
      </c>
      <c r="M48" s="29" t="s">
        <v>65</v>
      </c>
      <c r="N48" s="29">
        <v>7</v>
      </c>
      <c r="O48" s="29" t="s">
        <v>748</v>
      </c>
      <c r="P48" s="29" t="str" cm="1">
        <f t="array" ref="P48">_xlfn.REGEXEXTRACT(B48,"(?&lt;=//)[^/]+")</f>
        <v>bdsmmansion.com</v>
      </c>
      <c r="Q48" s="29" t="s">
        <v>695</v>
      </c>
      <c r="R48" s="29" t="s">
        <v>1769</v>
      </c>
      <c r="S48" s="29" t="str" cm="1">
        <f t="array" ref="S48">IF(R48&lt;&gt;"NotApplicable",_xlfn.REGEXEXTRACT(R48,"\d+(?=p)"),"NotApplicable")</f>
        <v>NotApplicable</v>
      </c>
      <c r="T48" s="29" t="s">
        <v>1769</v>
      </c>
      <c r="U48" s="29" t="b">
        <f>ISNUMBER(SEARCH(",",E48))</f>
        <v>0</v>
      </c>
    </row>
    <row r="49" spans="1:21" ht="30" x14ac:dyDescent="0.25">
      <c r="A49" s="29" t="str">
        <f>IF(ISBLANK(M49)=TRUE,"Pending","Done")</f>
        <v>Done</v>
      </c>
      <c r="B49" s="29" t="s">
        <v>1492</v>
      </c>
      <c r="C49" s="29">
        <v>0</v>
      </c>
      <c r="D49" s="29" t="s">
        <v>1767</v>
      </c>
      <c r="E49" s="29" t="s">
        <v>747</v>
      </c>
      <c r="F49" s="29" t="s">
        <v>70</v>
      </c>
      <c r="G49" s="29" t="s">
        <v>1769</v>
      </c>
      <c r="H49" s="29" t="s">
        <v>1769</v>
      </c>
      <c r="I49" s="29" t="s">
        <v>1769</v>
      </c>
      <c r="J49" s="29" t="s">
        <v>1769</v>
      </c>
      <c r="K49" s="29" t="s">
        <v>1500</v>
      </c>
      <c r="L49" s="29" t="s">
        <v>1499</v>
      </c>
      <c r="M49" s="29" t="s">
        <v>65</v>
      </c>
      <c r="N49" s="29">
        <v>7</v>
      </c>
      <c r="O49" s="29" t="s">
        <v>1501</v>
      </c>
      <c r="P49" s="29" t="str" cm="1">
        <f t="array" ref="P49">_xlfn.REGEXEXTRACT(B49,"(?&lt;=//)[^/]+")</f>
        <v>bdsmstreak.com</v>
      </c>
      <c r="Q49" s="29" t="s">
        <v>695</v>
      </c>
      <c r="R49" s="29" t="s">
        <v>1769</v>
      </c>
      <c r="S49" s="29" t="str" cm="1">
        <f t="array" ref="S49">IF(R49&lt;&gt;"NotApplicable",_xlfn.REGEXEXTRACT(R49,"\d+(?=p)"),"NotApplicable")</f>
        <v>NotApplicable</v>
      </c>
      <c r="T49" s="29" t="s">
        <v>1769</v>
      </c>
      <c r="U49" s="29" t="b">
        <f>ISNUMBER(SEARCH(",",E49))</f>
        <v>0</v>
      </c>
    </row>
    <row r="50" spans="1:21" ht="30" x14ac:dyDescent="0.25">
      <c r="A50" s="29" t="str">
        <f>IF(ISBLANK(M50)=TRUE,"Pending","Done")</f>
        <v>Done</v>
      </c>
      <c r="B50" s="29" t="s">
        <v>663</v>
      </c>
      <c r="C50" s="29">
        <v>0</v>
      </c>
      <c r="D50" s="29" t="s">
        <v>1767</v>
      </c>
      <c r="E50" s="29" t="s">
        <v>1768</v>
      </c>
      <c r="F50" s="29" t="s">
        <v>70</v>
      </c>
      <c r="G50" s="29" t="s">
        <v>1769</v>
      </c>
      <c r="H50" s="29" t="s">
        <v>1769</v>
      </c>
      <c r="I50" s="29" t="s">
        <v>1769</v>
      </c>
      <c r="J50" s="29" t="s">
        <v>1769</v>
      </c>
      <c r="K50" s="29" t="s">
        <v>665</v>
      </c>
      <c r="L50" s="29" t="s">
        <v>666</v>
      </c>
      <c r="M50" s="29" t="s">
        <v>65</v>
      </c>
      <c r="N50" s="29">
        <v>7</v>
      </c>
      <c r="O50" s="29" t="s">
        <v>664</v>
      </c>
      <c r="P50" s="29" t="str" cm="1">
        <f t="array" ref="P50">_xlfn.REGEXEXTRACT(B50,"(?&lt;=//)[^/]+")</f>
        <v>www.eporner.com</v>
      </c>
      <c r="Q50" s="29" t="s">
        <v>695</v>
      </c>
      <c r="R50" s="29" t="s">
        <v>1769</v>
      </c>
      <c r="S50" s="29" t="str" cm="1">
        <f t="array" ref="S50">IF(R50&lt;&gt;"NotApplicable",_xlfn.REGEXEXTRACT(R50,"\d+(?=p)"),"NotApplicable")</f>
        <v>NotApplicable</v>
      </c>
      <c r="T50" s="29" t="s">
        <v>1769</v>
      </c>
      <c r="U50" s="29" t="b">
        <f>ISNUMBER(SEARCH(",",E50))</f>
        <v>0</v>
      </c>
    </row>
    <row r="51" spans="1:21" ht="30" x14ac:dyDescent="0.25">
      <c r="A51" s="29" t="str">
        <f>IF(ISBLANK(M51)=TRUE,"Pending","Done")</f>
        <v>Done</v>
      </c>
      <c r="B51" s="29" t="s">
        <v>119</v>
      </c>
      <c r="C51" s="29">
        <v>56</v>
      </c>
      <c r="D51" s="29" t="s">
        <v>868</v>
      </c>
      <c r="E51" s="29" t="s">
        <v>225</v>
      </c>
      <c r="F51" s="29" t="s">
        <v>70</v>
      </c>
      <c r="G51" s="29" t="s">
        <v>2265</v>
      </c>
      <c r="H51" s="29" t="s">
        <v>2264</v>
      </c>
      <c r="I51" s="29" t="s">
        <v>1769</v>
      </c>
      <c r="J51" s="29" t="s">
        <v>1769</v>
      </c>
      <c r="K51" s="29" t="s">
        <v>572</v>
      </c>
      <c r="L51" s="29" t="s">
        <v>596</v>
      </c>
      <c r="M51" s="29" t="s">
        <v>65</v>
      </c>
      <c r="N51" s="29">
        <v>7</v>
      </c>
      <c r="O51" s="29" t="s">
        <v>652</v>
      </c>
      <c r="P51" s="29" t="str" cm="1">
        <f t="array" ref="P51">_xlfn.REGEXEXTRACT(B51,"(?&lt;=//)[^/]+")</f>
        <v>m.hqporner.com</v>
      </c>
      <c r="Q51" s="29" t="s">
        <v>695</v>
      </c>
      <c r="R51" s="29" t="s">
        <v>1769</v>
      </c>
      <c r="S51" s="29" t="str" cm="1">
        <f t="array" ref="S51">IF(R51&lt;&gt;"NotApplicable",_xlfn.REGEXEXTRACT(R51,"\d+(?=p)"),"NotApplicable")</f>
        <v>NotApplicable</v>
      </c>
      <c r="T51" s="29" t="s">
        <v>1769</v>
      </c>
      <c r="U51" s="29" t="b">
        <f>ISNUMBER(SEARCH(",",E51))</f>
        <v>0</v>
      </c>
    </row>
    <row r="52" spans="1:21" ht="45" x14ac:dyDescent="0.25">
      <c r="A52" s="29" t="str">
        <f>IF(ISBLANK(M52)=TRUE,"Pending","Done")</f>
        <v>Done</v>
      </c>
      <c r="B52" s="29" t="s">
        <v>2409</v>
      </c>
      <c r="C52" s="29">
        <v>55</v>
      </c>
      <c r="D52" s="29" t="s">
        <v>864</v>
      </c>
      <c r="E52" s="29" t="s">
        <v>764</v>
      </c>
      <c r="F52" s="29" t="s">
        <v>70</v>
      </c>
      <c r="G52" s="29" t="s">
        <v>2408</v>
      </c>
      <c r="H52" s="29" t="s">
        <v>2408</v>
      </c>
      <c r="I52" s="29" t="s">
        <v>1769</v>
      </c>
      <c r="J52" s="29" t="s">
        <v>1769</v>
      </c>
      <c r="K52" s="29" t="s">
        <v>2412</v>
      </c>
      <c r="L52" s="29" t="s">
        <v>2410</v>
      </c>
      <c r="M52" s="29" t="s">
        <v>65</v>
      </c>
      <c r="N52" s="29">
        <v>7</v>
      </c>
      <c r="O52" s="29" t="s">
        <v>2411</v>
      </c>
      <c r="P52" s="29" t="str" cm="1">
        <f t="array" ref="P52">_xlfn.REGEXEXTRACT(B52,"(?&lt;=//)[^/]+")</f>
        <v>bdsmstreak.com</v>
      </c>
      <c r="Q52" s="29" t="s">
        <v>695</v>
      </c>
      <c r="R52" s="29" t="s">
        <v>1769</v>
      </c>
      <c r="S52" s="29" t="str" cm="1">
        <f t="array" ref="S52">IF(R52&lt;&gt;"NotApplicable",_xlfn.REGEXEXTRACT(R52,"\d+(?=p)"),"NotApplicable")</f>
        <v>NotApplicable</v>
      </c>
      <c r="T52" s="29" t="s">
        <v>1769</v>
      </c>
      <c r="U52" s="29" t="b">
        <f>ISNUMBER(SEARCH(",",E52))</f>
        <v>0</v>
      </c>
    </row>
    <row r="53" spans="1:21" ht="30" x14ac:dyDescent="0.25">
      <c r="A53" s="29" t="str">
        <f>IF(ISBLANK(M53)=TRUE,"Pending","Done")</f>
        <v>Done</v>
      </c>
      <c r="B53" s="29" t="s">
        <v>33</v>
      </c>
      <c r="C53" s="29">
        <v>53</v>
      </c>
      <c r="D53" s="29" t="s">
        <v>868</v>
      </c>
      <c r="E53" s="29" t="s">
        <v>192</v>
      </c>
      <c r="F53" s="29" t="s">
        <v>70</v>
      </c>
      <c r="G53" s="29" t="s">
        <v>2267</v>
      </c>
      <c r="H53" s="29" t="s">
        <v>2266</v>
      </c>
      <c r="I53" s="29" t="s">
        <v>1769</v>
      </c>
      <c r="J53" s="29" t="s">
        <v>1769</v>
      </c>
      <c r="K53" s="29" t="s">
        <v>691</v>
      </c>
      <c r="L53" s="29" t="s">
        <v>711</v>
      </c>
      <c r="M53" s="29" t="s">
        <v>65</v>
      </c>
      <c r="N53" s="29">
        <v>7</v>
      </c>
      <c r="O53" s="29" t="s">
        <v>76</v>
      </c>
      <c r="P53" s="29" t="str" cm="1">
        <f t="array" ref="P53">_xlfn.REGEXEXTRACT(B53,"(?&lt;=//)[^/]+")</f>
        <v>bdsmstreak.com</v>
      </c>
      <c r="Q53" s="29" t="s">
        <v>695</v>
      </c>
      <c r="R53" s="29" t="s">
        <v>1769</v>
      </c>
      <c r="S53" s="29" t="str" cm="1">
        <f t="array" ref="S53">IF(R53&lt;&gt;"NotApplicable",_xlfn.REGEXEXTRACT(R53,"\d+(?=p)"),"NotApplicable")</f>
        <v>NotApplicable</v>
      </c>
      <c r="T53" s="29" t="s">
        <v>1769</v>
      </c>
      <c r="U53" s="29" t="b">
        <f>ISNUMBER(SEARCH(",",E53))</f>
        <v>0</v>
      </c>
    </row>
    <row r="54" spans="1:21" ht="45" x14ac:dyDescent="0.25">
      <c r="A54" s="29" t="str">
        <f>IF(ISBLANK(M54)=TRUE,"Pending","Done")</f>
        <v>Done</v>
      </c>
      <c r="B54" s="29" t="s">
        <v>121</v>
      </c>
      <c r="C54" s="29">
        <v>51</v>
      </c>
      <c r="D54" s="29" t="s">
        <v>868</v>
      </c>
      <c r="E54" s="29" t="s">
        <v>216</v>
      </c>
      <c r="F54" s="29" t="s">
        <v>70</v>
      </c>
      <c r="G54" s="29" t="s">
        <v>2271</v>
      </c>
      <c r="H54" s="29" t="s">
        <v>2270</v>
      </c>
      <c r="I54" s="29" t="s">
        <v>1769</v>
      </c>
      <c r="J54" s="29" t="s">
        <v>1769</v>
      </c>
      <c r="K54" s="29" t="s">
        <v>568</v>
      </c>
      <c r="L54" s="29" t="s">
        <v>374</v>
      </c>
      <c r="M54" s="29" t="s">
        <v>65</v>
      </c>
      <c r="N54" s="29">
        <v>7</v>
      </c>
      <c r="O54" s="29" t="s">
        <v>823</v>
      </c>
      <c r="P54" s="29" t="str" cm="1">
        <f t="array" ref="P54">_xlfn.REGEXEXTRACT(B54,"(?&lt;=//)[^/]+")</f>
        <v>m.hqporner.com</v>
      </c>
      <c r="Q54" s="29" t="s">
        <v>695</v>
      </c>
      <c r="R54" s="29" t="s">
        <v>1769</v>
      </c>
      <c r="S54" s="29" t="str" cm="1">
        <f t="array" ref="S54">IF(R54&lt;&gt;"NotApplicable",_xlfn.REGEXEXTRACT(R54,"\d+(?=p)"),"NotApplicable")</f>
        <v>NotApplicable</v>
      </c>
      <c r="T54" s="29" t="s">
        <v>1769</v>
      </c>
      <c r="U54" s="29" t="b">
        <f>ISNUMBER(SEARCH(",",E54))</f>
        <v>0</v>
      </c>
    </row>
    <row r="55" spans="1:21" ht="45" x14ac:dyDescent="0.25">
      <c r="A55" s="29" t="str">
        <f>IF(ISBLANK(M55)=TRUE,"Pending","Done")</f>
        <v>Done</v>
      </c>
      <c r="B55" s="29" t="s">
        <v>20</v>
      </c>
      <c r="C55" s="29">
        <v>58</v>
      </c>
      <c r="D55" s="29" t="s">
        <v>868</v>
      </c>
      <c r="E55" s="29" t="s">
        <v>331</v>
      </c>
      <c r="F55" s="29" t="s">
        <v>70</v>
      </c>
      <c r="G55" s="29" t="s">
        <v>2389</v>
      </c>
      <c r="H55" s="29" t="s">
        <v>2388</v>
      </c>
      <c r="I55" s="29" t="s">
        <v>1769</v>
      </c>
      <c r="J55" s="29" t="s">
        <v>1769</v>
      </c>
      <c r="K55" s="29" t="s">
        <v>2390</v>
      </c>
      <c r="L55" s="29" t="s">
        <v>86</v>
      </c>
      <c r="M55" s="29" t="s">
        <v>65</v>
      </c>
      <c r="N55" s="29">
        <v>7</v>
      </c>
      <c r="O55" s="29" t="s">
        <v>88</v>
      </c>
      <c r="P55" s="29" t="str" cm="1">
        <f t="array" ref="P55">_xlfn.REGEXEXTRACT(B55,"(?&lt;=//)[^/]+")</f>
        <v>bdsmstreak.com</v>
      </c>
      <c r="Q55" s="29" t="s">
        <v>695</v>
      </c>
      <c r="R55" s="29" t="s">
        <v>1769</v>
      </c>
      <c r="S55" s="29" t="str" cm="1">
        <f t="array" ref="S55">IF(R55&lt;&gt;"NotApplicable",_xlfn.REGEXEXTRACT(R55,"\d+(?=p)"),"NotApplicable")</f>
        <v>NotApplicable</v>
      </c>
      <c r="T55" s="29" t="s">
        <v>1769</v>
      </c>
      <c r="U55" s="29" t="b">
        <f>ISNUMBER(SEARCH(",",E55))</f>
        <v>1</v>
      </c>
    </row>
    <row r="56" spans="1:21" ht="30" x14ac:dyDescent="0.25">
      <c r="A56" s="29" t="str">
        <f>IF(ISBLANK(M56)=TRUE,"Pending","Done")</f>
        <v>Done</v>
      </c>
      <c r="B56" s="29" t="s">
        <v>678</v>
      </c>
      <c r="C56" s="29">
        <v>31</v>
      </c>
      <c r="D56" s="29" t="s">
        <v>1766</v>
      </c>
      <c r="E56" s="29" t="s">
        <v>1768</v>
      </c>
      <c r="F56" s="29" t="s">
        <v>200</v>
      </c>
      <c r="G56" s="29" t="s">
        <v>2295</v>
      </c>
      <c r="H56" s="29" t="s">
        <v>2295</v>
      </c>
      <c r="I56" s="29" t="s">
        <v>1769</v>
      </c>
      <c r="J56" s="29" t="s">
        <v>1769</v>
      </c>
      <c r="K56" s="29" t="s">
        <v>682</v>
      </c>
      <c r="L56" s="29" t="s">
        <v>809</v>
      </c>
      <c r="M56" s="29" t="s">
        <v>65</v>
      </c>
      <c r="N56" s="29">
        <v>7</v>
      </c>
      <c r="O56" s="29" t="s">
        <v>808</v>
      </c>
      <c r="P56" s="29" t="str" cm="1">
        <f t="array" ref="P56">_xlfn.REGEXEXTRACT(B56,"(?&lt;=//)[^/]+")</f>
        <v>www.amateur8.com</v>
      </c>
      <c r="Q56" s="29" t="s">
        <v>695</v>
      </c>
      <c r="R56" s="29" t="s">
        <v>1769</v>
      </c>
      <c r="S56" s="29" t="str" cm="1">
        <f t="array" ref="S56">IF(R56&lt;&gt;"NotApplicable",_xlfn.REGEXEXTRACT(R56,"\d+(?=p)"),"NotApplicable")</f>
        <v>NotApplicable</v>
      </c>
      <c r="T56" s="29" t="s">
        <v>1769</v>
      </c>
      <c r="U56" s="29" t="b">
        <f>ISNUMBER(SEARCH(",",E56))</f>
        <v>0</v>
      </c>
    </row>
    <row r="57" spans="1:21" ht="30" x14ac:dyDescent="0.25">
      <c r="A57" s="29" t="str">
        <f>IF(ISBLANK(M57)=TRUE,"Pending","Done")</f>
        <v>Done</v>
      </c>
      <c r="B57" s="29" t="s">
        <v>1679</v>
      </c>
      <c r="C57" s="29">
        <v>85</v>
      </c>
      <c r="D57" s="29" t="s">
        <v>1591</v>
      </c>
      <c r="E57" s="29" t="s">
        <v>329</v>
      </c>
      <c r="F57" s="29" t="s">
        <v>69</v>
      </c>
      <c r="G57" s="29" t="s">
        <v>2257</v>
      </c>
      <c r="H57" s="29" t="s">
        <v>2256</v>
      </c>
      <c r="I57" s="29" t="s">
        <v>1769</v>
      </c>
      <c r="J57" s="29" t="s">
        <v>1769</v>
      </c>
      <c r="K57" s="29" t="s">
        <v>1752</v>
      </c>
      <c r="L57" s="29" t="s">
        <v>593</v>
      </c>
      <c r="M57" s="29" t="s">
        <v>65</v>
      </c>
      <c r="N57" s="29">
        <v>7</v>
      </c>
      <c r="O57" s="29" t="s">
        <v>101</v>
      </c>
      <c r="P57" s="29" t="str" cm="1">
        <f t="array" ref="P57">_xlfn.REGEXEXTRACT(B57,"(?&lt;=//)[^/]+")</f>
        <v>bdsmstreak.com</v>
      </c>
      <c r="Q57" s="29" t="s">
        <v>695</v>
      </c>
      <c r="R57" s="29" t="s">
        <v>1769</v>
      </c>
      <c r="S57" s="29" t="str" cm="1">
        <f t="array" ref="S57">IF(R57&lt;&gt;"NotApplicable",_xlfn.REGEXEXTRACT(R57,"\d+(?=p)"),"NotApplicable")</f>
        <v>NotApplicable</v>
      </c>
      <c r="T57" s="29" t="s">
        <v>1769</v>
      </c>
      <c r="U57" s="29" t="b">
        <f>ISNUMBER(SEARCH(",",E57))</f>
        <v>1</v>
      </c>
    </row>
    <row r="58" spans="1:21" ht="30" x14ac:dyDescent="0.25">
      <c r="A58" s="29" t="str">
        <f>IF(ISBLANK(M58)=TRUE,"Pending","Done")</f>
        <v>Done</v>
      </c>
      <c r="B58" s="29" t="s">
        <v>315</v>
      </c>
      <c r="C58" s="29">
        <v>0</v>
      </c>
      <c r="D58" s="29" t="s">
        <v>1767</v>
      </c>
      <c r="E58" s="29" t="s">
        <v>1768</v>
      </c>
      <c r="F58" s="29" t="s">
        <v>158</v>
      </c>
      <c r="G58" s="29" t="s">
        <v>1769</v>
      </c>
      <c r="H58" s="29" t="s">
        <v>1769</v>
      </c>
      <c r="I58" s="29" t="s">
        <v>1769</v>
      </c>
      <c r="J58" s="29" t="s">
        <v>1769</v>
      </c>
      <c r="K58" s="29" t="s">
        <v>355</v>
      </c>
      <c r="L58" s="29" t="s">
        <v>377</v>
      </c>
      <c r="M58" s="29" t="s">
        <v>65</v>
      </c>
      <c r="N58" s="29">
        <v>7</v>
      </c>
      <c r="O58" s="29" t="s">
        <v>322</v>
      </c>
      <c r="P58" s="29" t="str" cm="1">
        <f t="array" ref="P58">_xlfn.REGEXEXTRACT(B58,"(?&lt;=//)[^/]+")</f>
        <v>www.tubebdsm.com</v>
      </c>
      <c r="Q58" s="29" t="s">
        <v>695</v>
      </c>
      <c r="R58" s="29" t="s">
        <v>1769</v>
      </c>
      <c r="S58" s="29" t="str" cm="1">
        <f t="array" ref="S58">IF(R58&lt;&gt;"NotApplicable",_xlfn.REGEXEXTRACT(R58,"\d+(?=p)"),"NotApplicable")</f>
        <v>NotApplicable</v>
      </c>
      <c r="T58" s="29" t="s">
        <v>1769</v>
      </c>
      <c r="U58" s="29" t="b">
        <f>ISNUMBER(SEARCH(",",E58))</f>
        <v>0</v>
      </c>
    </row>
    <row r="59" spans="1:21" ht="30" x14ac:dyDescent="0.25">
      <c r="A59" s="29" t="str">
        <f>IF(ISBLANK(M59)=TRUE,"Pending","Done")</f>
        <v>Done</v>
      </c>
      <c r="B59" s="29" t="s">
        <v>2303</v>
      </c>
      <c r="C59" s="29">
        <v>64</v>
      </c>
      <c r="D59" s="29" t="s">
        <v>867</v>
      </c>
      <c r="E59" s="29" t="s">
        <v>438</v>
      </c>
      <c r="F59" s="29" t="s">
        <v>81</v>
      </c>
      <c r="G59" s="29" t="s">
        <v>2302</v>
      </c>
      <c r="H59" s="29" t="s">
        <v>2304</v>
      </c>
      <c r="I59" s="29" t="s">
        <v>1769</v>
      </c>
      <c r="J59" s="29" t="s">
        <v>1769</v>
      </c>
      <c r="K59" s="29" t="s">
        <v>533</v>
      </c>
      <c r="L59" s="29" t="s">
        <v>598</v>
      </c>
      <c r="M59" s="29" t="s">
        <v>65</v>
      </c>
      <c r="N59" s="29">
        <v>6</v>
      </c>
      <c r="O59" s="29" t="s">
        <v>476</v>
      </c>
      <c r="P59" s="29" t="str" cm="1">
        <f t="array" ref="P59">_xlfn.REGEXEXTRACT(B59,"(?&lt;=//)[^/]+")</f>
        <v>bdsmstreak.com</v>
      </c>
      <c r="Q59" s="29" t="s">
        <v>695</v>
      </c>
      <c r="R59" s="29" t="s">
        <v>1769</v>
      </c>
      <c r="S59" s="29" t="str" cm="1">
        <f t="array" ref="S59">IF(R59&lt;&gt;"NotApplicable",_xlfn.REGEXEXTRACT(R59,"\d+(?=p)"),"NotApplicable")</f>
        <v>NotApplicable</v>
      </c>
      <c r="T59" s="29" t="s">
        <v>1769</v>
      </c>
      <c r="U59" s="29" t="b">
        <f>ISNUMBER(SEARCH(",",E59))</f>
        <v>0</v>
      </c>
    </row>
    <row r="60" spans="1:21" ht="45" x14ac:dyDescent="0.25">
      <c r="A60" s="29" t="str">
        <f>IF(ISBLANK(M60)=TRUE,"Pending","Done")</f>
        <v>Done</v>
      </c>
      <c r="B60" s="29" t="s">
        <v>319</v>
      </c>
      <c r="C60" s="29">
        <v>21</v>
      </c>
      <c r="D60" s="29" t="s">
        <v>1766</v>
      </c>
      <c r="E60" s="29" t="s">
        <v>320</v>
      </c>
      <c r="F60" s="29" t="s">
        <v>81</v>
      </c>
      <c r="G60" s="29" t="s">
        <v>2365</v>
      </c>
      <c r="H60" s="29" t="s">
        <v>2365</v>
      </c>
      <c r="I60" s="29" t="s">
        <v>1769</v>
      </c>
      <c r="J60" s="29" t="s">
        <v>1769</v>
      </c>
      <c r="K60" s="29" t="s">
        <v>430</v>
      </c>
      <c r="L60" s="29" t="s">
        <v>714</v>
      </c>
      <c r="M60" s="29" t="s">
        <v>65</v>
      </c>
      <c r="N60" s="29">
        <v>6</v>
      </c>
      <c r="O60" s="29" t="s">
        <v>429</v>
      </c>
      <c r="P60" s="29" t="str" cm="1">
        <f t="array" ref="P60">_xlfn.REGEXEXTRACT(B60,"(?&lt;=//)[^/]+")</f>
        <v>xhamster44.desi</v>
      </c>
      <c r="Q60" s="29" t="s">
        <v>695</v>
      </c>
      <c r="R60" s="29" t="s">
        <v>1769</v>
      </c>
      <c r="S60" s="29" t="str" cm="1">
        <f t="array" ref="S60">IF(R60&lt;&gt;"NotApplicable",_xlfn.REGEXEXTRACT(R60,"\d+(?=p)"),"NotApplicable")</f>
        <v>NotApplicable</v>
      </c>
      <c r="T60" s="29" t="s">
        <v>1769</v>
      </c>
      <c r="U60" s="29" t="b">
        <f>ISNUMBER(SEARCH(",",E60))</f>
        <v>0</v>
      </c>
    </row>
    <row r="61" spans="1:21" ht="30" x14ac:dyDescent="0.25">
      <c r="A61" s="29" t="str">
        <f>IF(ISBLANK(M61)=TRUE,"Pending","Done")</f>
        <v>Done</v>
      </c>
      <c r="B61" s="29" t="s">
        <v>2321</v>
      </c>
      <c r="C61" s="29">
        <v>51</v>
      </c>
      <c r="D61" s="29" t="s">
        <v>858</v>
      </c>
      <c r="E61" s="29" t="s">
        <v>194</v>
      </c>
      <c r="F61" s="29" t="s">
        <v>81</v>
      </c>
      <c r="G61" s="29" t="s">
        <v>2320</v>
      </c>
      <c r="H61" s="29" t="s">
        <v>2322</v>
      </c>
      <c r="I61" s="29" t="s">
        <v>1769</v>
      </c>
      <c r="J61" s="29" t="s">
        <v>1769</v>
      </c>
      <c r="K61" s="29" t="s">
        <v>487</v>
      </c>
      <c r="L61" s="29" t="s">
        <v>640</v>
      </c>
      <c r="M61" s="29" t="s">
        <v>65</v>
      </c>
      <c r="N61" s="29">
        <v>6</v>
      </c>
      <c r="O61" s="29" t="s">
        <v>660</v>
      </c>
      <c r="P61" s="29" t="str" cm="1">
        <f t="array" ref="P61">_xlfn.REGEXEXTRACT(B61,"(?&lt;=//)[^/]+")</f>
        <v>bdsmstreak.com</v>
      </c>
      <c r="Q61" s="29" t="s">
        <v>695</v>
      </c>
      <c r="R61" s="29" t="s">
        <v>1769</v>
      </c>
      <c r="S61" s="29" t="str" cm="1">
        <f t="array" ref="S61">IF(R61&lt;&gt;"NotApplicable",_xlfn.REGEXEXTRACT(R61,"\d+(?=p)"),"NotApplicable")</f>
        <v>NotApplicable</v>
      </c>
      <c r="T61" s="29" t="s">
        <v>1769</v>
      </c>
      <c r="U61" s="29" t="b">
        <f>ISNUMBER(SEARCH(",",E61))</f>
        <v>0</v>
      </c>
    </row>
    <row r="62" spans="1:21" ht="30" x14ac:dyDescent="0.25">
      <c r="A62" s="29" t="str">
        <f>IF(ISBLANK(M62)=TRUE,"Pending","Done")</f>
        <v>Done</v>
      </c>
      <c r="B62" s="29" t="s">
        <v>267</v>
      </c>
      <c r="C62" s="29">
        <v>113</v>
      </c>
      <c r="D62" s="29" t="s">
        <v>1766</v>
      </c>
      <c r="E62" s="29" t="s">
        <v>1768</v>
      </c>
      <c r="F62" s="29" t="s">
        <v>81</v>
      </c>
      <c r="G62" s="29" t="s">
        <v>1769</v>
      </c>
      <c r="H62" s="29" t="s">
        <v>2298</v>
      </c>
      <c r="I62" s="29" t="s">
        <v>1769</v>
      </c>
      <c r="J62" s="29" t="s">
        <v>1769</v>
      </c>
      <c r="K62" s="29" t="s">
        <v>655</v>
      </c>
      <c r="L62" s="29" t="s">
        <v>599</v>
      </c>
      <c r="M62" s="29" t="s">
        <v>254</v>
      </c>
      <c r="N62" s="29">
        <v>6</v>
      </c>
      <c r="O62" s="29" t="s">
        <v>657</v>
      </c>
      <c r="P62" s="29" t="str" cm="1">
        <f t="array" ref="P62">_xlfn.REGEXEXTRACT(B62,"(?&lt;=//)[^/]+")</f>
        <v>abjav.com</v>
      </c>
      <c r="Q62" s="29" t="s">
        <v>695</v>
      </c>
      <c r="R62" s="29" t="s">
        <v>1769</v>
      </c>
      <c r="S62" s="29" t="str" cm="1">
        <f t="array" ref="S62">IF(R62&lt;&gt;"NotApplicable",_xlfn.REGEXEXTRACT(R62,"\d+(?=p)"),"NotApplicable")</f>
        <v>NotApplicable</v>
      </c>
      <c r="T62" s="29" t="s">
        <v>1769</v>
      </c>
      <c r="U62" s="29" t="b">
        <f>ISNUMBER(SEARCH(",",E62))</f>
        <v>0</v>
      </c>
    </row>
    <row r="63" spans="1:21" ht="45" x14ac:dyDescent="0.25">
      <c r="A63" s="29" t="str">
        <f>IF(ISBLANK(M63)=TRUE,"Pending","Done")</f>
        <v>Done</v>
      </c>
      <c r="B63" s="29" t="s">
        <v>2306</v>
      </c>
      <c r="C63" s="29">
        <v>58</v>
      </c>
      <c r="D63" s="29" t="s">
        <v>867</v>
      </c>
      <c r="E63" s="29" t="s">
        <v>434</v>
      </c>
      <c r="F63" s="29" t="s">
        <v>81</v>
      </c>
      <c r="G63" s="29" t="s">
        <v>2305</v>
      </c>
      <c r="H63" s="29" t="s">
        <v>2305</v>
      </c>
      <c r="I63" s="29" t="s">
        <v>1769</v>
      </c>
      <c r="J63" s="29" t="s">
        <v>1769</v>
      </c>
      <c r="K63" s="29" t="s">
        <v>544</v>
      </c>
      <c r="L63" s="29" t="s">
        <v>446</v>
      </c>
      <c r="M63" s="29" t="s">
        <v>65</v>
      </c>
      <c r="N63" s="29">
        <v>6</v>
      </c>
      <c r="O63" s="29" t="s">
        <v>547</v>
      </c>
      <c r="P63" s="29" t="str" cm="1">
        <f t="array" ref="P63">_xlfn.REGEXEXTRACT(B63,"(?&lt;=//)[^/]+")</f>
        <v>bdsmstreak.com</v>
      </c>
      <c r="Q63" s="29" t="s">
        <v>695</v>
      </c>
      <c r="R63" s="29" t="s">
        <v>1769</v>
      </c>
      <c r="S63" s="29" t="str" cm="1">
        <f t="array" ref="S63">IF(R63&lt;&gt;"NotApplicable",_xlfn.REGEXEXTRACT(R63,"\d+(?=p)"),"NotApplicable")</f>
        <v>NotApplicable</v>
      </c>
      <c r="T63" s="29" t="s">
        <v>1769</v>
      </c>
      <c r="U63" s="29" t="b">
        <f>ISNUMBER(SEARCH(",",E63))</f>
        <v>0</v>
      </c>
    </row>
    <row r="64" spans="1:21" ht="30" x14ac:dyDescent="0.25">
      <c r="A64" s="29" t="str">
        <f>IF(ISBLANK(M64)=TRUE,"Pending","Done")</f>
        <v>Done</v>
      </c>
      <c r="B64" s="29" t="s">
        <v>710</v>
      </c>
      <c r="C64" s="29">
        <v>34</v>
      </c>
      <c r="D64" s="29" t="s">
        <v>732</v>
      </c>
      <c r="E64" s="29" t="s">
        <v>1768</v>
      </c>
      <c r="F64" s="29" t="s">
        <v>81</v>
      </c>
      <c r="G64" s="29" t="s">
        <v>2359</v>
      </c>
      <c r="H64" s="29" t="s">
        <v>2358</v>
      </c>
      <c r="I64" s="29" t="s">
        <v>1769</v>
      </c>
      <c r="J64" s="29" t="s">
        <v>1769</v>
      </c>
      <c r="K64" s="29" t="s">
        <v>733</v>
      </c>
      <c r="L64" s="29" t="s">
        <v>623</v>
      </c>
      <c r="M64" s="29" t="s">
        <v>65</v>
      </c>
      <c r="N64" s="29">
        <v>6</v>
      </c>
      <c r="O64" s="29" t="s">
        <v>734</v>
      </c>
      <c r="P64" s="29" t="str" cm="1">
        <f t="array" ref="P64">_xlfn.REGEXEXTRACT(B64,"(?&lt;=//)[^/]+")</f>
        <v>www.xozilla.xxx</v>
      </c>
      <c r="Q64" s="29" t="s">
        <v>695</v>
      </c>
      <c r="R64" s="29" t="s">
        <v>1769</v>
      </c>
      <c r="S64" s="29" t="str" cm="1">
        <f t="array" ref="S64">IF(R64&lt;&gt;"NotApplicable",_xlfn.REGEXEXTRACT(R64,"\d+(?=p)"),"NotApplicable")</f>
        <v>NotApplicable</v>
      </c>
      <c r="T64" s="29" t="s">
        <v>1769</v>
      </c>
      <c r="U64" s="29" t="b">
        <f>ISNUMBER(SEARCH(",",E64))</f>
        <v>0</v>
      </c>
    </row>
    <row r="65" spans="1:21" ht="30" x14ac:dyDescent="0.25">
      <c r="A65" s="29" t="str">
        <f>IF(ISBLANK(M65)=TRUE,"Pending","Done")</f>
        <v>Done</v>
      </c>
      <c r="B65" s="29" t="s">
        <v>433</v>
      </c>
      <c r="C65" s="29">
        <v>0</v>
      </c>
      <c r="D65" s="29" t="s">
        <v>867</v>
      </c>
      <c r="E65" s="29" t="s">
        <v>1768</v>
      </c>
      <c r="F65" s="29" t="s">
        <v>81</v>
      </c>
      <c r="G65" s="29" t="s">
        <v>1769</v>
      </c>
      <c r="H65" s="29" t="s">
        <v>1769</v>
      </c>
      <c r="I65" s="29" t="s">
        <v>1769</v>
      </c>
      <c r="J65" s="29" t="s">
        <v>1769</v>
      </c>
      <c r="K65" s="29" t="s">
        <v>532</v>
      </c>
      <c r="L65" s="29" t="s">
        <v>442</v>
      </c>
      <c r="M65" s="29" t="s">
        <v>65</v>
      </c>
      <c r="N65" s="29">
        <v>6</v>
      </c>
      <c r="O65" s="29" t="s">
        <v>444</v>
      </c>
      <c r="P65" s="29" t="str" cm="1">
        <f t="array" ref="P65">_xlfn.REGEXEXTRACT(B65,"(?&lt;=//)[^/]+")</f>
        <v>www.pornhits.com</v>
      </c>
      <c r="Q65" s="29" t="s">
        <v>695</v>
      </c>
      <c r="R65" s="29" t="s">
        <v>1769</v>
      </c>
      <c r="S65" s="29" t="str" cm="1">
        <f t="array" ref="S65">IF(R65&lt;&gt;"NotApplicable",_xlfn.REGEXEXTRACT(R65,"\d+(?=p)"),"NotApplicable")</f>
        <v>NotApplicable</v>
      </c>
      <c r="T65" s="29" t="s">
        <v>1769</v>
      </c>
      <c r="U65" s="29" t="b">
        <f>ISNUMBER(SEARCH(",",E65))</f>
        <v>0</v>
      </c>
    </row>
    <row r="66" spans="1:21" ht="30" x14ac:dyDescent="0.25">
      <c r="A66" s="29" t="str">
        <f>IF(ISBLANK(M66)=TRUE,"Pending","Done")</f>
        <v>Done</v>
      </c>
      <c r="B66" s="29" t="s">
        <v>441</v>
      </c>
      <c r="C66" s="29">
        <v>0</v>
      </c>
      <c r="D66" s="29" t="s">
        <v>867</v>
      </c>
      <c r="E66" s="29" t="s">
        <v>1768</v>
      </c>
      <c r="F66" s="29" t="s">
        <v>81</v>
      </c>
      <c r="G66" s="29" t="s">
        <v>1769</v>
      </c>
      <c r="H66" s="29" t="s">
        <v>1769</v>
      </c>
      <c r="I66" s="29" t="s">
        <v>1769</v>
      </c>
      <c r="J66" s="29" t="s">
        <v>1769</v>
      </c>
      <c r="K66" s="29" t="s">
        <v>536</v>
      </c>
      <c r="L66" s="29" t="s">
        <v>442</v>
      </c>
      <c r="M66" s="29" t="s">
        <v>65</v>
      </c>
      <c r="N66" s="29">
        <v>6</v>
      </c>
      <c r="O66" s="29" t="s">
        <v>443</v>
      </c>
      <c r="P66" s="29" t="str" cm="1">
        <f t="array" ref="P66">_xlfn.REGEXEXTRACT(B66,"(?&lt;=//)[^/]+")</f>
        <v>www.pornhits.com</v>
      </c>
      <c r="Q66" s="29" t="s">
        <v>695</v>
      </c>
      <c r="R66" s="29" t="s">
        <v>1769</v>
      </c>
      <c r="S66" s="29" t="str" cm="1">
        <f t="array" ref="S66">IF(R66&lt;&gt;"NotApplicable",_xlfn.REGEXEXTRACT(R66,"\d+(?=p)"),"NotApplicable")</f>
        <v>NotApplicable</v>
      </c>
      <c r="T66" s="29" t="s">
        <v>1769</v>
      </c>
      <c r="U66" s="29" t="b">
        <f>ISNUMBER(SEARCH(",",E66))</f>
        <v>0</v>
      </c>
    </row>
    <row r="67" spans="1:21" ht="30" x14ac:dyDescent="0.25">
      <c r="A67" s="29" t="str">
        <f>IF(ISBLANK(M67)=TRUE,"Pending","Done")</f>
        <v>Done</v>
      </c>
      <c r="B67" s="29" t="s">
        <v>257</v>
      </c>
      <c r="C67" s="29">
        <v>0</v>
      </c>
      <c r="D67" s="29" t="s">
        <v>858</v>
      </c>
      <c r="E67" s="29" t="s">
        <v>1768</v>
      </c>
      <c r="F67" s="29" t="s">
        <v>81</v>
      </c>
      <c r="G67" s="29" t="s">
        <v>1769</v>
      </c>
      <c r="H67" s="29" t="s">
        <v>1769</v>
      </c>
      <c r="I67" s="29" t="s">
        <v>1769</v>
      </c>
      <c r="J67" s="29" t="s">
        <v>1769</v>
      </c>
      <c r="K67" s="29" t="s">
        <v>535</v>
      </c>
      <c r="L67" s="29" t="s">
        <v>615</v>
      </c>
      <c r="M67" s="29" t="s">
        <v>65</v>
      </c>
      <c r="N67" s="29">
        <v>6</v>
      </c>
      <c r="O67" s="29" t="s">
        <v>258</v>
      </c>
      <c r="P67" s="29" t="str" cm="1">
        <f t="array" ref="P67">_xlfn.REGEXEXTRACT(B67,"(?&lt;=//)[^/]+")</f>
        <v>www.txxx.porn</v>
      </c>
      <c r="Q67" s="29" t="s">
        <v>695</v>
      </c>
      <c r="R67" s="29" t="s">
        <v>1769</v>
      </c>
      <c r="S67" s="29" t="str" cm="1">
        <f t="array" ref="S67">IF(R67&lt;&gt;"NotApplicable",_xlfn.REGEXEXTRACT(R67,"\d+(?=p)"),"NotApplicable")</f>
        <v>NotApplicable</v>
      </c>
      <c r="T67" s="29" t="s">
        <v>1769</v>
      </c>
      <c r="U67" s="29" t="b">
        <f>ISNUMBER(SEARCH(",",E67))</f>
        <v>0</v>
      </c>
    </row>
    <row r="68" spans="1:21" ht="30" x14ac:dyDescent="0.25">
      <c r="A68" s="29" t="str">
        <f>IF(ISBLANK(M68)=TRUE,"Pending","Done")</f>
        <v>Done</v>
      </c>
      <c r="B68" s="29" t="s">
        <v>661</v>
      </c>
      <c r="C68" s="29">
        <v>0</v>
      </c>
      <c r="D68" s="29" t="s">
        <v>1767</v>
      </c>
      <c r="E68" s="29" t="s">
        <v>1768</v>
      </c>
      <c r="F68" s="29" t="s">
        <v>81</v>
      </c>
      <c r="G68" s="29" t="s">
        <v>1769</v>
      </c>
      <c r="H68" s="29" t="s">
        <v>1769</v>
      </c>
      <c r="I68" s="29" t="s">
        <v>1769</v>
      </c>
      <c r="J68" s="29" t="s">
        <v>1769</v>
      </c>
      <c r="K68" s="29" t="s">
        <v>461</v>
      </c>
      <c r="L68" s="29" t="s">
        <v>388</v>
      </c>
      <c r="M68" s="29" t="s">
        <v>65</v>
      </c>
      <c r="N68" s="29">
        <v>6</v>
      </c>
      <c r="O68" s="29" t="s">
        <v>286</v>
      </c>
      <c r="P68" s="29" t="str" cm="1">
        <f t="array" ref="P68">_xlfn.REGEXEXTRACT(B68,"(?&lt;=//)[^/]+")</f>
        <v>beeg.com</v>
      </c>
      <c r="Q68" s="29" t="s">
        <v>695</v>
      </c>
      <c r="R68" s="29" t="s">
        <v>1769</v>
      </c>
      <c r="S68" s="29" t="str" cm="1">
        <f t="array" ref="S68">IF(R68&lt;&gt;"NotApplicable",_xlfn.REGEXEXTRACT(R68,"\d+(?=p)"),"NotApplicable")</f>
        <v>NotApplicable</v>
      </c>
      <c r="T68" s="29" t="s">
        <v>1769</v>
      </c>
      <c r="U68" s="29" t="b">
        <f>ISNUMBER(SEARCH(",",E68))</f>
        <v>0</v>
      </c>
    </row>
    <row r="69" spans="1:21" ht="30" x14ac:dyDescent="0.25">
      <c r="A69" s="29" t="str">
        <f>IF(ISBLANK(M69)=TRUE,"Pending","Done")</f>
        <v>Done</v>
      </c>
      <c r="B69" s="29" t="s">
        <v>274</v>
      </c>
      <c r="C69" s="29">
        <v>0</v>
      </c>
      <c r="D69" s="29" t="s">
        <v>1767</v>
      </c>
      <c r="E69" s="29" t="s">
        <v>1768</v>
      </c>
      <c r="F69" s="29" t="s">
        <v>81</v>
      </c>
      <c r="G69" s="29" t="s">
        <v>1769</v>
      </c>
      <c r="H69" s="29" t="s">
        <v>1769</v>
      </c>
      <c r="I69" s="29" t="s">
        <v>1769</v>
      </c>
      <c r="J69" s="29" t="s">
        <v>1769</v>
      </c>
      <c r="K69" s="29" t="s">
        <v>358</v>
      </c>
      <c r="L69" s="29" t="s">
        <v>619</v>
      </c>
      <c r="M69" s="29" t="s">
        <v>65</v>
      </c>
      <c r="N69" s="29">
        <v>6</v>
      </c>
      <c r="O69" s="29" t="s">
        <v>291</v>
      </c>
      <c r="P69" s="29" t="str" cm="1">
        <f t="array" ref="P69">_xlfn.REGEXEXTRACT(B69,"(?&lt;=//)[^/]+")</f>
        <v>www.fuq.com</v>
      </c>
      <c r="Q69" s="29" t="s">
        <v>695</v>
      </c>
      <c r="R69" s="29" t="s">
        <v>1769</v>
      </c>
      <c r="S69" s="29" t="str" cm="1">
        <f t="array" ref="S69">IF(R69&lt;&gt;"NotApplicable",_xlfn.REGEXEXTRACT(R69,"\d+(?=p)"),"NotApplicable")</f>
        <v>NotApplicable</v>
      </c>
      <c r="T69" s="29" t="s">
        <v>1769</v>
      </c>
      <c r="U69" s="29" t="b">
        <f>ISNUMBER(SEARCH(",",E69))</f>
        <v>0</v>
      </c>
    </row>
    <row r="70" spans="1:21" ht="30" x14ac:dyDescent="0.25">
      <c r="A70" s="29" t="str">
        <f>IF(ISBLANK(M70)=TRUE,"Pending","Done")</f>
        <v>Done</v>
      </c>
      <c r="B70" s="29" t="s">
        <v>272</v>
      </c>
      <c r="C70" s="29">
        <v>0</v>
      </c>
      <c r="D70" s="29" t="s">
        <v>1767</v>
      </c>
      <c r="E70" s="29" t="s">
        <v>1768</v>
      </c>
      <c r="F70" s="29" t="s">
        <v>81</v>
      </c>
      <c r="G70" s="29" t="s">
        <v>1769</v>
      </c>
      <c r="H70" s="29" t="s">
        <v>1769</v>
      </c>
      <c r="I70" s="29" t="s">
        <v>1769</v>
      </c>
      <c r="J70" s="29" t="s">
        <v>1769</v>
      </c>
      <c r="K70" s="29" t="s">
        <v>458</v>
      </c>
      <c r="L70" s="29" t="s">
        <v>713</v>
      </c>
      <c r="M70" s="29" t="s">
        <v>65</v>
      </c>
      <c r="N70" s="29">
        <v>6</v>
      </c>
      <c r="O70" s="29" t="s">
        <v>289</v>
      </c>
      <c r="P70" s="29" t="str" cm="1">
        <f t="array" ref="P70">_xlfn.REGEXEXTRACT(B70,"(?&lt;=//)[^/]+")</f>
        <v>www.fuq.com</v>
      </c>
      <c r="Q70" s="29" t="s">
        <v>695</v>
      </c>
      <c r="R70" s="29" t="s">
        <v>1769</v>
      </c>
      <c r="S70" s="29" t="str" cm="1">
        <f t="array" ref="S70">IF(R70&lt;&gt;"NotApplicable",_xlfn.REGEXEXTRACT(R70,"\d+(?=p)"),"NotApplicable")</f>
        <v>NotApplicable</v>
      </c>
      <c r="T70" s="29" t="s">
        <v>1769</v>
      </c>
      <c r="U70" s="29" t="b">
        <f>ISNUMBER(SEARCH(",",E70))</f>
        <v>0</v>
      </c>
    </row>
    <row r="71" spans="1:21" ht="30" x14ac:dyDescent="0.25">
      <c r="A71" s="29" t="str">
        <f>IF(ISBLANK(M71)=TRUE,"Pending","Done")</f>
        <v>Done</v>
      </c>
      <c r="B71" s="29" t="s">
        <v>662</v>
      </c>
      <c r="C71" s="29">
        <v>0</v>
      </c>
      <c r="D71" s="29" t="s">
        <v>1767</v>
      </c>
      <c r="E71" s="29" t="s">
        <v>1768</v>
      </c>
      <c r="F71" s="29" t="s">
        <v>81</v>
      </c>
      <c r="G71" s="29" t="s">
        <v>1769</v>
      </c>
      <c r="H71" s="29" t="s">
        <v>1769</v>
      </c>
      <c r="I71" s="29" t="s">
        <v>1769</v>
      </c>
      <c r="J71" s="29" t="s">
        <v>1769</v>
      </c>
      <c r="K71" s="29" t="s">
        <v>537</v>
      </c>
      <c r="L71" s="29" t="s">
        <v>389</v>
      </c>
      <c r="M71" s="29" t="s">
        <v>65</v>
      </c>
      <c r="N71" s="29">
        <v>6</v>
      </c>
      <c r="O71" s="29" t="s">
        <v>466</v>
      </c>
      <c r="P71" s="29" t="str" cm="1">
        <f t="array" ref="P71">_xlfn.REGEXEXTRACT(B71,"(?&lt;=//)[^/]+")</f>
        <v>www.fuq.com</v>
      </c>
      <c r="Q71" s="29" t="s">
        <v>695</v>
      </c>
      <c r="R71" s="29" t="s">
        <v>1769</v>
      </c>
      <c r="S71" s="29" t="str" cm="1">
        <f t="array" ref="S71">IF(R71&lt;&gt;"NotApplicable",_xlfn.REGEXEXTRACT(R71,"\d+(?=p)"),"NotApplicable")</f>
        <v>NotApplicable</v>
      </c>
      <c r="T71" s="29" t="s">
        <v>1769</v>
      </c>
      <c r="U71" s="29" t="b">
        <f>ISNUMBER(SEARCH(",",E71))</f>
        <v>0</v>
      </c>
    </row>
    <row r="72" spans="1:21" x14ac:dyDescent="0.25">
      <c r="A72" s="29" t="str">
        <f>IF(ISBLANK(M72)=TRUE,"Pending","Done")</f>
        <v>Done</v>
      </c>
      <c r="B72" s="29" t="s">
        <v>317</v>
      </c>
      <c r="C72" s="29">
        <v>0</v>
      </c>
      <c r="D72" s="29" t="s">
        <v>1767</v>
      </c>
      <c r="E72" s="29" t="s">
        <v>1768</v>
      </c>
      <c r="F72" s="29" t="s">
        <v>81</v>
      </c>
      <c r="G72" s="29" t="s">
        <v>1769</v>
      </c>
      <c r="H72" s="29" t="s">
        <v>1769</v>
      </c>
      <c r="I72" s="29" t="s">
        <v>1769</v>
      </c>
      <c r="J72" s="29" t="s">
        <v>1769</v>
      </c>
      <c r="K72" s="29" t="s">
        <v>1762</v>
      </c>
      <c r="L72" s="29" t="s">
        <v>606</v>
      </c>
      <c r="M72" s="29" t="s">
        <v>65</v>
      </c>
      <c r="N72" s="29">
        <v>6</v>
      </c>
      <c r="O72" s="29" t="s">
        <v>426</v>
      </c>
      <c r="P72" s="29" t="str" cm="1">
        <f t="array" ref="P72">_xlfn.REGEXEXTRACT(B72,"(?&lt;=//)[^/]+")</f>
        <v>www.tubebdsm.com</v>
      </c>
      <c r="Q72" s="29" t="s">
        <v>695</v>
      </c>
      <c r="R72" s="29" t="s">
        <v>1769</v>
      </c>
      <c r="S72" s="29" t="str" cm="1">
        <f t="array" ref="S72">IF(R72&lt;&gt;"NotApplicable",_xlfn.REGEXEXTRACT(R72,"\d+(?=p)"),"NotApplicable")</f>
        <v>NotApplicable</v>
      </c>
      <c r="T72" s="29" t="s">
        <v>1769</v>
      </c>
      <c r="U72" s="29" t="b">
        <f>ISNUMBER(SEARCH(",",E72))</f>
        <v>0</v>
      </c>
    </row>
    <row r="73" spans="1:21" ht="30" x14ac:dyDescent="0.25">
      <c r="A73" s="29" t="str">
        <f>IF(ISBLANK(M73)=TRUE,"Pending","Done")</f>
        <v>Done</v>
      </c>
      <c r="B73" s="29" t="s">
        <v>2324</v>
      </c>
      <c r="C73" s="29">
        <v>50</v>
      </c>
      <c r="D73" s="29" t="s">
        <v>858</v>
      </c>
      <c r="E73" s="29" t="s">
        <v>351</v>
      </c>
      <c r="F73" s="29" t="s">
        <v>81</v>
      </c>
      <c r="G73" s="29" t="s">
        <v>2323</v>
      </c>
      <c r="H73" s="29" t="s">
        <v>2323</v>
      </c>
      <c r="I73" s="29" t="s">
        <v>1769</v>
      </c>
      <c r="J73" s="29" t="s">
        <v>1769</v>
      </c>
      <c r="K73" s="29" t="s">
        <v>1700</v>
      </c>
      <c r="L73" s="29" t="s">
        <v>635</v>
      </c>
      <c r="M73" s="29" t="s">
        <v>65</v>
      </c>
      <c r="N73" s="29">
        <v>6</v>
      </c>
      <c r="O73" s="29" t="s">
        <v>2325</v>
      </c>
      <c r="P73" s="29" t="str" cm="1">
        <f t="array" ref="P73">_xlfn.REGEXEXTRACT(B73,"(?&lt;=//)[^/]+")</f>
        <v>bdsmstreak.com</v>
      </c>
      <c r="Q73" s="29" t="s">
        <v>695</v>
      </c>
      <c r="R73" s="29" t="s">
        <v>1769</v>
      </c>
      <c r="S73" s="29" t="str" cm="1">
        <f t="array" ref="S73">IF(R73&lt;&gt;"NotApplicable",_xlfn.REGEXEXTRACT(R73,"\d+(?=p)"),"NotApplicable")</f>
        <v>NotApplicable</v>
      </c>
      <c r="T73" s="29" t="s">
        <v>1769</v>
      </c>
      <c r="U73" s="29" t="b">
        <f>ISNUMBER(SEARCH(",",E73))</f>
        <v>1</v>
      </c>
    </row>
    <row r="74" spans="1:21" ht="30" x14ac:dyDescent="0.25">
      <c r="A74" s="29" t="str">
        <f>IF(ISBLANK(M74)=TRUE,"Pending","Done")</f>
        <v>Done</v>
      </c>
      <c r="B74" s="29" t="s">
        <v>14</v>
      </c>
      <c r="C74" s="29">
        <v>53</v>
      </c>
      <c r="D74" s="29" t="s">
        <v>1766</v>
      </c>
      <c r="E74" s="29" t="s">
        <v>2313</v>
      </c>
      <c r="F74" s="29" t="s">
        <v>71</v>
      </c>
      <c r="G74" s="29" t="s">
        <v>2314</v>
      </c>
      <c r="H74" s="29" t="s">
        <v>2312</v>
      </c>
      <c r="I74" s="29" t="s">
        <v>1769</v>
      </c>
      <c r="J74" s="29" t="s">
        <v>1769</v>
      </c>
      <c r="K74" s="29" t="s">
        <v>1749</v>
      </c>
      <c r="L74" s="29" t="s">
        <v>594</v>
      </c>
      <c r="M74" s="29" t="s">
        <v>65</v>
      </c>
      <c r="N74" s="29">
        <v>6</v>
      </c>
      <c r="O74" s="29" t="s">
        <v>100</v>
      </c>
      <c r="P74" s="29" t="str" cm="1">
        <f t="array" ref="P74">_xlfn.REGEXEXTRACT(B74,"(?&lt;=//)[^/]+")</f>
        <v>bdsmstreak.com</v>
      </c>
      <c r="Q74" s="29" t="s">
        <v>695</v>
      </c>
      <c r="R74" s="29" t="s">
        <v>1769</v>
      </c>
      <c r="S74" s="29" t="str" cm="1">
        <f t="array" ref="S74">IF(R74&lt;&gt;"NotApplicable",_xlfn.REGEXEXTRACT(R74,"\d+(?=p)"),"NotApplicable")</f>
        <v>NotApplicable</v>
      </c>
      <c r="T74" s="29" t="s">
        <v>1769</v>
      </c>
      <c r="U74" s="29" t="b">
        <f>ISNUMBER(SEARCH(",",E74))</f>
        <v>1</v>
      </c>
    </row>
    <row r="75" spans="1:21" ht="45" x14ac:dyDescent="0.25">
      <c r="A75" s="29" t="str">
        <f>IF(ISBLANK(M75)=TRUE,"Pending","Done")</f>
        <v>Done</v>
      </c>
      <c r="B75" s="29" t="s">
        <v>10</v>
      </c>
      <c r="C75" s="29">
        <v>56</v>
      </c>
      <c r="D75" s="29" t="s">
        <v>868</v>
      </c>
      <c r="E75" s="29" t="s">
        <v>223</v>
      </c>
      <c r="F75" s="29" t="s">
        <v>71</v>
      </c>
      <c r="G75" s="29" t="s">
        <v>2158</v>
      </c>
      <c r="H75" s="29" t="s">
        <v>2311</v>
      </c>
      <c r="I75" s="29" t="s">
        <v>1769</v>
      </c>
      <c r="J75" s="29" t="s">
        <v>1769</v>
      </c>
      <c r="K75" s="29" t="s">
        <v>583</v>
      </c>
      <c r="L75" s="29" t="s">
        <v>379</v>
      </c>
      <c r="M75" s="29" t="s">
        <v>65</v>
      </c>
      <c r="N75" s="29">
        <v>6</v>
      </c>
      <c r="O75" s="29" t="s">
        <v>541</v>
      </c>
      <c r="P75" s="29" t="str" cm="1">
        <f t="array" ref="P75">_xlfn.REGEXEXTRACT(B75,"(?&lt;=//)[^/]+")</f>
        <v>heavyfetish.com</v>
      </c>
      <c r="Q75" s="29" t="s">
        <v>695</v>
      </c>
      <c r="R75" s="29" t="s">
        <v>1769</v>
      </c>
      <c r="S75" s="29" t="str" cm="1">
        <f t="array" ref="S75">IF(R75&lt;&gt;"NotApplicable",_xlfn.REGEXEXTRACT(R75,"\d+(?=p)"),"NotApplicable")</f>
        <v>NotApplicable</v>
      </c>
      <c r="T75" s="29" t="s">
        <v>1769</v>
      </c>
      <c r="U75" s="29" t="b">
        <f>ISNUMBER(SEARCH(",",E75))</f>
        <v>0</v>
      </c>
    </row>
    <row r="76" spans="1:21" ht="30" x14ac:dyDescent="0.25">
      <c r="A76" s="29" t="str">
        <f>IF(ISBLANK(M76)=TRUE,"Pending","Done")</f>
        <v>Done</v>
      </c>
      <c r="B76" s="29" t="s">
        <v>1970</v>
      </c>
      <c r="C76" s="29">
        <v>70</v>
      </c>
      <c r="D76" s="29" t="s">
        <v>1465</v>
      </c>
      <c r="E76" s="29" t="s">
        <v>1971</v>
      </c>
      <c r="F76" s="29" t="s">
        <v>71</v>
      </c>
      <c r="G76" s="29" t="s">
        <v>2161</v>
      </c>
      <c r="H76" s="29" t="s">
        <v>2161</v>
      </c>
      <c r="I76" s="29">
        <v>9</v>
      </c>
      <c r="J76" s="29" t="s">
        <v>1972</v>
      </c>
      <c r="K76" s="29" t="s">
        <v>2164</v>
      </c>
      <c r="L76" s="29" t="s">
        <v>2163</v>
      </c>
      <c r="M76" s="29" t="s">
        <v>65</v>
      </c>
      <c r="N76" s="29">
        <v>6</v>
      </c>
      <c r="O76" s="29" t="s">
        <v>2162</v>
      </c>
      <c r="P76" s="29" t="str" cm="1">
        <f t="array" ref="P76">_xlfn.REGEXEXTRACT(B76,"(?&lt;=//)[^/]+")</f>
        <v>bdsmstreak.com</v>
      </c>
      <c r="Q76" s="29" t="s">
        <v>695</v>
      </c>
      <c r="R76" s="29" t="s">
        <v>1769</v>
      </c>
      <c r="S76" s="29" t="str" cm="1">
        <f t="array" ref="S76">IF(R76&lt;&gt;"NotApplicable",_xlfn.REGEXEXTRACT(R76,"\d+(?=p)"),"NotApplicable")</f>
        <v>NotApplicable</v>
      </c>
      <c r="T76" s="29" t="s">
        <v>1769</v>
      </c>
      <c r="U76" s="29" t="b">
        <f>ISNUMBER(SEARCH(",",E76))</f>
        <v>1</v>
      </c>
    </row>
    <row r="77" spans="1:21" ht="45" x14ac:dyDescent="0.25">
      <c r="A77" s="29" t="str">
        <f>IF(ISBLANK(M77)=TRUE,"Pending","Done")</f>
        <v>Done</v>
      </c>
      <c r="B77" s="29" t="s">
        <v>2363</v>
      </c>
      <c r="C77" s="29">
        <v>33</v>
      </c>
      <c r="D77" s="29" t="s">
        <v>1766</v>
      </c>
      <c r="E77" s="29" t="s">
        <v>2360</v>
      </c>
      <c r="F77" s="29" t="s">
        <v>71</v>
      </c>
      <c r="G77" s="29" t="s">
        <v>2362</v>
      </c>
      <c r="H77" s="29" t="s">
        <v>2362</v>
      </c>
      <c r="I77" s="29" t="s">
        <v>1769</v>
      </c>
      <c r="J77" s="29" t="s">
        <v>1769</v>
      </c>
      <c r="K77" s="29" t="s">
        <v>2361</v>
      </c>
      <c r="L77" s="29" t="s">
        <v>668</v>
      </c>
      <c r="M77" s="29" t="s">
        <v>65</v>
      </c>
      <c r="N77" s="29">
        <v>6</v>
      </c>
      <c r="O77" s="29" t="s">
        <v>824</v>
      </c>
      <c r="P77" s="29" t="str" cm="1">
        <f t="array" ref="P77">_xlfn.REGEXEXTRACT(B77,"(?&lt;=//)[^/]+")</f>
        <v>ok.porn</v>
      </c>
      <c r="Q77" s="29" t="s">
        <v>695</v>
      </c>
      <c r="R77" s="29" t="s">
        <v>1769</v>
      </c>
      <c r="S77" s="29" t="str" cm="1">
        <f t="array" ref="S77">IF(R77&lt;&gt;"NotApplicable",_xlfn.REGEXEXTRACT(R77,"\d+(?=p)"),"NotApplicable")</f>
        <v>NotApplicable</v>
      </c>
      <c r="T77" s="29" t="s">
        <v>1769</v>
      </c>
      <c r="U77" s="29" t="b">
        <f>ISNUMBER(SEARCH(",",E77))</f>
        <v>1</v>
      </c>
    </row>
    <row r="78" spans="1:21" ht="45" x14ac:dyDescent="0.25">
      <c r="A78" s="29" t="str">
        <f>IF(ISBLANK(M78)=TRUE,"Pending","Done")</f>
        <v>Done</v>
      </c>
      <c r="B78" s="29" t="s">
        <v>8</v>
      </c>
      <c r="C78" s="29">
        <v>57</v>
      </c>
      <c r="D78" s="29" t="s">
        <v>863</v>
      </c>
      <c r="E78" s="29" t="s">
        <v>2309</v>
      </c>
      <c r="F78" s="29" t="s">
        <v>71</v>
      </c>
      <c r="G78" s="29" t="s">
        <v>2308</v>
      </c>
      <c r="H78" s="29" t="s">
        <v>2307</v>
      </c>
      <c r="I78" s="29" t="s">
        <v>1769</v>
      </c>
      <c r="J78" s="29" t="s">
        <v>1769</v>
      </c>
      <c r="K78" s="29" t="s">
        <v>534</v>
      </c>
      <c r="L78" s="29" t="s">
        <v>624</v>
      </c>
      <c r="M78" s="29" t="s">
        <v>65</v>
      </c>
      <c r="N78" s="29">
        <v>6</v>
      </c>
      <c r="O78" s="29" t="s">
        <v>2310</v>
      </c>
      <c r="P78" s="29" t="str" cm="1">
        <f t="array" ref="P78">_xlfn.REGEXEXTRACT(B78,"(?&lt;=//)[^/]+")</f>
        <v>heavyfetish.com</v>
      </c>
      <c r="Q78" s="29" t="s">
        <v>695</v>
      </c>
      <c r="R78" s="29" t="s">
        <v>1769</v>
      </c>
      <c r="S78" s="29" t="str" cm="1">
        <f t="array" ref="S78">IF(R78&lt;&gt;"NotApplicable",_xlfn.REGEXEXTRACT(R78,"\d+(?=p)"),"NotApplicable")</f>
        <v>NotApplicable</v>
      </c>
      <c r="T78" s="29" t="s">
        <v>1769</v>
      </c>
      <c r="U78" s="29" t="b">
        <f>ISNUMBER(SEARCH(",",E78))</f>
        <v>1</v>
      </c>
    </row>
    <row r="79" spans="1:21" x14ac:dyDescent="0.25">
      <c r="A79" s="29" t="str">
        <f>IF(ISBLANK(M79)=TRUE,"Pending","Done")</f>
        <v>Done</v>
      </c>
      <c r="B79" s="29" t="s">
        <v>141</v>
      </c>
      <c r="C79" s="29">
        <v>23</v>
      </c>
      <c r="D79" s="29" t="s">
        <v>93</v>
      </c>
      <c r="E79" s="29" t="s">
        <v>349</v>
      </c>
      <c r="F79" s="29" t="s">
        <v>71</v>
      </c>
      <c r="G79" s="29" t="s">
        <v>2364</v>
      </c>
      <c r="H79" s="29" t="s">
        <v>2364</v>
      </c>
      <c r="I79" s="29" t="s">
        <v>1769</v>
      </c>
      <c r="J79" s="29" t="s">
        <v>1769</v>
      </c>
      <c r="K79" s="29" t="s">
        <v>1732</v>
      </c>
      <c r="L79" s="29" t="s">
        <v>79</v>
      </c>
      <c r="M79" s="29" t="s">
        <v>65</v>
      </c>
      <c r="N79" s="29">
        <v>6</v>
      </c>
      <c r="O79" s="29" t="s">
        <v>154</v>
      </c>
      <c r="P79" s="29" t="str" cm="1">
        <f t="array" ref="P79">_xlfn.REGEXEXTRACT(B79,"(?&lt;=//)[^/]+")</f>
        <v>heavyfetish.com</v>
      </c>
      <c r="Q79" s="29" t="s">
        <v>695</v>
      </c>
      <c r="R79" s="29" t="s">
        <v>1769</v>
      </c>
      <c r="S79" s="29" t="str" cm="1">
        <f t="array" ref="S79">IF(R79&lt;&gt;"NotApplicable",_xlfn.REGEXEXTRACT(R79,"\d+(?=p)"),"NotApplicable")</f>
        <v>NotApplicable</v>
      </c>
      <c r="T79" s="29" t="s">
        <v>1769</v>
      </c>
      <c r="U79" s="29" t="b">
        <f>ISNUMBER(SEARCH(",",E79))</f>
        <v>1</v>
      </c>
    </row>
    <row r="80" spans="1:21" ht="30" x14ac:dyDescent="0.25">
      <c r="A80" s="29" t="str">
        <f>IF(ISBLANK(M80)=TRUE,"Pending","Done")</f>
        <v>Done</v>
      </c>
      <c r="B80" s="29" t="s">
        <v>1560</v>
      </c>
      <c r="C80" s="29">
        <v>19</v>
      </c>
      <c r="D80" s="29" t="s">
        <v>868</v>
      </c>
      <c r="E80" s="29" t="s">
        <v>228</v>
      </c>
      <c r="F80" s="29" t="s">
        <v>70</v>
      </c>
      <c r="G80" s="29" t="s">
        <v>2193</v>
      </c>
      <c r="H80" s="29" t="s">
        <v>2193</v>
      </c>
      <c r="I80" s="29" t="s">
        <v>1769</v>
      </c>
      <c r="J80" s="29" t="s">
        <v>1769</v>
      </c>
      <c r="K80" s="29" t="s">
        <v>2194</v>
      </c>
      <c r="L80" s="29" t="s">
        <v>1672</v>
      </c>
      <c r="M80" s="29" t="s">
        <v>65</v>
      </c>
      <c r="N80" s="29">
        <v>6</v>
      </c>
      <c r="O80" s="29" t="s">
        <v>2195</v>
      </c>
      <c r="P80" s="29" t="str" cm="1">
        <f t="array" ref="P80">_xlfn.REGEXEXTRACT(B80,"(?&lt;=//)[^/]+")</f>
        <v>hcbdsm.com</v>
      </c>
      <c r="Q80" s="29" t="s">
        <v>695</v>
      </c>
      <c r="R80" s="29" t="s">
        <v>1769</v>
      </c>
      <c r="S80" s="29" t="str" cm="1">
        <f t="array" ref="S80">IF(R80&lt;&gt;"NotApplicable",_xlfn.REGEXEXTRACT(R80,"\d+(?=p)"),"NotApplicable")</f>
        <v>NotApplicable</v>
      </c>
      <c r="T80" s="29" t="s">
        <v>1769</v>
      </c>
      <c r="U80" s="29" t="b">
        <f>ISNUMBER(SEARCH(",",E80))</f>
        <v>0</v>
      </c>
    </row>
    <row r="81" spans="1:21" ht="45" x14ac:dyDescent="0.25">
      <c r="A81" s="29" t="str">
        <f>IF(ISBLANK(M81)=TRUE,"Pending","Done")</f>
        <v>Done</v>
      </c>
      <c r="B81" s="29" t="s">
        <v>2371</v>
      </c>
      <c r="C81" s="29">
        <v>10</v>
      </c>
      <c r="D81" s="29" t="s">
        <v>1766</v>
      </c>
      <c r="E81" s="29" t="s">
        <v>2369</v>
      </c>
      <c r="F81" s="29" t="s">
        <v>70</v>
      </c>
      <c r="G81" s="29" t="s">
        <v>2370</v>
      </c>
      <c r="H81" s="29" t="s">
        <v>2368</v>
      </c>
      <c r="I81" s="29" t="s">
        <v>1769</v>
      </c>
      <c r="J81" s="29" t="s">
        <v>1769</v>
      </c>
      <c r="K81" s="29" t="s">
        <v>473</v>
      </c>
      <c r="L81" s="29" t="s">
        <v>428</v>
      </c>
      <c r="M81" s="29" t="s">
        <v>65</v>
      </c>
      <c r="N81" s="29">
        <v>6</v>
      </c>
      <c r="O81" s="29" t="s">
        <v>479</v>
      </c>
      <c r="P81" s="29" t="str" cm="1">
        <f t="array" ref="P81">_xlfn.REGEXEXTRACT(B81,"(?&lt;=//)[^/]+")</f>
        <v>www.xvideos2.com</v>
      </c>
      <c r="Q81" s="29" t="s">
        <v>695</v>
      </c>
      <c r="R81" s="29" t="s">
        <v>1769</v>
      </c>
      <c r="S81" s="29" t="str" cm="1">
        <f t="array" ref="S81">IF(R81&lt;&gt;"NotApplicable",_xlfn.REGEXEXTRACT(R81,"\d+(?=p)"),"NotApplicable")</f>
        <v>NotApplicable</v>
      </c>
      <c r="T81" s="29" t="s">
        <v>1769</v>
      </c>
      <c r="U81" s="29" t="b">
        <f>ISNUMBER(SEARCH(",",E81))</f>
        <v>0</v>
      </c>
    </row>
    <row r="82" spans="1:21" ht="60" x14ac:dyDescent="0.25">
      <c r="A82" s="29" t="str">
        <f>IF(ISBLANK(M82)=TRUE,"Pending","Done")</f>
        <v>Done</v>
      </c>
      <c r="B82" s="29" t="s">
        <v>2316</v>
      </c>
      <c r="C82" s="29">
        <v>53</v>
      </c>
      <c r="D82" s="29" t="s">
        <v>868</v>
      </c>
      <c r="E82" s="29" t="s">
        <v>2317</v>
      </c>
      <c r="F82" s="29" t="s">
        <v>70</v>
      </c>
      <c r="G82" s="29" t="s">
        <v>2315</v>
      </c>
      <c r="H82" s="29" t="s">
        <v>2319</v>
      </c>
      <c r="I82" s="29" t="s">
        <v>1769</v>
      </c>
      <c r="J82" s="29" t="s">
        <v>1769</v>
      </c>
      <c r="K82" s="29" t="s">
        <v>569</v>
      </c>
      <c r="L82" s="29" t="s">
        <v>380</v>
      </c>
      <c r="M82" s="29" t="s">
        <v>65</v>
      </c>
      <c r="N82" s="29">
        <v>6</v>
      </c>
      <c r="O82" s="29" t="s">
        <v>2318</v>
      </c>
      <c r="P82" s="29" t="str" cm="1">
        <f t="array" ref="P82">_xlfn.REGEXEXTRACT(B82,"(?&lt;=//)[^/]+")</f>
        <v>bdsmmansion.com</v>
      </c>
      <c r="Q82" s="29" t="s">
        <v>695</v>
      </c>
      <c r="R82" s="29" t="s">
        <v>1769</v>
      </c>
      <c r="S82" s="29" t="str" cm="1">
        <f t="array" ref="S82">IF(R82&lt;&gt;"NotApplicable",_xlfn.REGEXEXTRACT(R82,"\d+(?=p)"),"NotApplicable")</f>
        <v>NotApplicable</v>
      </c>
      <c r="T82" s="29" t="s">
        <v>1769</v>
      </c>
      <c r="U82" s="29" t="b">
        <f>ISNUMBER(SEARCH(",",E82))</f>
        <v>1</v>
      </c>
    </row>
    <row r="83" spans="1:21" ht="30" x14ac:dyDescent="0.25">
      <c r="A83" s="29" t="str">
        <f>IF(ISBLANK(M83)=TRUE,"Pending","Done")</f>
        <v>Done</v>
      </c>
      <c r="B83" s="29" t="s">
        <v>789</v>
      </c>
      <c r="C83" s="29">
        <v>12</v>
      </c>
      <c r="D83" s="29" t="s">
        <v>1766</v>
      </c>
      <c r="E83" s="29" t="s">
        <v>787</v>
      </c>
      <c r="F83" s="29" t="s">
        <v>70</v>
      </c>
      <c r="G83" s="29" t="s">
        <v>1769</v>
      </c>
      <c r="H83" s="29" t="s">
        <v>2367</v>
      </c>
      <c r="I83" s="29" t="s">
        <v>1769</v>
      </c>
      <c r="J83" s="29" t="s">
        <v>1769</v>
      </c>
      <c r="K83" s="29" t="s">
        <v>796</v>
      </c>
      <c r="L83" s="29" t="s">
        <v>714</v>
      </c>
      <c r="M83" s="29" t="s">
        <v>65</v>
      </c>
      <c r="N83" s="29">
        <v>6</v>
      </c>
      <c r="O83" s="29" t="s">
        <v>797</v>
      </c>
      <c r="P83" s="29" t="str" cm="1">
        <f t="array" ref="P83">_xlfn.REGEXEXTRACT(B83,"(?&lt;=//)[^/]+")</f>
        <v>www.eporner.com</v>
      </c>
      <c r="Q83" s="29" t="s">
        <v>695</v>
      </c>
      <c r="R83" s="29" t="s">
        <v>1769</v>
      </c>
      <c r="S83" s="29" t="str" cm="1">
        <f t="array" ref="S83">IF(R83&lt;&gt;"NotApplicable",_xlfn.REGEXEXTRACT(R83,"\d+(?=p)"),"NotApplicable")</f>
        <v>NotApplicable</v>
      </c>
      <c r="T83" s="29" t="s">
        <v>1769</v>
      </c>
      <c r="U83" s="29" t="b">
        <f>ISNUMBER(SEARCH(",",E83))</f>
        <v>0</v>
      </c>
    </row>
    <row r="84" spans="1:21" ht="30" x14ac:dyDescent="0.25">
      <c r="A84" s="29" t="str">
        <f>IF(ISBLANK(M84)=TRUE,"Pending","Done")</f>
        <v>Done</v>
      </c>
      <c r="B84" s="29" t="s">
        <v>4</v>
      </c>
      <c r="C84" s="29">
        <v>48</v>
      </c>
      <c r="D84" s="29" t="s">
        <v>149</v>
      </c>
      <c r="E84" s="29" t="s">
        <v>212</v>
      </c>
      <c r="F84" s="29" t="s">
        <v>70</v>
      </c>
      <c r="G84" s="29" t="s">
        <v>2329</v>
      </c>
      <c r="H84" s="29" t="s">
        <v>2328</v>
      </c>
      <c r="I84" s="29" t="s">
        <v>1769</v>
      </c>
      <c r="J84" s="29" t="s">
        <v>1769</v>
      </c>
      <c r="K84" s="29" t="s">
        <v>497</v>
      </c>
      <c r="L84" s="29" t="s">
        <v>382</v>
      </c>
      <c r="M84" s="29" t="s">
        <v>65</v>
      </c>
      <c r="N84" s="29">
        <v>6</v>
      </c>
      <c r="O84" s="29" t="s">
        <v>563</v>
      </c>
      <c r="P84" s="29" t="str" cm="1">
        <f t="array" ref="P84">_xlfn.REGEXEXTRACT(B84,"(?&lt;=//)[^/]+")</f>
        <v>heavyfetish.com</v>
      </c>
      <c r="Q84" s="29" t="s">
        <v>695</v>
      </c>
      <c r="R84" s="29" t="s">
        <v>1769</v>
      </c>
      <c r="S84" s="29" t="str" cm="1">
        <f t="array" ref="S84">IF(R84&lt;&gt;"NotApplicable",_xlfn.REGEXEXTRACT(R84,"\d+(?=p)"),"NotApplicable")</f>
        <v>NotApplicable</v>
      </c>
      <c r="T84" s="29" t="s">
        <v>1769</v>
      </c>
      <c r="U84" s="29" t="b">
        <f>ISNUMBER(SEARCH(",",E84))</f>
        <v>0</v>
      </c>
    </row>
    <row r="85" spans="1:21" ht="30" x14ac:dyDescent="0.25">
      <c r="A85" s="29" t="str">
        <f>IF(ISBLANK(M85)=TRUE,"Pending","Done")</f>
        <v>Done</v>
      </c>
      <c r="B85" s="29" t="s">
        <v>34</v>
      </c>
      <c r="C85" s="29">
        <v>44</v>
      </c>
      <c r="D85" s="29" t="s">
        <v>2348</v>
      </c>
      <c r="E85" s="29" t="s">
        <v>188</v>
      </c>
      <c r="F85" s="29" t="s">
        <v>70</v>
      </c>
      <c r="G85" s="29" t="s">
        <v>2337</v>
      </c>
      <c r="H85" s="29" t="s">
        <v>2336</v>
      </c>
      <c r="I85" s="29" t="s">
        <v>1769</v>
      </c>
      <c r="J85" s="29" t="s">
        <v>1769</v>
      </c>
      <c r="K85" s="29" t="s">
        <v>539</v>
      </c>
      <c r="L85" s="29" t="s">
        <v>638</v>
      </c>
      <c r="M85" s="29" t="s">
        <v>65</v>
      </c>
      <c r="N85" s="29">
        <v>6</v>
      </c>
      <c r="O85" s="29" t="s">
        <v>189</v>
      </c>
      <c r="P85" s="29" t="str" cm="1">
        <f t="array" ref="P85">_xlfn.REGEXEXTRACT(B85,"(?&lt;=//)[^/]+")</f>
        <v>heavyfetish.com</v>
      </c>
      <c r="Q85" s="29" t="s">
        <v>695</v>
      </c>
      <c r="R85" s="29" t="s">
        <v>1769</v>
      </c>
      <c r="S85" s="29" t="str" cm="1">
        <f t="array" ref="S85">IF(R85&lt;&gt;"NotApplicable",_xlfn.REGEXEXTRACT(R85,"\d+(?=p)"),"NotApplicable")</f>
        <v>NotApplicable</v>
      </c>
      <c r="T85" s="29" t="s">
        <v>1769</v>
      </c>
      <c r="U85" s="29" t="b">
        <f>ISNUMBER(SEARCH(",",E85))</f>
        <v>0</v>
      </c>
    </row>
    <row r="86" spans="1:21" ht="45" x14ac:dyDescent="0.25">
      <c r="A86" s="29" t="str">
        <f>IF(ISBLANK(M86)=TRUE,"Pending","Done")</f>
        <v>Done</v>
      </c>
      <c r="B86" s="29" t="s">
        <v>24</v>
      </c>
      <c r="C86" s="29">
        <v>66</v>
      </c>
      <c r="D86" s="29" t="s">
        <v>864</v>
      </c>
      <c r="E86" s="29" t="s">
        <v>242</v>
      </c>
      <c r="F86" s="29" t="s">
        <v>70</v>
      </c>
      <c r="G86" s="29" t="s">
        <v>2301</v>
      </c>
      <c r="H86" s="29" t="s">
        <v>2300</v>
      </c>
      <c r="I86" s="29" t="s">
        <v>1769</v>
      </c>
      <c r="J86" s="29" t="s">
        <v>1769</v>
      </c>
      <c r="K86" s="29" t="s">
        <v>565</v>
      </c>
      <c r="L86" s="29" t="s">
        <v>378</v>
      </c>
      <c r="M86" s="29" t="s">
        <v>65</v>
      </c>
      <c r="N86" s="29">
        <v>6</v>
      </c>
      <c r="O86" s="29" t="s">
        <v>567</v>
      </c>
      <c r="P86" s="29" t="str" cm="1">
        <f t="array" ref="P86">_xlfn.REGEXEXTRACT(B86,"(?&lt;=//)[^/]+")</f>
        <v>heavyfetish.com</v>
      </c>
      <c r="Q86" s="29" t="s">
        <v>695</v>
      </c>
      <c r="R86" s="29" t="s">
        <v>1769</v>
      </c>
      <c r="S86" s="29" t="str" cm="1">
        <f t="array" ref="S86">IF(R86&lt;&gt;"NotApplicable",_xlfn.REGEXEXTRACT(R86,"\d+(?=p)"),"NotApplicable")</f>
        <v>NotApplicable</v>
      </c>
      <c r="T86" s="29" t="s">
        <v>1769</v>
      </c>
      <c r="U86" s="29" t="b">
        <f>ISNUMBER(SEARCH(",",E86))</f>
        <v>0</v>
      </c>
    </row>
    <row r="87" spans="1:21" ht="30" x14ac:dyDescent="0.25">
      <c r="A87" s="29" t="str">
        <f>IF(ISBLANK(M87)=TRUE,"Pending","Done")</f>
        <v>Done</v>
      </c>
      <c r="B87" s="29" t="s">
        <v>2342</v>
      </c>
      <c r="C87" s="29">
        <v>39</v>
      </c>
      <c r="D87" s="29" t="s">
        <v>97</v>
      </c>
      <c r="E87" s="29" t="s">
        <v>179</v>
      </c>
      <c r="F87" s="29" t="s">
        <v>70</v>
      </c>
      <c r="G87" s="29" t="s">
        <v>2341</v>
      </c>
      <c r="H87" s="29" t="s">
        <v>2340</v>
      </c>
      <c r="I87" s="29" t="s">
        <v>1769</v>
      </c>
      <c r="J87" s="29" t="s">
        <v>1769</v>
      </c>
      <c r="K87" s="29" t="s">
        <v>529</v>
      </c>
      <c r="L87" s="29" t="s">
        <v>386</v>
      </c>
      <c r="M87" s="29" t="s">
        <v>65</v>
      </c>
      <c r="N87" s="29">
        <v>6</v>
      </c>
      <c r="O87" s="29" t="s">
        <v>180</v>
      </c>
      <c r="P87" s="29" t="str" cm="1">
        <f t="array" ref="P87">_xlfn.REGEXEXTRACT(B87,"(?&lt;=//)[^/]+")</f>
        <v>bdsmstreak.com</v>
      </c>
      <c r="Q87" s="29" t="s">
        <v>695</v>
      </c>
      <c r="R87" s="29" t="s">
        <v>1769</v>
      </c>
      <c r="S87" s="29" t="str" cm="1">
        <f t="array" ref="S87">IF(R87&lt;&gt;"NotApplicable",_xlfn.REGEXEXTRACT(R87,"\d+(?=p)"),"NotApplicable")</f>
        <v>NotApplicable</v>
      </c>
      <c r="T87" s="29" t="s">
        <v>1769</v>
      </c>
      <c r="U87" s="29" t="b">
        <f>ISNUMBER(SEARCH(",",E87))</f>
        <v>0</v>
      </c>
    </row>
    <row r="88" spans="1:21" ht="30" x14ac:dyDescent="0.25">
      <c r="A88" s="29" t="str">
        <f>IF(ISBLANK(M88)=TRUE,"Pending","Done")</f>
        <v>Done</v>
      </c>
      <c r="B88" s="29" t="s">
        <v>2330</v>
      </c>
      <c r="C88" s="29">
        <v>46</v>
      </c>
      <c r="D88" s="29" t="s">
        <v>97</v>
      </c>
      <c r="E88" s="29" t="s">
        <v>148</v>
      </c>
      <c r="F88" s="29" t="s">
        <v>70</v>
      </c>
      <c r="G88" s="29" t="s">
        <v>2333</v>
      </c>
      <c r="H88" s="29" t="s">
        <v>2331</v>
      </c>
      <c r="I88" s="29" t="s">
        <v>1769</v>
      </c>
      <c r="J88" s="29" t="s">
        <v>1769</v>
      </c>
      <c r="K88" s="29" t="s">
        <v>528</v>
      </c>
      <c r="L88" s="29" t="s">
        <v>383</v>
      </c>
      <c r="M88" s="29" t="s">
        <v>65</v>
      </c>
      <c r="N88" s="29">
        <v>6</v>
      </c>
      <c r="O88" s="29" t="s">
        <v>227</v>
      </c>
      <c r="P88" s="29" t="str" cm="1">
        <f t="array" ref="P88">_xlfn.REGEXEXTRACT(B88,"(?&lt;=//)[^/]+")</f>
        <v>bdsmstreak.com</v>
      </c>
      <c r="Q88" s="29" t="s">
        <v>695</v>
      </c>
      <c r="R88" s="29" t="s">
        <v>1769</v>
      </c>
      <c r="S88" s="29" t="str" cm="1">
        <f t="array" ref="S88">IF(R88&lt;&gt;"NotApplicable",_xlfn.REGEXEXTRACT(R88,"\d+(?=p)"),"NotApplicable")</f>
        <v>NotApplicable</v>
      </c>
      <c r="T88" s="29" t="s">
        <v>1769</v>
      </c>
      <c r="U88" s="29" t="b">
        <f>ISNUMBER(SEARCH(",",E88))</f>
        <v>0</v>
      </c>
    </row>
    <row r="89" spans="1:21" ht="30" x14ac:dyDescent="0.25">
      <c r="A89" s="29" t="str">
        <f>IF(ISBLANK(M89)=TRUE,"Pending","Done")</f>
        <v>Done</v>
      </c>
      <c r="B89" s="29" t="s">
        <v>1531</v>
      </c>
      <c r="C89" s="29">
        <v>11</v>
      </c>
      <c r="D89" s="29" t="s">
        <v>149</v>
      </c>
      <c r="E89" s="29" t="s">
        <v>1527</v>
      </c>
      <c r="F89" s="29" t="s">
        <v>70</v>
      </c>
      <c r="G89" s="29" t="s">
        <v>1529</v>
      </c>
      <c r="H89" s="29" t="s">
        <v>1536</v>
      </c>
      <c r="I89" s="29" t="s">
        <v>1769</v>
      </c>
      <c r="J89" s="29" t="s">
        <v>1769</v>
      </c>
      <c r="K89" s="29" t="s">
        <v>1546</v>
      </c>
      <c r="L89" s="29" t="s">
        <v>1543</v>
      </c>
      <c r="M89" s="29" t="s">
        <v>65</v>
      </c>
      <c r="N89" s="29">
        <v>6</v>
      </c>
      <c r="O89" s="29" t="s">
        <v>1542</v>
      </c>
      <c r="P89" s="29" t="str" cm="1">
        <f t="array" ref="P89">_xlfn.REGEXEXTRACT(B89,"(?&lt;=//)[^/]+")</f>
        <v>www.porntrex.com</v>
      </c>
      <c r="Q89" s="29" t="s">
        <v>694</v>
      </c>
      <c r="R89" s="29" t="s">
        <v>1528</v>
      </c>
      <c r="S89" s="29" t="str" cm="1">
        <f t="array" ref="S89">IF(R89&lt;&gt;"NotApplicable",_xlfn.REGEXEXTRACT(R89,"\d+(?=p)"),"NotApplicable")</f>
        <v>1080</v>
      </c>
      <c r="T89" s="29" t="s">
        <v>1534</v>
      </c>
      <c r="U89" s="29" t="b">
        <f>ISNUMBER(SEARCH(",",E89))</f>
        <v>0</v>
      </c>
    </row>
    <row r="90" spans="1:21" ht="45" x14ac:dyDescent="0.25">
      <c r="A90" s="29" t="str">
        <f>IF(ISBLANK(M90)=TRUE,"Pending","Done")</f>
        <v>Done</v>
      </c>
      <c r="B90" s="29" t="s">
        <v>32</v>
      </c>
      <c r="C90" s="29">
        <v>31</v>
      </c>
      <c r="D90" s="29" t="s">
        <v>2347</v>
      </c>
      <c r="E90" s="29" t="s">
        <v>335</v>
      </c>
      <c r="F90" s="29" t="s">
        <v>70</v>
      </c>
      <c r="G90" s="29" t="s">
        <v>2344</v>
      </c>
      <c r="H90" s="29" t="s">
        <v>2343</v>
      </c>
      <c r="I90" s="29" t="s">
        <v>1769</v>
      </c>
      <c r="J90" s="29" t="s">
        <v>1769</v>
      </c>
      <c r="K90" s="29" t="s">
        <v>1744</v>
      </c>
      <c r="L90" s="29" t="s">
        <v>613</v>
      </c>
      <c r="M90" s="29" t="s">
        <v>65</v>
      </c>
      <c r="N90" s="29">
        <v>6</v>
      </c>
      <c r="O90" s="29" t="s">
        <v>617</v>
      </c>
      <c r="P90" s="29" t="str" cm="1">
        <f t="array" ref="P90">_xlfn.REGEXEXTRACT(B90,"(?&lt;=//)[^/]+")</f>
        <v>bdsmstreak.com</v>
      </c>
      <c r="Q90" s="29" t="s">
        <v>695</v>
      </c>
      <c r="R90" s="29" t="s">
        <v>1769</v>
      </c>
      <c r="S90" s="29" t="str" cm="1">
        <f t="array" ref="S90">IF(R90&lt;&gt;"NotApplicable",_xlfn.REGEXEXTRACT(R90,"\d+(?=p)"),"NotApplicable")</f>
        <v>NotApplicable</v>
      </c>
      <c r="T90" s="29" t="s">
        <v>1769</v>
      </c>
      <c r="U90" s="29" t="b">
        <f>ISNUMBER(SEARCH(",",E90))</f>
        <v>1</v>
      </c>
    </row>
    <row r="91" spans="1:21" ht="30" x14ac:dyDescent="0.25">
      <c r="A91" s="29" t="str">
        <f>IF(ISBLANK(M91)=TRUE,"Pending","Done")</f>
        <v>Done</v>
      </c>
      <c r="B91" s="29" t="s">
        <v>117</v>
      </c>
      <c r="C91" s="29">
        <v>45</v>
      </c>
      <c r="D91" s="29" t="s">
        <v>857</v>
      </c>
      <c r="E91" s="29" t="s">
        <v>148</v>
      </c>
      <c r="F91" s="29" t="s">
        <v>70</v>
      </c>
      <c r="G91" s="29" t="s">
        <v>2335</v>
      </c>
      <c r="H91" s="29" t="s">
        <v>2334</v>
      </c>
      <c r="I91" s="29" t="s">
        <v>1769</v>
      </c>
      <c r="J91" s="29" t="s">
        <v>1769</v>
      </c>
      <c r="K91" s="29" t="s">
        <v>571</v>
      </c>
      <c r="L91" s="29" t="s">
        <v>384</v>
      </c>
      <c r="M91" s="29" t="s">
        <v>65</v>
      </c>
      <c r="N91" s="29">
        <v>6</v>
      </c>
      <c r="O91" s="29" t="s">
        <v>564</v>
      </c>
      <c r="P91" s="29" t="str" cm="1">
        <f t="array" ref="P91">_xlfn.REGEXEXTRACT(B91,"(?&lt;=//)[^/]+")</f>
        <v>m.hqporner.com</v>
      </c>
      <c r="Q91" s="29" t="s">
        <v>695</v>
      </c>
      <c r="R91" s="29" t="s">
        <v>1769</v>
      </c>
      <c r="S91" s="29" t="str" cm="1">
        <f t="array" ref="S91">IF(R91&lt;&gt;"NotApplicable",_xlfn.REGEXEXTRACT(R91,"\d+(?=p)"),"NotApplicable")</f>
        <v>NotApplicable</v>
      </c>
      <c r="T91" s="29" t="s">
        <v>1769</v>
      </c>
      <c r="U91" s="29" t="b">
        <f>ISNUMBER(SEARCH(",",E91))</f>
        <v>0</v>
      </c>
    </row>
    <row r="92" spans="1:21" ht="30" x14ac:dyDescent="0.25">
      <c r="A92" s="29" t="str">
        <f>IF(ISBLANK(M92)=TRUE,"Pending","Done")</f>
        <v>Done</v>
      </c>
      <c r="B92" s="29" t="s">
        <v>305</v>
      </c>
      <c r="C92" s="29">
        <v>0</v>
      </c>
      <c r="D92" s="29" t="s">
        <v>858</v>
      </c>
      <c r="E92" s="29" t="s">
        <v>1768</v>
      </c>
      <c r="F92" s="29" t="s">
        <v>70</v>
      </c>
      <c r="G92" s="29" t="s">
        <v>1769</v>
      </c>
      <c r="H92" s="29" t="s">
        <v>1769</v>
      </c>
      <c r="I92" s="29" t="s">
        <v>1769</v>
      </c>
      <c r="J92" s="29" t="s">
        <v>1769</v>
      </c>
      <c r="K92" s="29" t="s">
        <v>471</v>
      </c>
      <c r="L92" s="29" t="s">
        <v>625</v>
      </c>
      <c r="M92" s="29" t="s">
        <v>65</v>
      </c>
      <c r="N92" s="29">
        <v>6</v>
      </c>
      <c r="O92" s="29" t="s">
        <v>306</v>
      </c>
      <c r="P92" s="29" t="str" cm="1">
        <f t="array" ref="P92">_xlfn.REGEXEXTRACT(B92,"(?&lt;=//)[^/]+")</f>
        <v>www.porntry.com</v>
      </c>
      <c r="Q92" s="29" t="s">
        <v>695</v>
      </c>
      <c r="R92" s="29" t="s">
        <v>1769</v>
      </c>
      <c r="S92" s="29" t="str" cm="1">
        <f t="array" ref="S92">IF(R92&lt;&gt;"NotApplicable",_xlfn.REGEXEXTRACT(R92,"\d+(?=p)"),"NotApplicable")</f>
        <v>NotApplicable</v>
      </c>
      <c r="T92" s="29" t="s">
        <v>1769</v>
      </c>
      <c r="U92" s="29" t="b">
        <f>ISNUMBER(SEARCH(",",E92))</f>
        <v>0</v>
      </c>
    </row>
    <row r="93" spans="1:21" ht="45" x14ac:dyDescent="0.25">
      <c r="A93" s="29" t="str">
        <f>IF(ISBLANK(M93)=TRUE,"Pending","Done")</f>
        <v>Done</v>
      </c>
      <c r="B93" s="29" t="s">
        <v>259</v>
      </c>
      <c r="C93" s="29">
        <v>0</v>
      </c>
      <c r="D93" s="29" t="s">
        <v>857</v>
      </c>
      <c r="E93" s="29" t="s">
        <v>1768</v>
      </c>
      <c r="F93" s="29" t="s">
        <v>70</v>
      </c>
      <c r="G93" s="29" t="s">
        <v>1769</v>
      </c>
      <c r="H93" s="29" t="s">
        <v>1769</v>
      </c>
      <c r="I93" s="29" t="s">
        <v>1769</v>
      </c>
      <c r="J93" s="29" t="s">
        <v>1769</v>
      </c>
      <c r="K93" s="29" t="s">
        <v>357</v>
      </c>
      <c r="L93" s="29" t="s">
        <v>715</v>
      </c>
      <c r="M93" s="29" t="s">
        <v>65</v>
      </c>
      <c r="N93" s="29">
        <v>6</v>
      </c>
      <c r="O93" s="29" t="s">
        <v>261</v>
      </c>
      <c r="P93" s="29" t="str" cm="1">
        <f t="array" ref="P93">_xlfn.REGEXEXTRACT(B93,"(?&lt;=//)[^/]+")</f>
        <v>www.txxx.porn</v>
      </c>
      <c r="Q93" s="29" t="s">
        <v>695</v>
      </c>
      <c r="R93" s="29" t="s">
        <v>1769</v>
      </c>
      <c r="S93" s="29" t="str" cm="1">
        <f t="array" ref="S93">IF(R93&lt;&gt;"NotApplicable",_xlfn.REGEXEXTRACT(R93,"\d+(?=p)"),"NotApplicable")</f>
        <v>NotApplicable</v>
      </c>
      <c r="T93" s="29" t="s">
        <v>1769</v>
      </c>
      <c r="U93" s="29" t="b">
        <f>ISNUMBER(SEARCH(",",E93))</f>
        <v>0</v>
      </c>
    </row>
    <row r="94" spans="1:21" ht="30" x14ac:dyDescent="0.25">
      <c r="A94" s="29" t="str">
        <f>IF(ISBLANK(M94)=TRUE,"Pending","Done")</f>
        <v>Done</v>
      </c>
      <c r="B94" s="29" t="s">
        <v>313</v>
      </c>
      <c r="C94" s="29">
        <v>0</v>
      </c>
      <c r="D94" s="29" t="s">
        <v>1767</v>
      </c>
      <c r="E94" s="29" t="s">
        <v>1768</v>
      </c>
      <c r="F94" s="29" t="s">
        <v>70</v>
      </c>
      <c r="G94" s="29" t="s">
        <v>1769</v>
      </c>
      <c r="H94" s="29" t="s">
        <v>1769</v>
      </c>
      <c r="I94" s="29" t="s">
        <v>1769</v>
      </c>
      <c r="J94" s="29" t="s">
        <v>1769</v>
      </c>
      <c r="K94" s="29" t="s">
        <v>542</v>
      </c>
      <c r="L94" s="29" t="s">
        <v>605</v>
      </c>
      <c r="M94" s="29" t="s">
        <v>65</v>
      </c>
      <c r="N94" s="29">
        <v>6</v>
      </c>
      <c r="O94" s="29" t="s">
        <v>425</v>
      </c>
      <c r="P94" s="29" t="str" cm="1">
        <f t="array" ref="P94">_xlfn.REGEXEXTRACT(B94,"(?&lt;=//)[^/]+")</f>
        <v>www.tubebdsm.com</v>
      </c>
      <c r="Q94" s="29" t="s">
        <v>695</v>
      </c>
      <c r="R94" s="29" t="s">
        <v>1769</v>
      </c>
      <c r="S94" s="29" t="str" cm="1">
        <f t="array" ref="S94">IF(R94&lt;&gt;"NotApplicable",_xlfn.REGEXEXTRACT(R94,"\d+(?=p)"),"NotApplicable")</f>
        <v>NotApplicable</v>
      </c>
      <c r="T94" s="29" t="s">
        <v>1769</v>
      </c>
      <c r="U94" s="29" t="b">
        <f>ISNUMBER(SEARCH(",",E94))</f>
        <v>0</v>
      </c>
    </row>
    <row r="95" spans="1:21" ht="45" x14ac:dyDescent="0.25">
      <c r="A95" s="29" t="str">
        <f>IF(ISBLANK(M95)=TRUE,"Pending","Done")</f>
        <v>Done</v>
      </c>
      <c r="B95" s="29" t="s">
        <v>758</v>
      </c>
      <c r="C95" s="29">
        <v>39</v>
      </c>
      <c r="D95" s="29" t="s">
        <v>868</v>
      </c>
      <c r="E95" s="29" t="s">
        <v>759</v>
      </c>
      <c r="F95" s="29" t="s">
        <v>70</v>
      </c>
      <c r="G95" s="29" t="s">
        <v>2357</v>
      </c>
      <c r="H95" s="29" t="s">
        <v>2356</v>
      </c>
      <c r="I95" s="29" t="s">
        <v>1769</v>
      </c>
      <c r="J95" s="29" t="s">
        <v>1769</v>
      </c>
      <c r="K95" s="29" t="s">
        <v>814</v>
      </c>
      <c r="L95" s="29" t="s">
        <v>799</v>
      </c>
      <c r="M95" s="29" t="s">
        <v>65</v>
      </c>
      <c r="N95" s="29">
        <v>6</v>
      </c>
      <c r="O95" s="29" t="s">
        <v>798</v>
      </c>
      <c r="P95" s="29" t="str" cm="1">
        <f t="array" ref="P95">_xlfn.REGEXEXTRACT(B95,"(?&lt;=//)[^/]+")</f>
        <v>www.eporner.com</v>
      </c>
      <c r="Q95" s="29" t="s">
        <v>695</v>
      </c>
      <c r="R95" s="29" t="s">
        <v>1769</v>
      </c>
      <c r="S95" s="29" t="str" cm="1">
        <f t="array" ref="S95">IF(R95&lt;&gt;"NotApplicable",_xlfn.REGEXEXTRACT(R95,"\d+(?=p)"),"NotApplicable")</f>
        <v>NotApplicable</v>
      </c>
      <c r="T95" s="29" t="s">
        <v>1769</v>
      </c>
      <c r="U95" s="29" t="b">
        <f>ISNUMBER(SEARCH(",",E95))</f>
        <v>0</v>
      </c>
    </row>
    <row r="96" spans="1:21" ht="45" x14ac:dyDescent="0.25">
      <c r="A96" s="29" t="str">
        <f>IF(ISBLANK(M96)=TRUE,"Pending","Done")</f>
        <v>Done</v>
      </c>
      <c r="B96" s="29" t="s">
        <v>786</v>
      </c>
      <c r="C96" s="29">
        <v>3</v>
      </c>
      <c r="D96" s="29" t="s">
        <v>1766</v>
      </c>
      <c r="E96" s="29" t="s">
        <v>787</v>
      </c>
      <c r="F96" s="29" t="s">
        <v>70</v>
      </c>
      <c r="G96" s="29" t="s">
        <v>1769</v>
      </c>
      <c r="H96" s="29" t="s">
        <v>2372</v>
      </c>
      <c r="I96" s="29" t="s">
        <v>1769</v>
      </c>
      <c r="J96" s="29" t="s">
        <v>1769</v>
      </c>
      <c r="K96" s="29" t="s">
        <v>794</v>
      </c>
      <c r="L96" s="29" t="s">
        <v>714</v>
      </c>
      <c r="M96" s="29" t="s">
        <v>65</v>
      </c>
      <c r="N96" s="29">
        <v>6</v>
      </c>
      <c r="O96" s="29" t="s">
        <v>795</v>
      </c>
      <c r="P96" s="29" t="str" cm="1">
        <f t="array" ref="P96">_xlfn.REGEXEXTRACT(B96,"(?&lt;=//)[^/]+")</f>
        <v>www.pornhub.com</v>
      </c>
      <c r="Q96" s="29" t="s">
        <v>695</v>
      </c>
      <c r="R96" s="29" t="s">
        <v>1769</v>
      </c>
      <c r="S96" s="29" t="str" cm="1">
        <f t="array" ref="S96">IF(R96&lt;&gt;"NotApplicable",_xlfn.REGEXEXTRACT(R96,"\d+(?=p)"),"NotApplicable")</f>
        <v>NotApplicable</v>
      </c>
      <c r="T96" s="29" t="s">
        <v>1769</v>
      </c>
      <c r="U96" s="29" t="b">
        <f>ISNUMBER(SEARCH(",",E96))</f>
        <v>0</v>
      </c>
    </row>
    <row r="97" spans="1:21" ht="45" x14ac:dyDescent="0.25">
      <c r="A97" s="29" t="str">
        <f>IF(ISBLANK(M97)=TRUE,"Pending","Done")</f>
        <v>Done</v>
      </c>
      <c r="B97" s="29" t="s">
        <v>2077</v>
      </c>
      <c r="C97" s="29">
        <v>83</v>
      </c>
      <c r="D97" s="29" t="s">
        <v>859</v>
      </c>
      <c r="E97" s="29" t="s">
        <v>192</v>
      </c>
      <c r="F97" s="29" t="s">
        <v>70</v>
      </c>
      <c r="G97" s="29" t="s">
        <v>2299</v>
      </c>
      <c r="H97" s="29" t="s">
        <v>2299</v>
      </c>
      <c r="I97" s="29" t="s">
        <v>1769</v>
      </c>
      <c r="J97" s="29" t="s">
        <v>1769</v>
      </c>
      <c r="K97" s="29" t="s">
        <v>2156</v>
      </c>
      <c r="L97" s="29" t="s">
        <v>601</v>
      </c>
      <c r="M97" s="29" t="s">
        <v>65</v>
      </c>
      <c r="N97" s="29">
        <v>6</v>
      </c>
      <c r="O97" s="29" t="s">
        <v>105</v>
      </c>
      <c r="P97" s="29" t="str" cm="1">
        <f t="array" ref="P97">_xlfn.REGEXEXTRACT(B97,"(?&lt;=//)[^/]+")</f>
        <v>bdsmstreak.com</v>
      </c>
      <c r="Q97" s="29" t="s">
        <v>695</v>
      </c>
      <c r="R97" s="29" t="s">
        <v>1769</v>
      </c>
      <c r="S97" s="29" t="str" cm="1">
        <f t="array" ref="S97">IF(R97&lt;&gt;"NotApplicable",_xlfn.REGEXEXTRACT(R97,"\d+(?=p)"),"NotApplicable")</f>
        <v>NotApplicable</v>
      </c>
      <c r="T97" s="29" t="s">
        <v>1769</v>
      </c>
      <c r="U97" s="29" t="b">
        <f>ISNUMBER(SEARCH(",",E97))</f>
        <v>0</v>
      </c>
    </row>
    <row r="98" spans="1:21" ht="30" x14ac:dyDescent="0.25">
      <c r="A98" s="29" t="str">
        <f>IF(ISBLANK(M98)=TRUE,"Pending","Done")</f>
        <v>Done</v>
      </c>
      <c r="B98" s="29" t="s">
        <v>250</v>
      </c>
      <c r="C98" s="29">
        <v>20</v>
      </c>
      <c r="D98" s="29" t="s">
        <v>1766</v>
      </c>
      <c r="E98" s="29" t="s">
        <v>1768</v>
      </c>
      <c r="F98" s="29" t="s">
        <v>70</v>
      </c>
      <c r="G98" s="29" t="s">
        <v>1769</v>
      </c>
      <c r="H98" s="29" t="s">
        <v>2366</v>
      </c>
      <c r="I98" s="29" t="s">
        <v>1769</v>
      </c>
      <c r="J98" s="29" t="s">
        <v>1769</v>
      </c>
      <c r="K98" s="29" t="s">
        <v>582</v>
      </c>
      <c r="L98" s="29" t="s">
        <v>641</v>
      </c>
      <c r="M98" s="29" t="s">
        <v>253</v>
      </c>
      <c r="N98" s="29">
        <v>6</v>
      </c>
      <c r="O98" s="29" t="s">
        <v>585</v>
      </c>
      <c r="P98" s="29" t="str" cm="1">
        <f t="array" ref="P98">_xlfn.REGEXEXTRACT(B98,"(?&lt;=//)[^/]+")</f>
        <v>punishworld.com</v>
      </c>
      <c r="Q98" s="29" t="s">
        <v>695</v>
      </c>
      <c r="R98" s="29" t="s">
        <v>1769</v>
      </c>
      <c r="S98" s="29" t="str" cm="1">
        <f t="array" ref="S98">IF(R98&lt;&gt;"NotApplicable",_xlfn.REGEXEXTRACT(R98,"\d+(?=p)"),"NotApplicable")</f>
        <v>NotApplicable</v>
      </c>
      <c r="T98" s="29" t="s">
        <v>1769</v>
      </c>
      <c r="U98" s="29" t="b">
        <f>ISNUMBER(SEARCH(",",E98))</f>
        <v>0</v>
      </c>
    </row>
    <row r="99" spans="1:21" ht="30" x14ac:dyDescent="0.25">
      <c r="A99" s="29" t="str">
        <f>IF(ISBLANK(M99)=TRUE,"Pending","Done")</f>
        <v>Done</v>
      </c>
      <c r="B99" s="29" t="s">
        <v>51</v>
      </c>
      <c r="C99" s="29">
        <v>49</v>
      </c>
      <c r="D99" s="29" t="s">
        <v>1766</v>
      </c>
      <c r="E99" s="29" t="s">
        <v>77</v>
      </c>
      <c r="F99" s="29" t="s">
        <v>69</v>
      </c>
      <c r="G99" s="29" t="s">
        <v>2326</v>
      </c>
      <c r="H99" s="29" t="s">
        <v>2327</v>
      </c>
      <c r="I99" s="29" t="s">
        <v>1769</v>
      </c>
      <c r="J99" s="29" t="s">
        <v>1769</v>
      </c>
      <c r="K99" s="29" t="s">
        <v>553</v>
      </c>
      <c r="L99" s="29" t="s">
        <v>381</v>
      </c>
      <c r="M99" s="29" t="s">
        <v>65</v>
      </c>
      <c r="N99" s="29">
        <v>6</v>
      </c>
      <c r="O99" s="29" t="s">
        <v>103</v>
      </c>
      <c r="P99" s="29" t="str" cm="1">
        <f t="array" ref="P99">_xlfn.REGEXEXTRACT(B99,"(?&lt;=//)[^/]+")</f>
        <v>bdsmstreak.com</v>
      </c>
      <c r="Q99" s="29" t="s">
        <v>695</v>
      </c>
      <c r="R99" s="29" t="s">
        <v>1769</v>
      </c>
      <c r="S99" s="29" t="str" cm="1">
        <f t="array" ref="S99">IF(R99&lt;&gt;"NotApplicable",_xlfn.REGEXEXTRACT(R99,"\d+(?=p)"),"NotApplicable")</f>
        <v>NotApplicable</v>
      </c>
      <c r="T99" s="29" t="s">
        <v>1769</v>
      </c>
      <c r="U99" s="29" t="b">
        <f>ISNUMBER(SEARCH(",",E99))</f>
        <v>0</v>
      </c>
    </row>
    <row r="100" spans="1:21" ht="30" x14ac:dyDescent="0.25">
      <c r="A100" s="29" t="str">
        <f>IF(ISBLANK(M100)=TRUE,"Pending","Done")</f>
        <v>Done</v>
      </c>
      <c r="B100" s="29" t="s">
        <v>138</v>
      </c>
      <c r="C100" s="29">
        <v>0</v>
      </c>
      <c r="D100" s="29" t="s">
        <v>451</v>
      </c>
      <c r="E100" s="29" t="s">
        <v>175</v>
      </c>
      <c r="F100" s="29" t="s">
        <v>157</v>
      </c>
      <c r="G100" s="29" t="s">
        <v>1769</v>
      </c>
      <c r="H100" s="29" t="s">
        <v>1769</v>
      </c>
      <c r="I100" s="29" t="s">
        <v>1769</v>
      </c>
      <c r="J100" s="29" t="s">
        <v>1769</v>
      </c>
      <c r="K100" s="29" t="s">
        <v>356</v>
      </c>
      <c r="L100" s="29" t="s">
        <v>387</v>
      </c>
      <c r="M100" s="29" t="s">
        <v>65</v>
      </c>
      <c r="N100" s="29">
        <v>6</v>
      </c>
      <c r="O100" s="29" t="s">
        <v>237</v>
      </c>
      <c r="P100" s="29" t="str" cm="1">
        <f t="array" ref="P100">_xlfn.REGEXEXTRACT(B100,"(?&lt;=//)[^/]+")</f>
        <v>pornxp.com</v>
      </c>
      <c r="Q100" s="29" t="s">
        <v>695</v>
      </c>
      <c r="R100" s="29" t="s">
        <v>1769</v>
      </c>
      <c r="S100" s="29" t="str" cm="1">
        <f t="array" ref="S100">IF(R100&lt;&gt;"NotApplicable",_xlfn.REGEXEXTRACT(R100,"\d+(?=p)"),"NotApplicable")</f>
        <v>NotApplicable</v>
      </c>
      <c r="T100" s="29" t="s">
        <v>1769</v>
      </c>
      <c r="U100" s="29" t="b">
        <f>ISNUMBER(SEARCH(",",E100))</f>
        <v>0</v>
      </c>
    </row>
    <row r="101" spans="1:21" ht="30" x14ac:dyDescent="0.25">
      <c r="A101" s="29" t="str">
        <f>IF(ISBLANK(M101)=TRUE,"Pending","Done")</f>
        <v>Done</v>
      </c>
      <c r="B101" s="29" t="s">
        <v>136</v>
      </c>
      <c r="C101" s="29">
        <v>40</v>
      </c>
      <c r="D101" s="29" t="s">
        <v>181</v>
      </c>
      <c r="E101" s="29" t="s">
        <v>1757</v>
      </c>
      <c r="F101" s="29" t="s">
        <v>158</v>
      </c>
      <c r="G101" s="29" t="s">
        <v>2339</v>
      </c>
      <c r="H101" s="29" t="s">
        <v>2338</v>
      </c>
      <c r="I101" s="29" t="s">
        <v>1769</v>
      </c>
      <c r="J101" s="29" t="s">
        <v>1769</v>
      </c>
      <c r="K101" s="29" t="s">
        <v>1756</v>
      </c>
      <c r="L101" s="29" t="s">
        <v>385</v>
      </c>
      <c r="M101" s="29" t="s">
        <v>65</v>
      </c>
      <c r="N101" s="29">
        <v>6</v>
      </c>
      <c r="O101" s="29" t="s">
        <v>182</v>
      </c>
      <c r="P101" s="29" t="str" cm="1">
        <f t="array" ref="P101">_xlfn.REGEXEXTRACT(B101,"(?&lt;=//)[^/]+")</f>
        <v>www.tnaflix.com</v>
      </c>
      <c r="Q101" s="29" t="s">
        <v>695</v>
      </c>
      <c r="R101" s="29" t="s">
        <v>1769</v>
      </c>
      <c r="S101" s="29" t="str" cm="1">
        <f t="array" ref="S101">IF(R101&lt;&gt;"NotApplicable",_xlfn.REGEXEXTRACT(R101,"\d+(?=p)"),"NotApplicable")</f>
        <v>NotApplicable</v>
      </c>
      <c r="T101" s="29" t="s">
        <v>1769</v>
      </c>
      <c r="U101" s="29" t="b">
        <f>ISNUMBER(SEARCH(",",E101))</f>
        <v>1</v>
      </c>
    </row>
    <row r="102" spans="1:21" ht="30" x14ac:dyDescent="0.25">
      <c r="A102" s="29" t="str">
        <f>IF(ISBLANK(M102)=TRUE,"Pending","Done")</f>
        <v>Done</v>
      </c>
      <c r="B102" s="29" t="s">
        <v>2432</v>
      </c>
      <c r="C102" s="29">
        <v>32</v>
      </c>
      <c r="D102" s="29" t="s">
        <v>1766</v>
      </c>
      <c r="E102" s="29" t="s">
        <v>1768</v>
      </c>
      <c r="F102" s="29" t="s">
        <v>169</v>
      </c>
      <c r="G102" s="29" t="s">
        <v>1769</v>
      </c>
      <c r="H102" s="29" t="s">
        <v>2433</v>
      </c>
      <c r="I102" s="29" t="s">
        <v>1769</v>
      </c>
      <c r="J102" s="29" t="s">
        <v>1769</v>
      </c>
      <c r="K102" s="29" t="s">
        <v>2490</v>
      </c>
      <c r="L102" s="29" t="s">
        <v>79</v>
      </c>
      <c r="M102" s="29" t="s">
        <v>65</v>
      </c>
      <c r="N102" s="29">
        <v>6</v>
      </c>
      <c r="O102" s="29" t="s">
        <v>2434</v>
      </c>
      <c r="P102" s="29" t="str" cm="1">
        <f t="array" ref="P102">_xlfn.REGEXEXTRACT(B102,"(?&lt;=//)[^/]+")</f>
        <v>abxxx.com</v>
      </c>
      <c r="Q102" s="29" t="s">
        <v>695</v>
      </c>
      <c r="R102" s="29" t="s">
        <v>1769</v>
      </c>
      <c r="S102" s="29" t="str" cm="1">
        <f t="array" ref="S102">IF(R102&lt;&gt;"NotApplicable",_xlfn.REGEXEXTRACT(R102,"\d+(?=p)"),"NotApplicable")</f>
        <v>NotApplicable</v>
      </c>
      <c r="T102" s="29" t="s">
        <v>1769</v>
      </c>
      <c r="U102" s="29" t="b">
        <f>ISNUMBER(SEARCH(",",E102))</f>
        <v>0</v>
      </c>
    </row>
    <row r="103" spans="1:21" ht="30" x14ac:dyDescent="0.25">
      <c r="A103" s="29" t="str">
        <f>IF(ISBLANK(M103)=TRUE,"Pending","Done")</f>
        <v>Done</v>
      </c>
      <c r="B103" s="29" t="s">
        <v>1738</v>
      </c>
      <c r="C103" s="29">
        <v>64</v>
      </c>
      <c r="D103" s="29" t="s">
        <v>867</v>
      </c>
      <c r="E103" s="29" t="s">
        <v>435</v>
      </c>
      <c r="F103" s="29" t="s">
        <v>81</v>
      </c>
      <c r="G103" s="29" t="s">
        <v>2382</v>
      </c>
      <c r="H103" s="29" t="s">
        <v>2382</v>
      </c>
      <c r="I103" s="29" t="s">
        <v>1769</v>
      </c>
      <c r="J103" s="29" t="s">
        <v>1769</v>
      </c>
      <c r="K103" s="29" t="s">
        <v>1739</v>
      </c>
      <c r="L103" s="29" t="s">
        <v>635</v>
      </c>
      <c r="M103" s="29" t="s">
        <v>65</v>
      </c>
      <c r="N103" s="29">
        <v>5</v>
      </c>
      <c r="O103" s="29" t="s">
        <v>463</v>
      </c>
      <c r="P103" s="29" t="str" cm="1">
        <f t="array" ref="P103">_xlfn.REGEXEXTRACT(B103,"(?&lt;=//)[^/]+")</f>
        <v>hcbdsm.com</v>
      </c>
      <c r="Q103" s="29" t="s">
        <v>695</v>
      </c>
      <c r="R103" s="29" t="s">
        <v>1769</v>
      </c>
      <c r="S103" s="29" t="str" cm="1">
        <f t="array" ref="S103">IF(R103&lt;&gt;"NotApplicable",_xlfn.REGEXEXTRACT(R103,"\d+(?=p)"),"NotApplicable")</f>
        <v>NotApplicable</v>
      </c>
      <c r="T103" s="29" t="s">
        <v>1769</v>
      </c>
      <c r="U103" s="29" t="b">
        <f>ISNUMBER(SEARCH(",",E103))</f>
        <v>1</v>
      </c>
    </row>
    <row r="104" spans="1:21" ht="30" x14ac:dyDescent="0.25">
      <c r="A104" s="29" t="str">
        <f>IF(ISBLANK(M104)=TRUE,"Pending","Done")</f>
        <v>Done</v>
      </c>
      <c r="B104" s="29" t="s">
        <v>2400</v>
      </c>
      <c r="C104" s="29">
        <v>54</v>
      </c>
      <c r="D104" s="29" t="s">
        <v>867</v>
      </c>
      <c r="E104" s="29" t="s">
        <v>311</v>
      </c>
      <c r="F104" s="29" t="s">
        <v>81</v>
      </c>
      <c r="G104" s="29" t="s">
        <v>2399</v>
      </c>
      <c r="H104" s="29" t="s">
        <v>2399</v>
      </c>
      <c r="I104" s="29" t="s">
        <v>1769</v>
      </c>
      <c r="J104" s="29" t="s">
        <v>1769</v>
      </c>
      <c r="K104" s="29" t="s">
        <v>482</v>
      </c>
      <c r="L104" s="29" t="s">
        <v>400</v>
      </c>
      <c r="M104" s="29" t="s">
        <v>65</v>
      </c>
      <c r="N104" s="29">
        <v>5</v>
      </c>
      <c r="O104" s="29" t="s">
        <v>513</v>
      </c>
      <c r="P104" s="29" t="str" cm="1">
        <f t="array" ref="P104">_xlfn.REGEXEXTRACT(B104,"(?&lt;=//)[^/]+")</f>
        <v>bdsmstreak.com</v>
      </c>
      <c r="Q104" s="29" t="s">
        <v>695</v>
      </c>
      <c r="R104" s="29" t="s">
        <v>1769</v>
      </c>
      <c r="S104" s="29" t="str" cm="1">
        <f t="array" ref="S104">IF(R104&lt;&gt;"NotApplicable",_xlfn.REGEXEXTRACT(R104,"\d+(?=p)"),"NotApplicable")</f>
        <v>NotApplicable</v>
      </c>
      <c r="T104" s="29" t="s">
        <v>1769</v>
      </c>
      <c r="U104" s="29" t="b">
        <f>ISNUMBER(SEARCH(",",E104))</f>
        <v>0</v>
      </c>
    </row>
    <row r="105" spans="1:21" ht="30" x14ac:dyDescent="0.25">
      <c r="A105" s="29" t="str">
        <f>IF(ISBLANK(M105)=TRUE,"Pending","Done")</f>
        <v>Done</v>
      </c>
      <c r="B105" s="29" t="s">
        <v>266</v>
      </c>
      <c r="C105" s="29">
        <v>1</v>
      </c>
      <c r="D105" s="29" t="s">
        <v>1766</v>
      </c>
      <c r="E105" s="29" t="s">
        <v>1768</v>
      </c>
      <c r="F105" s="29" t="s">
        <v>81</v>
      </c>
      <c r="G105" s="29" t="s">
        <v>1769</v>
      </c>
      <c r="H105" s="29" t="s">
        <v>2448</v>
      </c>
      <c r="I105" s="29" t="s">
        <v>1769</v>
      </c>
      <c r="J105" s="29" t="s">
        <v>1769</v>
      </c>
      <c r="K105" s="29" t="s">
        <v>495</v>
      </c>
      <c r="L105" s="29" t="s">
        <v>604</v>
      </c>
      <c r="M105" s="29" t="s">
        <v>254</v>
      </c>
      <c r="N105" s="29">
        <v>5</v>
      </c>
      <c r="O105" s="29" t="s">
        <v>297</v>
      </c>
      <c r="P105" s="29" t="str" cm="1">
        <f t="array" ref="P105">_xlfn.REGEXEXTRACT(B105,"(?&lt;=//)[^/]+")</f>
        <v>xhamster44.desi</v>
      </c>
      <c r="Q105" s="29" t="s">
        <v>695</v>
      </c>
      <c r="R105" s="29" t="s">
        <v>1769</v>
      </c>
      <c r="S105" s="29" t="str" cm="1">
        <f t="array" ref="S105">IF(R105&lt;&gt;"NotApplicable",_xlfn.REGEXEXTRACT(R105,"\d+(?=p)"),"NotApplicable")</f>
        <v>NotApplicable</v>
      </c>
      <c r="T105" s="29" t="s">
        <v>1769</v>
      </c>
      <c r="U105" s="29" t="b">
        <f>ISNUMBER(SEARCH(",",E105))</f>
        <v>0</v>
      </c>
    </row>
    <row r="106" spans="1:21" ht="30" x14ac:dyDescent="0.25">
      <c r="A106" s="29" t="str">
        <f>IF(ISBLANK(M106)=TRUE,"Pending","Done")</f>
        <v>Done</v>
      </c>
      <c r="B106" s="29" t="s">
        <v>308</v>
      </c>
      <c r="C106" s="29">
        <v>47</v>
      </c>
      <c r="D106" s="29" t="s">
        <v>858</v>
      </c>
      <c r="E106" s="29" t="s">
        <v>310</v>
      </c>
      <c r="F106" s="29" t="s">
        <v>81</v>
      </c>
      <c r="G106" s="29" t="s">
        <v>2413</v>
      </c>
      <c r="H106" s="29" t="s">
        <v>2414</v>
      </c>
      <c r="I106" s="29" t="s">
        <v>1769</v>
      </c>
      <c r="J106" s="29" t="s">
        <v>1769</v>
      </c>
      <c r="K106" s="29" t="s">
        <v>470</v>
      </c>
      <c r="L106" s="29" t="s">
        <v>720</v>
      </c>
      <c r="M106" s="29" t="s">
        <v>65</v>
      </c>
      <c r="N106" s="29">
        <v>5</v>
      </c>
      <c r="O106" s="29" t="s">
        <v>558</v>
      </c>
      <c r="P106" s="29" t="str" cm="1">
        <f t="array" ref="P106">_xlfn.REGEXEXTRACT(B106,"(?&lt;=//)[^/]+")</f>
        <v>www.porntry.com</v>
      </c>
      <c r="Q106" s="29" t="s">
        <v>695</v>
      </c>
      <c r="R106" s="29" t="s">
        <v>1769</v>
      </c>
      <c r="S106" s="29" t="str" cm="1">
        <f t="array" ref="S106">IF(R106&lt;&gt;"NotApplicable",_xlfn.REGEXEXTRACT(R106,"\d+(?=p)"),"NotApplicable")</f>
        <v>NotApplicable</v>
      </c>
      <c r="T106" s="29" t="s">
        <v>1769</v>
      </c>
      <c r="U106" s="29" t="b">
        <f>ISNUMBER(SEARCH(",",E106))</f>
        <v>0</v>
      </c>
    </row>
    <row r="107" spans="1:21" ht="45" x14ac:dyDescent="0.25">
      <c r="A107" s="29" t="str">
        <f>IF(ISBLANK(M107)=TRUE,"Pending","Done")</f>
        <v>Done</v>
      </c>
      <c r="B107" s="29" t="s">
        <v>793</v>
      </c>
      <c r="C107" s="29">
        <v>70</v>
      </c>
      <c r="D107" s="29" t="s">
        <v>867</v>
      </c>
      <c r="E107" s="29" t="s">
        <v>792</v>
      </c>
      <c r="F107" s="29" t="s">
        <v>81</v>
      </c>
      <c r="G107" s="29" t="s">
        <v>2379</v>
      </c>
      <c r="H107" s="29" t="s">
        <v>2379</v>
      </c>
      <c r="I107" s="29" t="s">
        <v>1769</v>
      </c>
      <c r="J107" s="29" t="s">
        <v>1769</v>
      </c>
      <c r="K107" s="29" t="s">
        <v>1516</v>
      </c>
      <c r="L107" s="29" t="s">
        <v>1515</v>
      </c>
      <c r="M107" s="29" t="s">
        <v>65</v>
      </c>
      <c r="N107" s="29">
        <v>5</v>
      </c>
      <c r="O107" s="29" t="s">
        <v>1517</v>
      </c>
      <c r="P107" s="29" t="str" cm="1">
        <f t="array" ref="P107">_xlfn.REGEXEXTRACT(B107,"(?&lt;=//)[^/]+")</f>
        <v>www.pornissimo.org</v>
      </c>
      <c r="Q107" s="29" t="s">
        <v>695</v>
      </c>
      <c r="R107" s="29" t="s">
        <v>1769</v>
      </c>
      <c r="S107" s="29" t="str" cm="1">
        <f t="array" ref="S107">IF(R107&lt;&gt;"NotApplicable",_xlfn.REGEXEXTRACT(R107,"\d+(?=p)"),"NotApplicable")</f>
        <v>NotApplicable</v>
      </c>
      <c r="T107" s="29" t="s">
        <v>1769</v>
      </c>
      <c r="U107" s="29" t="b">
        <f>ISNUMBER(SEARCH(",",E107))</f>
        <v>0</v>
      </c>
    </row>
    <row r="108" spans="1:21" ht="30" x14ac:dyDescent="0.25">
      <c r="A108" s="29" t="str">
        <f>IF(ISBLANK(M108)=TRUE,"Pending","Done")</f>
        <v>Done</v>
      </c>
      <c r="B108" s="29" t="s">
        <v>2439</v>
      </c>
      <c r="C108" s="29">
        <v>14</v>
      </c>
      <c r="D108" s="29" t="s">
        <v>1766</v>
      </c>
      <c r="E108" s="29" t="s">
        <v>2440</v>
      </c>
      <c r="F108" s="29" t="s">
        <v>81</v>
      </c>
      <c r="G108" s="29" t="s">
        <v>2441</v>
      </c>
      <c r="H108" s="29" t="s">
        <v>2441</v>
      </c>
      <c r="I108" s="29" t="s">
        <v>1769</v>
      </c>
      <c r="J108" s="29" t="s">
        <v>1769</v>
      </c>
      <c r="K108" s="29" t="s">
        <v>459</v>
      </c>
      <c r="L108" s="29" t="s">
        <v>636</v>
      </c>
      <c r="M108" s="29" t="s">
        <v>65</v>
      </c>
      <c r="N108" s="29">
        <v>5</v>
      </c>
      <c r="O108" s="29" t="s">
        <v>275</v>
      </c>
      <c r="P108" s="29" t="str" cm="1">
        <f t="array" ref="P108">_xlfn.REGEXEXTRACT(B108,"(?&lt;=//)[^/]+")</f>
        <v>www.whoreshub.com</v>
      </c>
      <c r="Q108" s="29" t="s">
        <v>695</v>
      </c>
      <c r="R108" s="29" t="s">
        <v>1769</v>
      </c>
      <c r="S108" s="29" t="str" cm="1">
        <f t="array" ref="S108">IF(R108&lt;&gt;"NotApplicable",_xlfn.REGEXEXTRACT(R108,"\d+(?=p)"),"NotApplicable")</f>
        <v>NotApplicable</v>
      </c>
      <c r="T108" s="29" t="s">
        <v>1769</v>
      </c>
      <c r="U108" s="29" t="b">
        <f>ISNUMBER(SEARCH(",",E108))</f>
        <v>0</v>
      </c>
    </row>
    <row r="109" spans="1:21" ht="30" x14ac:dyDescent="0.25">
      <c r="A109" s="29" t="str">
        <f>IF(ISBLANK(M109)=TRUE,"Pending","Done")</f>
        <v>Done</v>
      </c>
      <c r="B109" s="29" t="s">
        <v>273</v>
      </c>
      <c r="C109" s="29">
        <v>0</v>
      </c>
      <c r="D109" s="29" t="s">
        <v>1767</v>
      </c>
      <c r="E109" s="29" t="s">
        <v>1768</v>
      </c>
      <c r="F109" s="29" t="s">
        <v>81</v>
      </c>
      <c r="G109" s="29" t="s">
        <v>1769</v>
      </c>
      <c r="H109" s="29" t="s">
        <v>1769</v>
      </c>
      <c r="I109" s="29" t="s">
        <v>1769</v>
      </c>
      <c r="J109" s="29" t="s">
        <v>1769</v>
      </c>
      <c r="K109" s="29" t="s">
        <v>457</v>
      </c>
      <c r="L109" s="29" t="s">
        <v>716</v>
      </c>
      <c r="M109" s="29" t="s">
        <v>65</v>
      </c>
      <c r="N109" s="29">
        <v>5</v>
      </c>
      <c r="O109" s="29" t="s">
        <v>290</v>
      </c>
      <c r="P109" s="29" t="str" cm="1">
        <f t="array" ref="P109">_xlfn.REGEXEXTRACT(B109,"(?&lt;=//)[^/]+")</f>
        <v>www.fuq.com</v>
      </c>
      <c r="Q109" s="29" t="s">
        <v>695</v>
      </c>
      <c r="R109" s="29" t="s">
        <v>1769</v>
      </c>
      <c r="S109" s="29" t="str" cm="1">
        <f t="array" ref="S109">IF(R109&lt;&gt;"NotApplicable",_xlfn.REGEXEXTRACT(R109,"\d+(?=p)"),"NotApplicable")</f>
        <v>NotApplicable</v>
      </c>
      <c r="T109" s="29" t="s">
        <v>1769</v>
      </c>
      <c r="U109" s="29" t="b">
        <f>ISNUMBER(SEARCH(",",E109))</f>
        <v>0</v>
      </c>
    </row>
    <row r="110" spans="1:21" ht="30" x14ac:dyDescent="0.25">
      <c r="A110" s="29" t="str">
        <f>IF(ISBLANK(M110)=TRUE,"Pending","Done")</f>
        <v>Done</v>
      </c>
      <c r="B110" s="29" t="s">
        <v>57</v>
      </c>
      <c r="C110" s="29">
        <v>57</v>
      </c>
      <c r="D110" s="29" t="s">
        <v>867</v>
      </c>
      <c r="E110" s="29" t="s">
        <v>194</v>
      </c>
      <c r="F110" s="29" t="s">
        <v>81</v>
      </c>
      <c r="G110" s="29" t="s">
        <v>2391</v>
      </c>
      <c r="H110" s="29" t="s">
        <v>2391</v>
      </c>
      <c r="I110" s="29" t="s">
        <v>1769</v>
      </c>
      <c r="J110" s="29" t="s">
        <v>1769</v>
      </c>
      <c r="K110" s="29" t="s">
        <v>552</v>
      </c>
      <c r="L110" s="29" t="s">
        <v>597</v>
      </c>
      <c r="M110" s="29" t="s">
        <v>65</v>
      </c>
      <c r="N110" s="29">
        <v>5</v>
      </c>
      <c r="O110" s="29" t="s">
        <v>104</v>
      </c>
      <c r="P110" s="29" t="str" cm="1">
        <f t="array" ref="P110">_xlfn.REGEXEXTRACT(B110,"(?&lt;=//)[^/]+")</f>
        <v>bdsmstreak.com</v>
      </c>
      <c r="Q110" s="29" t="s">
        <v>695</v>
      </c>
      <c r="R110" s="29" t="s">
        <v>1769</v>
      </c>
      <c r="S110" s="29" t="str" cm="1">
        <f t="array" ref="S110">IF(R110&lt;&gt;"NotApplicable",_xlfn.REGEXEXTRACT(R110,"\d+(?=p)"),"NotApplicable")</f>
        <v>NotApplicable</v>
      </c>
      <c r="T110" s="29" t="s">
        <v>1769</v>
      </c>
      <c r="U110" s="29" t="b">
        <f>ISNUMBER(SEARCH(",",E110))</f>
        <v>0</v>
      </c>
    </row>
    <row r="111" spans="1:21" ht="30" x14ac:dyDescent="0.25">
      <c r="A111" s="29" t="str">
        <f>IF(ISBLANK(M111)=TRUE,"Pending","Done")</f>
        <v>Done</v>
      </c>
      <c r="B111" s="29" t="s">
        <v>1693</v>
      </c>
      <c r="C111" s="29">
        <v>44</v>
      </c>
      <c r="D111" s="29" t="s">
        <v>858</v>
      </c>
      <c r="E111" s="29" t="s">
        <v>869</v>
      </c>
      <c r="F111" s="29" t="s">
        <v>81</v>
      </c>
      <c r="G111" s="29" t="s">
        <v>2423</v>
      </c>
      <c r="H111" s="29" t="s">
        <v>2422</v>
      </c>
      <c r="I111" s="29" t="s">
        <v>1769</v>
      </c>
      <c r="J111" s="29" t="s">
        <v>1769</v>
      </c>
      <c r="K111" s="29" t="s">
        <v>1699</v>
      </c>
      <c r="L111" s="29" t="s">
        <v>719</v>
      </c>
      <c r="M111" s="29" t="s">
        <v>65</v>
      </c>
      <c r="N111" s="29">
        <v>5</v>
      </c>
      <c r="O111" s="29" t="s">
        <v>555</v>
      </c>
      <c r="P111" s="29" t="str" cm="1">
        <f t="array" ref="P111">_xlfn.REGEXEXTRACT(B111,"(?&lt;=//)[^/]+")</f>
        <v>bdsmstreak.com</v>
      </c>
      <c r="Q111" s="29" t="s">
        <v>695</v>
      </c>
      <c r="R111" s="29" t="s">
        <v>1769</v>
      </c>
      <c r="S111" s="29" t="str" cm="1">
        <f t="array" ref="S111">IF(R111&lt;&gt;"NotApplicable",_xlfn.REGEXEXTRACT(R111,"\d+(?=p)"),"NotApplicable")</f>
        <v>NotApplicable</v>
      </c>
      <c r="T111" s="29" t="s">
        <v>1769</v>
      </c>
      <c r="U111" s="29" t="b">
        <f>ISNUMBER(SEARCH(",",E111))</f>
        <v>1</v>
      </c>
    </row>
    <row r="112" spans="1:21" ht="30" x14ac:dyDescent="0.25">
      <c r="A112" s="29" t="str">
        <f>IF(ISBLANK(M112)=TRUE,"Pending","Done")</f>
        <v>Done</v>
      </c>
      <c r="B112" s="29" t="s">
        <v>1556</v>
      </c>
      <c r="C112" s="29">
        <v>65</v>
      </c>
      <c r="D112" s="29" t="s">
        <v>864</v>
      </c>
      <c r="E112" s="29" t="s">
        <v>234</v>
      </c>
      <c r="F112" s="29" t="s">
        <v>71</v>
      </c>
      <c r="G112" s="29" t="s">
        <v>2381</v>
      </c>
      <c r="H112" s="29" t="s">
        <v>2380</v>
      </c>
      <c r="I112" s="29" t="s">
        <v>1769</v>
      </c>
      <c r="J112" s="29" t="s">
        <v>1769</v>
      </c>
      <c r="K112" s="29" t="s">
        <v>509</v>
      </c>
      <c r="L112" s="29" t="s">
        <v>393</v>
      </c>
      <c r="M112" s="29" t="s">
        <v>65</v>
      </c>
      <c r="N112" s="29">
        <v>5</v>
      </c>
      <c r="O112" s="29" t="s">
        <v>477</v>
      </c>
      <c r="P112" s="29" t="str" cm="1">
        <f t="array" ref="P112">_xlfn.REGEXEXTRACT(B112,"(?&lt;=//)[^/]+")</f>
        <v>hcbdsm.com</v>
      </c>
      <c r="Q112" s="29" t="s">
        <v>695</v>
      </c>
      <c r="R112" s="29" t="s">
        <v>1769</v>
      </c>
      <c r="S112" s="29" t="str" cm="1">
        <f t="array" ref="S112">IF(R112&lt;&gt;"NotApplicable",_xlfn.REGEXEXTRACT(R112,"\d+(?=p)"),"NotApplicable")</f>
        <v>NotApplicable</v>
      </c>
      <c r="T112" s="29" t="s">
        <v>1769</v>
      </c>
      <c r="U112" s="29" t="b">
        <f>ISNUMBER(SEARCH(",",E112))</f>
        <v>0</v>
      </c>
    </row>
    <row r="113" spans="1:21" ht="30" x14ac:dyDescent="0.25">
      <c r="A113" s="29" t="str">
        <f>IF(ISBLANK(M113)=TRUE,"Pending","Done")</f>
        <v>Done</v>
      </c>
      <c r="B113" s="29" t="s">
        <v>2386</v>
      </c>
      <c r="C113" s="29">
        <v>60</v>
      </c>
      <c r="D113" s="29" t="s">
        <v>863</v>
      </c>
      <c r="E113" s="29" t="s">
        <v>232</v>
      </c>
      <c r="F113" s="29" t="s">
        <v>71</v>
      </c>
      <c r="G113" s="29" t="s">
        <v>2385</v>
      </c>
      <c r="H113" s="29" t="s">
        <v>2387</v>
      </c>
      <c r="I113" s="29" t="s">
        <v>1769</v>
      </c>
      <c r="J113" s="29" t="s">
        <v>1769</v>
      </c>
      <c r="K113" s="29" t="s">
        <v>508</v>
      </c>
      <c r="L113" s="29" t="s">
        <v>395</v>
      </c>
      <c r="M113" s="29" t="s">
        <v>65</v>
      </c>
      <c r="N113" s="29">
        <v>5</v>
      </c>
      <c r="O113" s="29" t="s">
        <v>525</v>
      </c>
      <c r="P113" s="29" t="str" cm="1">
        <f t="array" ref="P113">_xlfn.REGEXEXTRACT(B113,"(?&lt;=//)[^/]+")</f>
        <v>bdsmstreak.com</v>
      </c>
      <c r="Q113" s="29" t="s">
        <v>695</v>
      </c>
      <c r="R113" s="29" t="s">
        <v>1769</v>
      </c>
      <c r="S113" s="29" t="str" cm="1">
        <f t="array" ref="S113">IF(R113&lt;&gt;"NotApplicable",_xlfn.REGEXEXTRACT(R113,"\d+(?=p)"),"NotApplicable")</f>
        <v>NotApplicable</v>
      </c>
      <c r="T113" s="29" t="s">
        <v>1769</v>
      </c>
      <c r="U113" s="29" t="b">
        <f>ISNUMBER(SEARCH(",",E113))</f>
        <v>0</v>
      </c>
    </row>
    <row r="114" spans="1:21" ht="30" x14ac:dyDescent="0.25">
      <c r="A114" s="29" t="str">
        <f>IF(ISBLANK(M114)=TRUE,"Pending","Done")</f>
        <v>Done</v>
      </c>
      <c r="B114" s="29" t="s">
        <v>31</v>
      </c>
      <c r="C114" s="29">
        <v>55</v>
      </c>
      <c r="D114" s="29" t="s">
        <v>1766</v>
      </c>
      <c r="E114" s="29" t="s">
        <v>1768</v>
      </c>
      <c r="F114" s="29" t="s">
        <v>71</v>
      </c>
      <c r="G114" s="29" t="s">
        <v>1769</v>
      </c>
      <c r="H114" s="29" t="s">
        <v>2395</v>
      </c>
      <c r="I114" s="29" t="s">
        <v>1769</v>
      </c>
      <c r="J114" s="29" t="s">
        <v>1769</v>
      </c>
      <c r="K114" s="29" t="s">
        <v>469</v>
      </c>
      <c r="L114" s="29" t="s">
        <v>396</v>
      </c>
      <c r="M114" s="29" t="s">
        <v>65</v>
      </c>
      <c r="N114" s="29">
        <v>5</v>
      </c>
      <c r="O114" s="29" t="s">
        <v>222</v>
      </c>
      <c r="P114" s="29" t="str" cm="1">
        <f t="array" ref="P114">_xlfn.REGEXEXTRACT(B114,"(?&lt;=//)[^/]+")</f>
        <v>spankbang.com</v>
      </c>
      <c r="Q114" s="29" t="s">
        <v>695</v>
      </c>
      <c r="R114" s="29" t="s">
        <v>1769</v>
      </c>
      <c r="S114" s="29" t="str" cm="1">
        <f t="array" ref="S114">IF(R114&lt;&gt;"NotApplicable",_xlfn.REGEXEXTRACT(R114,"\d+(?=p)"),"NotApplicable")</f>
        <v>NotApplicable</v>
      </c>
      <c r="T114" s="29" t="s">
        <v>1769</v>
      </c>
      <c r="U114" s="29" t="b">
        <f>ISNUMBER(SEARCH(",",E114))</f>
        <v>0</v>
      </c>
    </row>
    <row r="115" spans="1:21" ht="30" x14ac:dyDescent="0.25">
      <c r="A115" s="29" t="str">
        <f>IF(ISBLANK(M115)=TRUE,"Pending","Done")</f>
        <v>Done</v>
      </c>
      <c r="B115" s="29" t="s">
        <v>2430</v>
      </c>
      <c r="C115" s="29">
        <v>35</v>
      </c>
      <c r="D115" s="29" t="s">
        <v>174</v>
      </c>
      <c r="E115" s="29" t="s">
        <v>334</v>
      </c>
      <c r="F115" s="29" t="s">
        <v>71</v>
      </c>
      <c r="G115" s="29" t="s">
        <v>2429</v>
      </c>
      <c r="H115" s="29" t="s">
        <v>2431</v>
      </c>
      <c r="I115" s="29" t="s">
        <v>1769</v>
      </c>
      <c r="J115" s="29" t="s">
        <v>1769</v>
      </c>
      <c r="K115" s="29" t="s">
        <v>1733</v>
      </c>
      <c r="L115" s="29" t="s">
        <v>610</v>
      </c>
      <c r="M115" s="29" t="s">
        <v>65</v>
      </c>
      <c r="N115" s="29">
        <v>5</v>
      </c>
      <c r="O115" s="29" t="s">
        <v>729</v>
      </c>
      <c r="P115" s="29" t="str" cm="1">
        <f t="array" ref="P115">_xlfn.REGEXEXTRACT(B115,"(?&lt;=//)[^/]+")</f>
        <v>www.femdomvc.com</v>
      </c>
      <c r="Q115" s="29" t="s">
        <v>695</v>
      </c>
      <c r="R115" s="29" t="s">
        <v>1769</v>
      </c>
      <c r="S115" s="29" t="str" cm="1">
        <f t="array" ref="S115">IF(R115&lt;&gt;"NotApplicable",_xlfn.REGEXEXTRACT(R115,"\d+(?=p)"),"NotApplicable")</f>
        <v>NotApplicable</v>
      </c>
      <c r="T115" s="29" t="s">
        <v>1769</v>
      </c>
      <c r="U115" s="29" t="b">
        <f>ISNUMBER(SEARCH(",",E115))</f>
        <v>1</v>
      </c>
    </row>
    <row r="116" spans="1:21" ht="45" x14ac:dyDescent="0.25">
      <c r="A116" s="29" t="str">
        <f>IF(ISBLANK(M116)=TRUE,"Pending","Done")</f>
        <v>Done</v>
      </c>
      <c r="B116" s="29" t="s">
        <v>29</v>
      </c>
      <c r="C116" s="29">
        <v>50</v>
      </c>
      <c r="D116" s="29" t="s">
        <v>863</v>
      </c>
      <c r="E116" s="29" t="s">
        <v>340</v>
      </c>
      <c r="F116" s="29" t="s">
        <v>71</v>
      </c>
      <c r="G116" s="29" t="s">
        <v>2404</v>
      </c>
      <c r="H116" s="29" t="s">
        <v>2403</v>
      </c>
      <c r="I116" s="29" t="s">
        <v>1769</v>
      </c>
      <c r="J116" s="29" t="s">
        <v>1769</v>
      </c>
      <c r="K116" s="29" t="s">
        <v>2405</v>
      </c>
      <c r="L116" s="29" t="s">
        <v>628</v>
      </c>
      <c r="M116" s="29" t="s">
        <v>65</v>
      </c>
      <c r="N116" s="29">
        <v>5</v>
      </c>
      <c r="O116" s="29" t="s">
        <v>213</v>
      </c>
      <c r="P116" s="29" t="str" cm="1">
        <f t="array" ref="P116">_xlfn.REGEXEXTRACT(B116,"(?&lt;=//)[^/]+")</f>
        <v>hcbdsm.com</v>
      </c>
      <c r="Q116" s="29" t="s">
        <v>695</v>
      </c>
      <c r="R116" s="29" t="s">
        <v>1769</v>
      </c>
      <c r="S116" s="29" t="str" cm="1">
        <f t="array" ref="S116">IF(R116&lt;&gt;"NotApplicable",_xlfn.REGEXEXTRACT(R116,"\d+(?=p)"),"NotApplicable")</f>
        <v>NotApplicable</v>
      </c>
      <c r="T116" s="29" t="s">
        <v>1769</v>
      </c>
      <c r="U116" s="29" t="b">
        <f>ISNUMBER(SEARCH(",",E116))</f>
        <v>1</v>
      </c>
    </row>
    <row r="117" spans="1:21" ht="30" x14ac:dyDescent="0.25">
      <c r="A117" s="29" t="str">
        <f>IF(ISBLANK(M117)=TRUE,"Pending","Done")</f>
        <v>Done</v>
      </c>
      <c r="B117" s="29" t="s">
        <v>680</v>
      </c>
      <c r="C117" s="29">
        <v>29</v>
      </c>
      <c r="D117" s="29" t="s">
        <v>93</v>
      </c>
      <c r="E117" s="29" t="s">
        <v>2437</v>
      </c>
      <c r="F117" s="29" t="s">
        <v>71</v>
      </c>
      <c r="G117" s="29" t="s">
        <v>2435</v>
      </c>
      <c r="H117" s="29" t="s">
        <v>2436</v>
      </c>
      <c r="I117" s="29" t="s">
        <v>1769</v>
      </c>
      <c r="J117" s="29" t="s">
        <v>1769</v>
      </c>
      <c r="K117" s="29" t="s">
        <v>690</v>
      </c>
      <c r="L117" s="29" t="s">
        <v>400</v>
      </c>
      <c r="M117" s="29" t="s">
        <v>65</v>
      </c>
      <c r="N117" s="29">
        <v>5</v>
      </c>
      <c r="O117" s="29" t="s">
        <v>689</v>
      </c>
      <c r="P117" s="29" t="str" cm="1">
        <f t="array" ref="P117">_xlfn.REGEXEXTRACT(B117,"(?&lt;=//)[^/]+")</f>
        <v>www.xozilla.xxx</v>
      </c>
      <c r="Q117" s="29" t="s">
        <v>695</v>
      </c>
      <c r="R117" s="29" t="s">
        <v>1769</v>
      </c>
      <c r="S117" s="29" t="str" cm="1">
        <f t="array" ref="S117">IF(R117&lt;&gt;"NotApplicable",_xlfn.REGEXEXTRACT(R117,"\d+(?=p)"),"NotApplicable")</f>
        <v>NotApplicable</v>
      </c>
      <c r="T117" s="29" t="s">
        <v>1769</v>
      </c>
      <c r="U117" s="29" t="b">
        <f>ISNUMBER(SEARCH(",",E117))</f>
        <v>1</v>
      </c>
    </row>
    <row r="118" spans="1:21" ht="45" x14ac:dyDescent="0.25">
      <c r="A118" s="29" t="str">
        <f>IF(ISBLANK(M118)=TRUE,"Pending","Done")</f>
        <v>Done</v>
      </c>
      <c r="B118" s="29" t="s">
        <v>1559</v>
      </c>
      <c r="C118" s="29">
        <v>15</v>
      </c>
      <c r="D118" s="29" t="s">
        <v>864</v>
      </c>
      <c r="E118" s="29" t="s">
        <v>438</v>
      </c>
      <c r="F118" s="29" t="s">
        <v>70</v>
      </c>
      <c r="G118" s="29" t="s">
        <v>2181</v>
      </c>
      <c r="H118" s="29" t="s">
        <v>2181</v>
      </c>
      <c r="I118" s="29" t="s">
        <v>1769</v>
      </c>
      <c r="J118" s="29" t="s">
        <v>1769</v>
      </c>
      <c r="K118" s="29" t="s">
        <v>2184</v>
      </c>
      <c r="L118" s="29" t="s">
        <v>2182</v>
      </c>
      <c r="M118" s="29" t="s">
        <v>65</v>
      </c>
      <c r="N118" s="29">
        <v>5</v>
      </c>
      <c r="O118" s="29" t="s">
        <v>2183</v>
      </c>
      <c r="P118" s="29" t="str" cm="1">
        <f t="array" ref="P118">_xlfn.REGEXEXTRACT(B118,"(?&lt;=//)[^/]+")</f>
        <v>hcbdsm.com</v>
      </c>
      <c r="Q118" s="29" t="s">
        <v>695</v>
      </c>
      <c r="R118" s="29" t="s">
        <v>1769</v>
      </c>
      <c r="S118" s="29" t="str" cm="1">
        <f t="array" ref="S118">IF(R118&lt;&gt;"NotApplicable",_xlfn.REGEXEXTRACT(R118,"\d+(?=p)"),"NotApplicable")</f>
        <v>NotApplicable</v>
      </c>
      <c r="T118" s="29" t="s">
        <v>1769</v>
      </c>
      <c r="U118" s="29" t="b">
        <f>ISNUMBER(SEARCH(",",E118))</f>
        <v>0</v>
      </c>
    </row>
    <row r="119" spans="1:21" ht="30" x14ac:dyDescent="0.25">
      <c r="A119" s="29" t="str">
        <f>IF(ISBLANK(M119)=TRUE,"Pending","Done")</f>
        <v>Done</v>
      </c>
      <c r="B119" s="29" t="s">
        <v>18</v>
      </c>
      <c r="C119" s="29">
        <v>46</v>
      </c>
      <c r="D119" s="29" t="s">
        <v>868</v>
      </c>
      <c r="E119" s="29" t="s">
        <v>207</v>
      </c>
      <c r="F119" s="29" t="s">
        <v>70</v>
      </c>
      <c r="G119" s="29" t="s">
        <v>2416</v>
      </c>
      <c r="H119" s="29" t="s">
        <v>2415</v>
      </c>
      <c r="I119" s="29" t="s">
        <v>1769</v>
      </c>
      <c r="J119" s="29" t="s">
        <v>1769</v>
      </c>
      <c r="K119" s="29" t="s">
        <v>512</v>
      </c>
      <c r="L119" s="29" t="s">
        <v>718</v>
      </c>
      <c r="M119" s="29" t="s">
        <v>65</v>
      </c>
      <c r="N119" s="29">
        <v>5</v>
      </c>
      <c r="O119" s="29" t="s">
        <v>825</v>
      </c>
      <c r="P119" s="29" t="str" cm="1">
        <f t="array" ref="P119">_xlfn.REGEXEXTRACT(B119,"(?&lt;=//)[^/]+")</f>
        <v>heavyfetish.com</v>
      </c>
      <c r="Q119" s="29" t="s">
        <v>695</v>
      </c>
      <c r="R119" s="29" t="s">
        <v>1769</v>
      </c>
      <c r="S119" s="29" t="str" cm="1">
        <f t="array" ref="S119">IF(R119&lt;&gt;"NotApplicable",_xlfn.REGEXEXTRACT(R119,"\d+(?=p)"),"NotApplicable")</f>
        <v>NotApplicable</v>
      </c>
      <c r="T119" s="29" t="s">
        <v>1769</v>
      </c>
      <c r="U119" s="29" t="b">
        <f>ISNUMBER(SEARCH(",",E119))</f>
        <v>0</v>
      </c>
    </row>
    <row r="120" spans="1:21" ht="45" x14ac:dyDescent="0.25">
      <c r="A120" s="29" t="str">
        <f>IF(ISBLANK(M120)=TRUE,"Pending","Done")</f>
        <v>Done</v>
      </c>
      <c r="B120" s="29" t="s">
        <v>2378</v>
      </c>
      <c r="C120" s="29">
        <v>89</v>
      </c>
      <c r="D120" s="29" t="s">
        <v>868</v>
      </c>
      <c r="E120" s="29" t="s">
        <v>1697</v>
      </c>
      <c r="F120" s="29" t="s">
        <v>70</v>
      </c>
      <c r="G120" s="29" t="s">
        <v>2377</v>
      </c>
      <c r="H120" s="29" t="s">
        <v>2377</v>
      </c>
      <c r="I120" s="29" t="s">
        <v>1769</v>
      </c>
      <c r="J120" s="29" t="s">
        <v>1769</v>
      </c>
      <c r="K120" s="29" t="s">
        <v>2155</v>
      </c>
      <c r="L120" s="29" t="s">
        <v>392</v>
      </c>
      <c r="M120" s="29" t="s">
        <v>65</v>
      </c>
      <c r="N120" s="29">
        <v>5</v>
      </c>
      <c r="O120" s="29" t="s">
        <v>518</v>
      </c>
      <c r="P120" s="29" t="str" cm="1">
        <f t="array" ref="P120">_xlfn.REGEXEXTRACT(B120,"(?&lt;=//)[^/]+")</f>
        <v>bdsmstreak.com</v>
      </c>
      <c r="Q120" s="29" t="s">
        <v>695</v>
      </c>
      <c r="R120" s="29" t="s">
        <v>1769</v>
      </c>
      <c r="S120" s="29" t="str" cm="1">
        <f t="array" ref="S120">IF(R120&lt;&gt;"NotApplicable",_xlfn.REGEXEXTRACT(R120,"\d+(?=p)"),"NotApplicable")</f>
        <v>NotApplicable</v>
      </c>
      <c r="T120" s="29" t="s">
        <v>1769</v>
      </c>
      <c r="U120" s="29" t="b">
        <f>ISNUMBER(SEARCH(",",E120))</f>
        <v>1</v>
      </c>
    </row>
    <row r="121" spans="1:21" ht="30" x14ac:dyDescent="0.25">
      <c r="A121" s="29" t="str">
        <f>IF(ISBLANK(M121)=TRUE,"Pending","Done")</f>
        <v>Done</v>
      </c>
      <c r="B121" s="29" t="s">
        <v>2418</v>
      </c>
      <c r="C121" s="29">
        <v>46</v>
      </c>
      <c r="D121" s="29" t="s">
        <v>857</v>
      </c>
      <c r="E121" s="29" t="s">
        <v>294</v>
      </c>
      <c r="F121" s="29" t="s">
        <v>70</v>
      </c>
      <c r="G121" s="29" t="s">
        <v>2417</v>
      </c>
      <c r="H121" s="29" t="s">
        <v>2419</v>
      </c>
      <c r="I121" s="29" t="s">
        <v>1769</v>
      </c>
      <c r="J121" s="29" t="s">
        <v>1769</v>
      </c>
      <c r="K121" s="29" t="s">
        <v>2420</v>
      </c>
      <c r="L121" s="29" t="s">
        <v>621</v>
      </c>
      <c r="M121" s="29" t="s">
        <v>65</v>
      </c>
      <c r="N121" s="29">
        <v>5</v>
      </c>
      <c r="O121" s="29" t="s">
        <v>2421</v>
      </c>
      <c r="P121" s="29" t="str" cm="1">
        <f t="array" ref="P121">_xlfn.REGEXEXTRACT(B121,"(?&lt;=//)[^/]+")</f>
        <v>pornone.com</v>
      </c>
      <c r="Q121" s="29" t="s">
        <v>695</v>
      </c>
      <c r="R121" s="29" t="s">
        <v>1769</v>
      </c>
      <c r="S121" s="29" t="str" cm="1">
        <f t="array" ref="S121">IF(R121&lt;&gt;"NotApplicable",_xlfn.REGEXEXTRACT(R121,"\d+(?=p)"),"NotApplicable")</f>
        <v>NotApplicable</v>
      </c>
      <c r="T121" s="29" t="s">
        <v>1769</v>
      </c>
      <c r="U121" s="29" t="b">
        <f>ISNUMBER(SEARCH(",",E121))</f>
        <v>0</v>
      </c>
    </row>
    <row r="122" spans="1:21" ht="45" x14ac:dyDescent="0.25">
      <c r="A122" s="29" t="str">
        <f>IF(ISBLANK(M122)=TRUE,"Pending","Done")</f>
        <v>Done</v>
      </c>
      <c r="B122" s="29" t="s">
        <v>2393</v>
      </c>
      <c r="C122" s="29">
        <v>55</v>
      </c>
      <c r="D122" s="29" t="s">
        <v>868</v>
      </c>
      <c r="E122" s="29" t="s">
        <v>172</v>
      </c>
      <c r="F122" s="29" t="s">
        <v>70</v>
      </c>
      <c r="G122" s="29" t="s">
        <v>2392</v>
      </c>
      <c r="H122" s="29" t="s">
        <v>2394</v>
      </c>
      <c r="I122" s="29" t="s">
        <v>1769</v>
      </c>
      <c r="J122" s="29" t="s">
        <v>1769</v>
      </c>
      <c r="K122" s="29" t="s">
        <v>562</v>
      </c>
      <c r="L122" s="29" t="s">
        <v>646</v>
      </c>
      <c r="M122" s="29" t="s">
        <v>65</v>
      </c>
      <c r="N122" s="29">
        <v>5</v>
      </c>
      <c r="O122" s="29" t="s">
        <v>592</v>
      </c>
      <c r="P122" s="29" t="str" cm="1">
        <f t="array" ref="P122">_xlfn.REGEXEXTRACT(B122,"(?&lt;=//)[^/]+")</f>
        <v>bdsmstreak.com</v>
      </c>
      <c r="Q122" s="29" t="s">
        <v>695</v>
      </c>
      <c r="R122" s="29" t="s">
        <v>1769</v>
      </c>
      <c r="S122" s="29" t="str" cm="1">
        <f t="array" ref="S122">IF(R122&lt;&gt;"NotApplicable",_xlfn.REGEXEXTRACT(R122,"\d+(?=p)"),"NotApplicable")</f>
        <v>NotApplicable</v>
      </c>
      <c r="T122" s="29" t="s">
        <v>1769</v>
      </c>
      <c r="U122" s="29" t="b">
        <f>ISNUMBER(SEARCH(",",E122))</f>
        <v>0</v>
      </c>
    </row>
    <row r="123" spans="1:21" ht="30" x14ac:dyDescent="0.25">
      <c r="A123" s="29" t="str">
        <f>IF(ISBLANK(M123)=TRUE,"Pending","Done")</f>
        <v>Done</v>
      </c>
      <c r="B123" s="29" t="s">
        <v>1686</v>
      </c>
      <c r="C123" s="29">
        <v>62</v>
      </c>
      <c r="D123" s="29" t="s">
        <v>864</v>
      </c>
      <c r="E123" s="29" t="s">
        <v>233</v>
      </c>
      <c r="F123" s="29" t="s">
        <v>70</v>
      </c>
      <c r="G123" s="29" t="s">
        <v>2384</v>
      </c>
      <c r="H123" s="29" t="s">
        <v>2383</v>
      </c>
      <c r="I123" s="29" t="s">
        <v>1769</v>
      </c>
      <c r="J123" s="29" t="s">
        <v>1769</v>
      </c>
      <c r="K123" s="29" t="s">
        <v>538</v>
      </c>
      <c r="L123" s="29" t="s">
        <v>394</v>
      </c>
      <c r="M123" s="29" t="s">
        <v>65</v>
      </c>
      <c r="N123" s="29">
        <v>5</v>
      </c>
      <c r="O123" s="29" t="s">
        <v>540</v>
      </c>
      <c r="P123" s="29" t="str" cm="1">
        <f t="array" ref="P123">_xlfn.REGEXEXTRACT(B123,"(?&lt;=//)[^/]+")</f>
        <v>hcbdsm.com</v>
      </c>
      <c r="Q123" s="29" t="s">
        <v>695</v>
      </c>
      <c r="R123" s="29" t="s">
        <v>1769</v>
      </c>
      <c r="S123" s="29" t="str" cm="1">
        <f t="array" ref="S123">IF(R123&lt;&gt;"NotApplicable",_xlfn.REGEXEXTRACT(R123,"\d+(?=p)"),"NotApplicable")</f>
        <v>NotApplicable</v>
      </c>
      <c r="T123" s="29" t="s">
        <v>1769</v>
      </c>
      <c r="U123" s="29" t="b">
        <f>ISNUMBER(SEARCH(",",E123))</f>
        <v>0</v>
      </c>
    </row>
    <row r="124" spans="1:21" ht="45" x14ac:dyDescent="0.25">
      <c r="A124" s="29" t="str">
        <f>IF(ISBLANK(M124)=TRUE,"Pending","Done")</f>
        <v>Done</v>
      </c>
      <c r="B124" s="29" t="s">
        <v>16</v>
      </c>
      <c r="C124" s="29">
        <v>51</v>
      </c>
      <c r="D124" s="29" t="s">
        <v>864</v>
      </c>
      <c r="E124" s="29" t="s">
        <v>214</v>
      </c>
      <c r="F124" s="29" t="s">
        <v>70</v>
      </c>
      <c r="G124" s="29" t="s">
        <v>2402</v>
      </c>
      <c r="H124" s="29" t="s">
        <v>2401</v>
      </c>
      <c r="I124" s="29" t="s">
        <v>1769</v>
      </c>
      <c r="J124" s="29" t="s">
        <v>1769</v>
      </c>
      <c r="K124" s="29" t="s">
        <v>494</v>
      </c>
      <c r="L124" s="29" t="s">
        <v>397</v>
      </c>
      <c r="M124" s="29" t="s">
        <v>65</v>
      </c>
      <c r="N124" s="29">
        <v>5</v>
      </c>
      <c r="O124" s="29" t="s">
        <v>215</v>
      </c>
      <c r="P124" s="29" t="str" cm="1">
        <f t="array" ref="P124">_xlfn.REGEXEXTRACT(B124,"(?&lt;=//)[^/]+")</f>
        <v>heavyfetish.com</v>
      </c>
      <c r="Q124" s="29" t="s">
        <v>695</v>
      </c>
      <c r="R124" s="29" t="s">
        <v>1769</v>
      </c>
      <c r="S124" s="29" t="str" cm="1">
        <f t="array" ref="S124">IF(R124&lt;&gt;"NotApplicable",_xlfn.REGEXEXTRACT(R124,"\d+(?=p)"),"NotApplicable")</f>
        <v>NotApplicable</v>
      </c>
      <c r="T124" s="29" t="s">
        <v>1769</v>
      </c>
      <c r="U124" s="29" t="b">
        <f>ISNUMBER(SEARCH(",",E124))</f>
        <v>0</v>
      </c>
    </row>
    <row r="125" spans="1:21" ht="30" x14ac:dyDescent="0.25">
      <c r="A125" s="29" t="str">
        <f>IF(ISBLANK(M125)=TRUE,"Pending","Done")</f>
        <v>Done</v>
      </c>
      <c r="B125" s="29" t="s">
        <v>807</v>
      </c>
      <c r="C125" s="29">
        <v>47</v>
      </c>
      <c r="D125" s="29" t="s">
        <v>857</v>
      </c>
      <c r="E125" s="29" t="s">
        <v>764</v>
      </c>
      <c r="F125" s="29" t="s">
        <v>70</v>
      </c>
      <c r="G125" s="29" t="s">
        <v>2406</v>
      </c>
      <c r="H125" s="29" t="s">
        <v>2407</v>
      </c>
      <c r="I125" s="29" t="s">
        <v>1769</v>
      </c>
      <c r="J125" s="29" t="s">
        <v>1769</v>
      </c>
      <c r="K125" s="29" t="s">
        <v>811</v>
      </c>
      <c r="L125" s="29" t="s">
        <v>810</v>
      </c>
      <c r="M125" s="29" t="s">
        <v>65</v>
      </c>
      <c r="N125" s="29">
        <v>5</v>
      </c>
      <c r="O125" s="29" t="s">
        <v>812</v>
      </c>
      <c r="P125" s="29" t="str" cm="1">
        <f t="array" ref="P125">_xlfn.REGEXEXTRACT(B125,"(?&lt;=//)[^/]+")</f>
        <v>heavyfetish.com</v>
      </c>
      <c r="Q125" s="29" t="s">
        <v>695</v>
      </c>
      <c r="R125" s="29" t="s">
        <v>1769</v>
      </c>
      <c r="S125" s="29" t="str" cm="1">
        <f t="array" ref="S125">IF(R125&lt;&gt;"NotApplicable",_xlfn.REGEXEXTRACT(R125,"\d+(?=p)"),"NotApplicable")</f>
        <v>NotApplicable</v>
      </c>
      <c r="T125" s="29" t="s">
        <v>1769</v>
      </c>
      <c r="U125" s="29" t="b">
        <f>ISNUMBER(SEARCH(",",E125))</f>
        <v>0</v>
      </c>
    </row>
    <row r="126" spans="1:21" ht="45" x14ac:dyDescent="0.25">
      <c r="A126" s="29" t="str">
        <f>IF(ISBLANK(M126)=TRUE,"Pending","Done")</f>
        <v>Done</v>
      </c>
      <c r="B126" s="29" t="s">
        <v>872</v>
      </c>
      <c r="C126" s="29">
        <v>44</v>
      </c>
      <c r="D126" s="29" t="s">
        <v>868</v>
      </c>
      <c r="E126" s="29" t="s">
        <v>744</v>
      </c>
      <c r="F126" s="29" t="s">
        <v>70</v>
      </c>
      <c r="G126" s="29" t="s">
        <v>2425</v>
      </c>
      <c r="H126" s="29" t="s">
        <v>2424</v>
      </c>
      <c r="I126" s="29" t="s">
        <v>1769</v>
      </c>
      <c r="J126" s="29" t="s">
        <v>1769</v>
      </c>
      <c r="K126" s="29" t="s">
        <v>1705</v>
      </c>
      <c r="L126" s="29" t="s">
        <v>1503</v>
      </c>
      <c r="M126" s="29" t="s">
        <v>65</v>
      </c>
      <c r="N126" s="29">
        <v>5</v>
      </c>
      <c r="O126" s="29" t="s">
        <v>1502</v>
      </c>
      <c r="P126" s="29" t="str" cm="1">
        <f t="array" ref="P126">_xlfn.REGEXEXTRACT(B126,"(?&lt;=//)[^/]+")</f>
        <v>bdsmstreak.com</v>
      </c>
      <c r="Q126" s="29" t="s">
        <v>695</v>
      </c>
      <c r="R126" s="29" t="s">
        <v>1769</v>
      </c>
      <c r="S126" s="29" t="str" cm="1">
        <f t="array" ref="S126">IF(R126&lt;&gt;"NotApplicable",_xlfn.REGEXEXTRACT(R126,"\d+(?=p)"),"NotApplicable")</f>
        <v>NotApplicable</v>
      </c>
      <c r="T126" s="29" t="s">
        <v>1769</v>
      </c>
      <c r="U126" s="29" t="b">
        <f>ISNUMBER(SEARCH(",",E126))</f>
        <v>1</v>
      </c>
    </row>
    <row r="127" spans="1:21" ht="30" x14ac:dyDescent="0.25">
      <c r="A127" s="29" t="str">
        <f>IF(ISBLANK(M127)=TRUE,"Pending","Done")</f>
        <v>Done</v>
      </c>
      <c r="B127" s="29" t="s">
        <v>1532</v>
      </c>
      <c r="C127" s="29">
        <v>8</v>
      </c>
      <c r="D127" s="29" t="s">
        <v>149</v>
      </c>
      <c r="E127" s="29" t="s">
        <v>1527</v>
      </c>
      <c r="F127" s="29" t="s">
        <v>70</v>
      </c>
      <c r="G127" s="29" t="s">
        <v>1529</v>
      </c>
      <c r="H127" s="29" t="s">
        <v>1537</v>
      </c>
      <c r="I127" s="29" t="s">
        <v>1769</v>
      </c>
      <c r="J127" s="29" t="s">
        <v>1769</v>
      </c>
      <c r="K127" s="29" t="s">
        <v>1547</v>
      </c>
      <c r="L127" s="29" t="s">
        <v>1544</v>
      </c>
      <c r="M127" s="29" t="s">
        <v>65</v>
      </c>
      <c r="N127" s="29">
        <v>5</v>
      </c>
      <c r="O127" s="29" t="s">
        <v>1545</v>
      </c>
      <c r="P127" s="29" t="str" cm="1">
        <f t="array" ref="P127">_xlfn.REGEXEXTRACT(B127,"(?&lt;=//)[^/]+")</f>
        <v>www.porntrex.com</v>
      </c>
      <c r="Q127" s="29" t="s">
        <v>694</v>
      </c>
      <c r="R127" s="29" t="s">
        <v>1528</v>
      </c>
      <c r="S127" s="29" t="str" cm="1">
        <f t="array" ref="S127">IF(R127&lt;&gt;"NotApplicable",_xlfn.REGEXEXTRACT(R127,"\d+(?=p)"),"NotApplicable")</f>
        <v>1080</v>
      </c>
      <c r="T127" s="29" t="s">
        <v>1534</v>
      </c>
      <c r="U127" s="29" t="b">
        <f>ISNUMBER(SEARCH(",",E127))</f>
        <v>0</v>
      </c>
    </row>
    <row r="128" spans="1:21" ht="30" x14ac:dyDescent="0.25">
      <c r="A128" s="29" t="str">
        <f>IF(ISBLANK(M128)=TRUE,"Pending","Done")</f>
        <v>Done</v>
      </c>
      <c r="B128" s="29" t="s">
        <v>2397</v>
      </c>
      <c r="C128" s="29">
        <v>54</v>
      </c>
      <c r="D128" s="29" t="s">
        <v>857</v>
      </c>
      <c r="E128" s="29" t="s">
        <v>431</v>
      </c>
      <c r="F128" s="29" t="s">
        <v>70</v>
      </c>
      <c r="G128" s="29" t="s">
        <v>2396</v>
      </c>
      <c r="H128" s="29" t="s">
        <v>2398</v>
      </c>
      <c r="I128" s="29" t="s">
        <v>1769</v>
      </c>
      <c r="J128" s="29" t="s">
        <v>1769</v>
      </c>
      <c r="K128" s="29" t="s">
        <v>580</v>
      </c>
      <c r="L128" s="29" t="s">
        <v>647</v>
      </c>
      <c r="M128" s="29" t="s">
        <v>65</v>
      </c>
      <c r="N128" s="29">
        <v>5</v>
      </c>
      <c r="O128" s="29" t="s">
        <v>480</v>
      </c>
      <c r="P128" s="29" t="str" cm="1">
        <f t="array" ref="P128">_xlfn.REGEXEXTRACT(B128,"(?&lt;=//)[^/]+")</f>
        <v>www.tnaflix.com</v>
      </c>
      <c r="Q128" s="29" t="s">
        <v>695</v>
      </c>
      <c r="R128" s="29" t="s">
        <v>1769</v>
      </c>
      <c r="S128" s="29" t="str" cm="1">
        <f t="array" ref="S128">IF(R128&lt;&gt;"NotApplicable",_xlfn.REGEXEXTRACT(R128,"\d+(?=p)"),"NotApplicable")</f>
        <v>NotApplicable</v>
      </c>
      <c r="T128" s="29" t="s">
        <v>1769</v>
      </c>
      <c r="U128" s="29" t="b">
        <f>ISNUMBER(SEARCH(",",E128))</f>
        <v>0</v>
      </c>
    </row>
    <row r="129" spans="1:21" ht="30" x14ac:dyDescent="0.25">
      <c r="A129" s="29" t="str">
        <f>IF(ISBLANK(M129)=TRUE,"Pending","Done")</f>
        <v>Done</v>
      </c>
      <c r="B129" s="29" t="s">
        <v>260</v>
      </c>
      <c r="C129" s="29">
        <v>0</v>
      </c>
      <c r="D129" s="29" t="s">
        <v>857</v>
      </c>
      <c r="E129" s="29" t="s">
        <v>453</v>
      </c>
      <c r="F129" s="29" t="s">
        <v>70</v>
      </c>
      <c r="G129" s="29" t="s">
        <v>1769</v>
      </c>
      <c r="H129" s="29" t="s">
        <v>1769</v>
      </c>
      <c r="I129" s="29" t="s">
        <v>1769</v>
      </c>
      <c r="J129" s="29" t="s">
        <v>1769</v>
      </c>
      <c r="K129" s="29" t="s">
        <v>543</v>
      </c>
      <c r="L129" s="29" t="s">
        <v>399</v>
      </c>
      <c r="M129" s="29" t="s">
        <v>65</v>
      </c>
      <c r="N129" s="29">
        <v>5</v>
      </c>
      <c r="O129" s="29" t="s">
        <v>262</v>
      </c>
      <c r="P129" s="29" t="str" cm="1">
        <f t="array" ref="P129">_xlfn.REGEXEXTRACT(B129,"(?&lt;=//)[^/]+")</f>
        <v>www.txxx.porn</v>
      </c>
      <c r="Q129" s="29" t="s">
        <v>695</v>
      </c>
      <c r="R129" s="29" t="s">
        <v>1769</v>
      </c>
      <c r="S129" s="29" t="str" cm="1">
        <f t="array" ref="S129">IF(R129&lt;&gt;"NotApplicable",_xlfn.REGEXEXTRACT(R129,"\d+(?=p)"),"NotApplicable")</f>
        <v>NotApplicable</v>
      </c>
      <c r="T129" s="29" t="s">
        <v>1769</v>
      </c>
      <c r="U129" s="29" t="b">
        <f>ISNUMBER(SEARCH(",",E129))</f>
        <v>0</v>
      </c>
    </row>
    <row r="130" spans="1:21" ht="30" x14ac:dyDescent="0.25">
      <c r="A130" s="29" t="str">
        <f>IF(ISBLANK(M130)=TRUE,"Pending","Done")</f>
        <v>Done</v>
      </c>
      <c r="B130" s="29" t="s">
        <v>140</v>
      </c>
      <c r="C130" s="29">
        <v>6</v>
      </c>
      <c r="D130" s="29" t="s">
        <v>1766</v>
      </c>
      <c r="E130" s="29" t="s">
        <v>870</v>
      </c>
      <c r="F130" s="29" t="s">
        <v>70</v>
      </c>
      <c r="G130" s="29" t="s">
        <v>1769</v>
      </c>
      <c r="H130" s="29" t="s">
        <v>2349</v>
      </c>
      <c r="I130" s="29" t="s">
        <v>1769</v>
      </c>
      <c r="J130" s="29" t="s">
        <v>1769</v>
      </c>
      <c r="K130" s="29" t="s">
        <v>589</v>
      </c>
      <c r="L130" s="29" t="s">
        <v>107</v>
      </c>
      <c r="M130" s="29" t="s">
        <v>65</v>
      </c>
      <c r="N130" s="29">
        <v>5</v>
      </c>
      <c r="O130" s="29" t="s">
        <v>224</v>
      </c>
      <c r="P130" s="29" t="str" cm="1">
        <f t="array" ref="P130">_xlfn.REGEXEXTRACT(B130,"(?&lt;=//)[^/]+")</f>
        <v>spankbang.com</v>
      </c>
      <c r="Q130" s="29" t="s">
        <v>695</v>
      </c>
      <c r="R130" s="29" t="s">
        <v>1769</v>
      </c>
      <c r="S130" s="29" t="str" cm="1">
        <f t="array" ref="S130">IF(R130&lt;&gt;"NotApplicable",_xlfn.REGEXEXTRACT(R130,"\d+(?=p)"),"NotApplicable")</f>
        <v>NotApplicable</v>
      </c>
      <c r="T130" s="29" t="s">
        <v>1769</v>
      </c>
      <c r="U130" s="29" t="b">
        <f>ISNUMBER(SEARCH(",",E130))</f>
        <v>0</v>
      </c>
    </row>
    <row r="131" spans="1:21" ht="30" x14ac:dyDescent="0.25">
      <c r="A131" s="29" t="str">
        <f>IF(ISBLANK(M131)=TRUE,"Pending","Done")</f>
        <v>Done</v>
      </c>
      <c r="B131" s="29" t="s">
        <v>129</v>
      </c>
      <c r="C131" s="29">
        <v>43</v>
      </c>
      <c r="D131" s="29" t="s">
        <v>864</v>
      </c>
      <c r="E131" s="29" t="s">
        <v>332</v>
      </c>
      <c r="F131" s="29" t="s">
        <v>70</v>
      </c>
      <c r="G131" s="29" t="s">
        <v>2426</v>
      </c>
      <c r="H131" s="29" t="s">
        <v>2426</v>
      </c>
      <c r="I131" s="29" t="s">
        <v>1769</v>
      </c>
      <c r="J131" s="29" t="s">
        <v>1769</v>
      </c>
      <c r="K131" s="29" t="s">
        <v>1747</v>
      </c>
      <c r="L131" s="29" t="s">
        <v>642</v>
      </c>
      <c r="M131" s="29" t="s">
        <v>65</v>
      </c>
      <c r="N131" s="29">
        <v>5</v>
      </c>
      <c r="O131" s="29" t="s">
        <v>187</v>
      </c>
      <c r="P131" s="29" t="str" cm="1">
        <f t="array" ref="P131">_xlfn.REGEXEXTRACT(B131,"(?&lt;=//)[^/]+")</f>
        <v>bdsmstreak.com</v>
      </c>
      <c r="Q131" s="29" t="s">
        <v>695</v>
      </c>
      <c r="R131" s="29" t="s">
        <v>1769</v>
      </c>
      <c r="S131" s="29" t="str" cm="1">
        <f t="array" ref="S131">IF(R131&lt;&gt;"NotApplicable",_xlfn.REGEXEXTRACT(R131,"\d+(?=p)"),"NotApplicable")</f>
        <v>NotApplicable</v>
      </c>
      <c r="T131" s="29" t="s">
        <v>1769</v>
      </c>
      <c r="U131" s="29" t="b">
        <f>ISNUMBER(SEARCH(",",E131))</f>
        <v>1</v>
      </c>
    </row>
    <row r="132" spans="1:21" ht="30" x14ac:dyDescent="0.25">
      <c r="A132" s="29" t="str">
        <f>IF(ISBLANK(M132)=TRUE,"Pending","Done")</f>
        <v>Done</v>
      </c>
      <c r="B132" s="29" t="s">
        <v>1557</v>
      </c>
      <c r="C132" s="29">
        <v>12</v>
      </c>
      <c r="D132" s="29" t="s">
        <v>868</v>
      </c>
      <c r="E132" s="29" t="s">
        <v>1592</v>
      </c>
      <c r="F132" s="29" t="s">
        <v>70</v>
      </c>
      <c r="G132" s="29" t="s">
        <v>2171</v>
      </c>
      <c r="H132" s="29" t="s">
        <v>2171</v>
      </c>
      <c r="I132" s="29" t="s">
        <v>1769</v>
      </c>
      <c r="J132" s="29" t="s">
        <v>1769</v>
      </c>
      <c r="K132" s="29" t="s">
        <v>2169</v>
      </c>
      <c r="L132" s="29" t="s">
        <v>1672</v>
      </c>
      <c r="M132" s="29" t="s">
        <v>65</v>
      </c>
      <c r="N132" s="29">
        <v>5</v>
      </c>
      <c r="O132" s="29" t="s">
        <v>2170</v>
      </c>
      <c r="P132" s="29" t="str" cm="1">
        <f t="array" ref="P132">_xlfn.REGEXEXTRACT(B132,"(?&lt;=//)[^/]+")</f>
        <v>bdsmstreak.com</v>
      </c>
      <c r="Q132" s="29" t="s">
        <v>695</v>
      </c>
      <c r="R132" s="29" t="s">
        <v>1769</v>
      </c>
      <c r="S132" s="29" t="str" cm="1">
        <f t="array" ref="S132">IF(R132&lt;&gt;"NotApplicable",_xlfn.REGEXEXTRACT(R132,"\d+(?=p)"),"NotApplicable")</f>
        <v>NotApplicable</v>
      </c>
      <c r="T132" s="29" t="s">
        <v>1769</v>
      </c>
      <c r="U132" s="29" t="b">
        <f>ISNUMBER(SEARCH(",",E132))</f>
        <v>0</v>
      </c>
    </row>
    <row r="133" spans="1:21" ht="45" x14ac:dyDescent="0.25">
      <c r="A133" s="29" t="str">
        <f>IF(ISBLANK(M133)=TRUE,"Pending","Done")</f>
        <v>Done</v>
      </c>
      <c r="B133" s="29" t="s">
        <v>2375</v>
      </c>
      <c r="C133" s="29">
        <v>116</v>
      </c>
      <c r="D133" s="29" t="s">
        <v>1766</v>
      </c>
      <c r="E133" s="29" t="s">
        <v>251</v>
      </c>
      <c r="F133" s="29" t="s">
        <v>70</v>
      </c>
      <c r="G133" s="29" t="s">
        <v>1769</v>
      </c>
      <c r="H133" s="29" t="s">
        <v>2376</v>
      </c>
      <c r="I133" s="29" t="s">
        <v>1769</v>
      </c>
      <c r="J133" s="29" t="s">
        <v>1769</v>
      </c>
      <c r="K133" s="29" t="s">
        <v>468</v>
      </c>
      <c r="L133" s="29" t="s">
        <v>717</v>
      </c>
      <c r="M133" s="29" t="s">
        <v>65</v>
      </c>
      <c r="N133" s="29">
        <v>5</v>
      </c>
      <c r="O133" s="29" t="s">
        <v>252</v>
      </c>
      <c r="P133" s="29" t="str" cm="1">
        <f t="array" ref="P133">_xlfn.REGEXEXTRACT(B133,"(?&lt;=//)[^/]+")</f>
        <v>bdsmstreak.com</v>
      </c>
      <c r="Q133" s="29" t="s">
        <v>695</v>
      </c>
      <c r="R133" s="29" t="s">
        <v>1769</v>
      </c>
      <c r="S133" s="29" t="str" cm="1">
        <f t="array" ref="S133">IF(R133&lt;&gt;"NotApplicable",_xlfn.REGEXEXTRACT(R133,"\d+(?=p)"),"NotApplicable")</f>
        <v>NotApplicable</v>
      </c>
      <c r="T133" s="29" t="s">
        <v>1769</v>
      </c>
      <c r="U133" s="29" t="b">
        <f>ISNUMBER(SEARCH(",",E133))</f>
        <v>0</v>
      </c>
    </row>
    <row r="134" spans="1:21" ht="30" x14ac:dyDescent="0.25">
      <c r="A134" s="29" t="str">
        <f>IF(ISBLANK(M134)=TRUE,"Pending","Done")</f>
        <v>Done</v>
      </c>
      <c r="B134" s="29" t="s">
        <v>1759</v>
      </c>
      <c r="C134" s="29">
        <v>129</v>
      </c>
      <c r="D134" s="29" t="s">
        <v>1766</v>
      </c>
      <c r="E134" s="29" t="s">
        <v>1764</v>
      </c>
      <c r="F134" s="29" t="s">
        <v>70</v>
      </c>
      <c r="G134" s="29" t="s">
        <v>1769</v>
      </c>
      <c r="H134" s="29" t="s">
        <v>2373</v>
      </c>
      <c r="I134" s="29" t="s">
        <v>1769</v>
      </c>
      <c r="J134" s="29" t="s">
        <v>1769</v>
      </c>
      <c r="K134" s="29" t="s">
        <v>1763</v>
      </c>
      <c r="L134" s="29" t="s">
        <v>390</v>
      </c>
      <c r="M134" s="29" t="s">
        <v>254</v>
      </c>
      <c r="N134" s="29">
        <v>5</v>
      </c>
      <c r="O134" s="29" t="s">
        <v>574</v>
      </c>
      <c r="P134" s="29" t="str" cm="1">
        <f t="array" ref="P134">_xlfn.REGEXEXTRACT(B134,"(?&lt;=//)[^/]+")</f>
        <v>www.javxxx.me</v>
      </c>
      <c r="Q134" s="29" t="s">
        <v>695</v>
      </c>
      <c r="R134" s="29" t="s">
        <v>1769</v>
      </c>
      <c r="S134" s="29" t="str" cm="1">
        <f t="array" ref="S134">IF(R134&lt;&gt;"NotApplicable",_xlfn.REGEXEXTRACT(R134,"\d+(?=p)"),"NotApplicable")</f>
        <v>NotApplicable</v>
      </c>
      <c r="T134" s="29" t="s">
        <v>1769</v>
      </c>
      <c r="U134" s="29" t="b">
        <f>ISNUMBER(SEARCH(",",E134))</f>
        <v>1</v>
      </c>
    </row>
    <row r="135" spans="1:21" ht="30" x14ac:dyDescent="0.25">
      <c r="A135" s="29" t="str">
        <f>IF(ISBLANK(M135)=TRUE,"Pending","Done")</f>
        <v>Done</v>
      </c>
      <c r="B135" s="29" t="s">
        <v>740</v>
      </c>
      <c r="C135" s="29">
        <v>28</v>
      </c>
      <c r="D135" s="29" t="s">
        <v>1766</v>
      </c>
      <c r="E135" s="29" t="s">
        <v>170</v>
      </c>
      <c r="F135" s="29" t="s">
        <v>741</v>
      </c>
      <c r="G135" s="29" t="s">
        <v>1769</v>
      </c>
      <c r="H135" s="29" t="s">
        <v>2438</v>
      </c>
      <c r="I135" s="29" t="s">
        <v>1769</v>
      </c>
      <c r="J135" s="29" t="s">
        <v>1769</v>
      </c>
      <c r="K135" s="29" t="s">
        <v>742</v>
      </c>
      <c r="L135" s="29" t="s">
        <v>79</v>
      </c>
      <c r="M135" s="29" t="s">
        <v>65</v>
      </c>
      <c r="N135" s="29">
        <v>5</v>
      </c>
      <c r="O135" s="29" t="s">
        <v>743</v>
      </c>
      <c r="P135" s="29" t="str" cm="1">
        <f t="array" ref="P135">_xlfn.REGEXEXTRACT(B135,"(?&lt;=//)[^/]+")</f>
        <v>bdsmmansion.com</v>
      </c>
      <c r="Q135" s="29" t="s">
        <v>695</v>
      </c>
      <c r="R135" s="29" t="s">
        <v>1769</v>
      </c>
      <c r="S135" s="29" t="str" cm="1">
        <f t="array" ref="S135">IF(R135&lt;&gt;"NotApplicable",_xlfn.REGEXEXTRACT(R135,"\d+(?=p)"),"NotApplicable")</f>
        <v>NotApplicable</v>
      </c>
      <c r="T135" s="29" t="s">
        <v>1769</v>
      </c>
      <c r="U135" s="29" t="b">
        <f>ISNUMBER(SEARCH(",",E135))</f>
        <v>0</v>
      </c>
    </row>
    <row r="136" spans="1:21" ht="45" x14ac:dyDescent="0.25">
      <c r="A136" s="29" t="str">
        <f>IF(ISBLANK(M136)=TRUE,"Pending","Done")</f>
        <v>Done</v>
      </c>
      <c r="B136" s="29" t="s">
        <v>127</v>
      </c>
      <c r="C136" s="29">
        <v>44</v>
      </c>
      <c r="D136" s="29" t="s">
        <v>1766</v>
      </c>
      <c r="E136" s="29" t="s">
        <v>455</v>
      </c>
      <c r="F136" s="29" t="s">
        <v>200</v>
      </c>
      <c r="G136" s="29" t="s">
        <v>1769</v>
      </c>
      <c r="H136" s="29" t="s">
        <v>2486</v>
      </c>
      <c r="I136" s="29" t="s">
        <v>1769</v>
      </c>
      <c r="J136" s="29" t="s">
        <v>1769</v>
      </c>
      <c r="K136" s="29" t="s">
        <v>2485</v>
      </c>
      <c r="L136" s="29" t="s">
        <v>408</v>
      </c>
      <c r="M136" s="29" t="s">
        <v>298</v>
      </c>
      <c r="N136" s="29">
        <v>5</v>
      </c>
      <c r="O136" s="29" t="s">
        <v>2484</v>
      </c>
      <c r="P136" s="29" t="str" cm="1">
        <f t="array" ref="P136">_xlfn.REGEXEXTRACT(B136,"(?&lt;=//)[^/]+")</f>
        <v>txxx.com</v>
      </c>
      <c r="Q136" s="29" t="s">
        <v>695</v>
      </c>
      <c r="R136" s="29" t="s">
        <v>1769</v>
      </c>
      <c r="S136" s="29" t="str" cm="1">
        <f t="array" ref="S136">IF(R136&lt;&gt;"NotApplicable",_xlfn.REGEXEXTRACT(R136,"\d+(?=p)"),"NotApplicable")</f>
        <v>NotApplicable</v>
      </c>
      <c r="T136" s="29" t="s">
        <v>1769</v>
      </c>
      <c r="U136" s="29" t="b">
        <f>ISNUMBER(SEARCH(",",E136))</f>
        <v>1</v>
      </c>
    </row>
    <row r="137" spans="1:21" ht="30" x14ac:dyDescent="0.25">
      <c r="A137" s="29" t="str">
        <f>IF(ISBLANK(M137)=TRUE,"Pending","Done")</f>
        <v>Done</v>
      </c>
      <c r="B137" s="29" t="s">
        <v>284</v>
      </c>
      <c r="C137" s="29">
        <v>128</v>
      </c>
      <c r="D137" s="29" t="s">
        <v>1766</v>
      </c>
      <c r="E137" s="29" t="s">
        <v>1768</v>
      </c>
      <c r="F137" s="29" t="s">
        <v>169</v>
      </c>
      <c r="G137" s="29" t="s">
        <v>1769</v>
      </c>
      <c r="H137" s="29" t="s">
        <v>2374</v>
      </c>
      <c r="I137" s="29" t="s">
        <v>1769</v>
      </c>
      <c r="J137" s="29" t="s">
        <v>1769</v>
      </c>
      <c r="K137" s="29" t="s">
        <v>728</v>
      </c>
      <c r="L137" s="29" t="s">
        <v>391</v>
      </c>
      <c r="M137" s="29" t="s">
        <v>65</v>
      </c>
      <c r="N137" s="29">
        <v>5</v>
      </c>
      <c r="O137" s="29" t="s">
        <v>577</v>
      </c>
      <c r="P137" s="29" t="str" cm="1">
        <f t="array" ref="P137">_xlfn.REGEXEXTRACT(B137,"(?&lt;=//)[^/]+")</f>
        <v>heavyfetish.com</v>
      </c>
      <c r="Q137" s="29" t="s">
        <v>695</v>
      </c>
      <c r="R137" s="29" t="s">
        <v>1769</v>
      </c>
      <c r="S137" s="29" t="str" cm="1">
        <f t="array" ref="S137">IF(R137&lt;&gt;"NotApplicable",_xlfn.REGEXEXTRACT(R137,"\d+(?=p)"),"NotApplicable")</f>
        <v>NotApplicable</v>
      </c>
      <c r="T137" s="29" t="s">
        <v>1769</v>
      </c>
      <c r="U137" s="29" t="b">
        <f>ISNUMBER(SEARCH(",",E137))</f>
        <v>0</v>
      </c>
    </row>
    <row r="138" spans="1:21" ht="30" x14ac:dyDescent="0.25">
      <c r="A138" s="29" t="str">
        <f>IF(ISBLANK(M138)=TRUE,"Pending","Done")</f>
        <v>Done</v>
      </c>
      <c r="B138" s="29" t="s">
        <v>7</v>
      </c>
      <c r="C138" s="29">
        <v>41</v>
      </c>
      <c r="D138" s="29" t="s">
        <v>1766</v>
      </c>
      <c r="E138" s="29" t="s">
        <v>333</v>
      </c>
      <c r="F138" s="29" t="s">
        <v>169</v>
      </c>
      <c r="G138" s="29" t="s">
        <v>2428</v>
      </c>
      <c r="H138" s="29" t="s">
        <v>2427</v>
      </c>
      <c r="I138" s="29" t="s">
        <v>1769</v>
      </c>
      <c r="J138" s="29" t="s">
        <v>1769</v>
      </c>
      <c r="K138" s="29" t="s">
        <v>1755</v>
      </c>
      <c r="L138" s="29" t="s">
        <v>629</v>
      </c>
      <c r="M138" s="29" t="s">
        <v>65</v>
      </c>
      <c r="N138" s="29">
        <v>5</v>
      </c>
      <c r="O138" s="29" t="s">
        <v>557</v>
      </c>
      <c r="P138" s="29" t="str" cm="1">
        <f t="array" ref="P138">_xlfn.REGEXEXTRACT(B138,"(?&lt;=//)[^/]+")</f>
        <v>spankbang.com</v>
      </c>
      <c r="Q138" s="29" t="s">
        <v>695</v>
      </c>
      <c r="R138" s="29" t="s">
        <v>1769</v>
      </c>
      <c r="S138" s="29" t="str" cm="1">
        <f t="array" ref="S138">IF(R138&lt;&gt;"NotApplicable",_xlfn.REGEXEXTRACT(R138,"\d+(?=p)"),"NotApplicable")</f>
        <v>NotApplicable</v>
      </c>
      <c r="T138" s="29" t="s">
        <v>1769</v>
      </c>
      <c r="U138" s="29" t="b">
        <f>ISNUMBER(SEARCH(",",E138))</f>
        <v>1</v>
      </c>
    </row>
    <row r="139" spans="1:21" ht="30" x14ac:dyDescent="0.25">
      <c r="A139" s="29" t="str">
        <f>IF(ISBLANK(M139)=TRUE,"Pending","Done")</f>
        <v>Done</v>
      </c>
      <c r="B139" s="29" t="s">
        <v>2443</v>
      </c>
      <c r="C139" s="29">
        <v>11</v>
      </c>
      <c r="D139" s="29" t="s">
        <v>1766</v>
      </c>
      <c r="E139" s="29" t="s">
        <v>1768</v>
      </c>
      <c r="F139" s="29" t="s">
        <v>300</v>
      </c>
      <c r="G139" s="29" t="s">
        <v>1769</v>
      </c>
      <c r="H139" s="29" t="s">
        <v>2444</v>
      </c>
      <c r="I139" s="29" t="s">
        <v>1769</v>
      </c>
      <c r="J139" s="29" t="s">
        <v>1769</v>
      </c>
      <c r="K139" s="29" t="s">
        <v>2442</v>
      </c>
      <c r="L139" s="29" t="s">
        <v>73</v>
      </c>
      <c r="M139" s="29" t="s">
        <v>65</v>
      </c>
      <c r="N139" s="29">
        <v>5</v>
      </c>
      <c r="O139" s="29" t="s">
        <v>301</v>
      </c>
      <c r="P139" s="29" t="str" cm="1">
        <f t="array" ref="P139">_xlfn.REGEXEXTRACT(B139,"(?&lt;=//)[^/]+")</f>
        <v>www.xporn.tv</v>
      </c>
      <c r="Q139" s="29" t="s">
        <v>695</v>
      </c>
      <c r="R139" s="29" t="s">
        <v>1769</v>
      </c>
      <c r="S139" s="29" t="str" cm="1">
        <f t="array" ref="S139">IF(R139&lt;&gt;"NotApplicable",_xlfn.REGEXEXTRACT(R139,"\d+(?=p)"),"NotApplicable")</f>
        <v>NotApplicable</v>
      </c>
      <c r="T139" s="29" t="s">
        <v>1769</v>
      </c>
      <c r="U139" s="29" t="b">
        <f>ISNUMBER(SEARCH(",",E139))</f>
        <v>0</v>
      </c>
    </row>
    <row r="140" spans="1:21" ht="30" x14ac:dyDescent="0.25">
      <c r="A140" s="29" t="str">
        <f>IF(ISBLANK(M140)=TRUE,"Pending","Done")</f>
        <v>Done</v>
      </c>
      <c r="B140" s="29" t="s">
        <v>439</v>
      </c>
      <c r="C140" s="29">
        <v>0</v>
      </c>
      <c r="D140" s="29" t="s">
        <v>1767</v>
      </c>
      <c r="E140" s="29" t="s">
        <v>1768</v>
      </c>
      <c r="F140" s="29" t="s">
        <v>285</v>
      </c>
      <c r="G140" s="29" t="s">
        <v>1769</v>
      </c>
      <c r="H140" s="29" t="s">
        <v>1769</v>
      </c>
      <c r="I140" s="29" t="s">
        <v>1769</v>
      </c>
      <c r="J140" s="29" t="s">
        <v>1769</v>
      </c>
      <c r="K140" s="29" t="s">
        <v>59</v>
      </c>
      <c r="L140" s="29" t="s">
        <v>387</v>
      </c>
      <c r="M140" s="29" t="s">
        <v>65</v>
      </c>
      <c r="N140" s="29">
        <v>4</v>
      </c>
      <c r="O140" s="29" t="s">
        <v>241</v>
      </c>
      <c r="P140" s="29" t="str" cm="1">
        <f t="array" ref="P140">_xlfn.REGEXEXTRACT(B140,"(?&lt;=//)[^/]+")</f>
        <v>netfapx.net</v>
      </c>
      <c r="Q140" s="29" t="s">
        <v>695</v>
      </c>
      <c r="R140" s="29" t="s">
        <v>1769</v>
      </c>
      <c r="S140" s="29" t="str" cm="1">
        <f t="array" ref="S140">IF(R140&lt;&gt;"NotApplicable",_xlfn.REGEXEXTRACT(R140,"\d+(?=p)"),"NotApplicable")</f>
        <v>NotApplicable</v>
      </c>
      <c r="T140" s="29" t="s">
        <v>1769</v>
      </c>
      <c r="U140" s="29" t="b">
        <f>ISNUMBER(SEARCH(",",E140))</f>
        <v>0</v>
      </c>
    </row>
    <row r="141" spans="1:21" ht="30" x14ac:dyDescent="0.25">
      <c r="A141" s="29" t="str">
        <f>IF(ISBLANK(M141)=TRUE,"Pending","Done")</f>
        <v>Done</v>
      </c>
      <c r="B141" s="29" t="s">
        <v>440</v>
      </c>
      <c r="C141" s="29">
        <v>0</v>
      </c>
      <c r="D141" s="29" t="s">
        <v>1767</v>
      </c>
      <c r="E141" s="29" t="s">
        <v>1768</v>
      </c>
      <c r="F141" s="29" t="s">
        <v>285</v>
      </c>
      <c r="G141" s="29" t="s">
        <v>1769</v>
      </c>
      <c r="H141" s="29" t="s">
        <v>1769</v>
      </c>
      <c r="I141" s="29" t="s">
        <v>1769</v>
      </c>
      <c r="J141" s="29" t="s">
        <v>1769</v>
      </c>
      <c r="K141" s="29" t="s">
        <v>59</v>
      </c>
      <c r="L141" s="29" t="s">
        <v>387</v>
      </c>
      <c r="M141" s="29" t="s">
        <v>65</v>
      </c>
      <c r="N141" s="29">
        <v>4</v>
      </c>
      <c r="O141" s="29" t="s">
        <v>244</v>
      </c>
      <c r="P141" s="29" t="str" cm="1">
        <f t="array" ref="P141">_xlfn.REGEXEXTRACT(B141,"(?&lt;=//)[^/]+")</f>
        <v>pornzog.com</v>
      </c>
      <c r="Q141" s="29" t="s">
        <v>695</v>
      </c>
      <c r="R141" s="29" t="s">
        <v>1769</v>
      </c>
      <c r="S141" s="29" t="str" cm="1">
        <f t="array" ref="S141">IF(R141&lt;&gt;"NotApplicable",_xlfn.REGEXEXTRACT(R141,"\d+(?=p)"),"NotApplicable")</f>
        <v>NotApplicable</v>
      </c>
      <c r="T141" s="29" t="s">
        <v>1769</v>
      </c>
      <c r="U141" s="29" t="b">
        <f>ISNUMBER(SEARCH(",",E141))</f>
        <v>0</v>
      </c>
    </row>
    <row r="142" spans="1:21" ht="30" x14ac:dyDescent="0.25">
      <c r="A142" s="29" t="str">
        <f>IF(ISBLANK(M142)=TRUE,"Pending","Done")</f>
        <v>Done</v>
      </c>
      <c r="B142" s="29" t="s">
        <v>307</v>
      </c>
      <c r="C142" s="29">
        <v>44</v>
      </c>
      <c r="D142" s="29" t="s">
        <v>858</v>
      </c>
      <c r="E142" s="29" t="s">
        <v>309</v>
      </c>
      <c r="F142" s="29" t="s">
        <v>81</v>
      </c>
      <c r="G142" s="29" t="s">
        <v>2483</v>
      </c>
      <c r="H142" s="29" t="s">
        <v>2482</v>
      </c>
      <c r="I142" s="29" t="s">
        <v>1769</v>
      </c>
      <c r="J142" s="29" t="s">
        <v>1769</v>
      </c>
      <c r="K142" s="29" t="s">
        <v>486</v>
      </c>
      <c r="L142" s="29" t="s">
        <v>400</v>
      </c>
      <c r="M142" s="29" t="s">
        <v>65</v>
      </c>
      <c r="N142" s="29">
        <v>4</v>
      </c>
      <c r="O142" s="29" t="s">
        <v>516</v>
      </c>
      <c r="P142" s="29" t="str" cm="1">
        <f t="array" ref="P142">_xlfn.REGEXEXTRACT(B142,"(?&lt;=//)[^/]+")</f>
        <v>www.porntry.com</v>
      </c>
      <c r="Q142" s="29" t="s">
        <v>695</v>
      </c>
      <c r="R142" s="29" t="s">
        <v>1769</v>
      </c>
      <c r="S142" s="29" t="str" cm="1">
        <f t="array" ref="S142">IF(R142&lt;&gt;"NotApplicable",_xlfn.REGEXEXTRACT(R142,"\d+(?=p)"),"NotApplicable")</f>
        <v>NotApplicable</v>
      </c>
      <c r="T142" s="29" t="s">
        <v>1769</v>
      </c>
      <c r="U142" s="29" t="b">
        <f>ISNUMBER(SEARCH(",",E142))</f>
        <v>0</v>
      </c>
    </row>
    <row r="143" spans="1:21" ht="45" x14ac:dyDescent="0.25">
      <c r="A143" s="29" t="str">
        <f>IF(ISBLANK(M143)=TRUE,"Pending","Done")</f>
        <v>Done</v>
      </c>
      <c r="B143" s="29" t="s">
        <v>1758</v>
      </c>
      <c r="C143" s="29">
        <v>52</v>
      </c>
      <c r="D143" s="29" t="s">
        <v>867</v>
      </c>
      <c r="E143" s="29" t="s">
        <v>1760</v>
      </c>
      <c r="F143" s="29" t="s">
        <v>81</v>
      </c>
      <c r="G143" s="29" t="s">
        <v>2471</v>
      </c>
      <c r="H143" s="29" t="s">
        <v>2470</v>
      </c>
      <c r="I143" s="29" t="s">
        <v>1769</v>
      </c>
      <c r="J143" s="29" t="s">
        <v>1769</v>
      </c>
      <c r="K143" s="29" t="s">
        <v>656</v>
      </c>
      <c r="L143" s="29" t="s">
        <v>625</v>
      </c>
      <c r="M143" s="29" t="s">
        <v>65</v>
      </c>
      <c r="N143" s="29">
        <v>4</v>
      </c>
      <c r="O143" s="29" t="s">
        <v>658</v>
      </c>
      <c r="P143" s="29" t="str" cm="1">
        <f t="array" ref="P143">_xlfn.REGEXEXTRACT(B143,"(?&lt;=//)[^/]+")</f>
        <v>hcbdsm.com</v>
      </c>
      <c r="Q143" s="29" t="s">
        <v>695</v>
      </c>
      <c r="R143" s="29" t="s">
        <v>1769</v>
      </c>
      <c r="S143" s="29" t="str" cm="1">
        <f t="array" ref="S143">IF(R143&lt;&gt;"NotApplicable",_xlfn.REGEXEXTRACT(R143,"\d+(?=p)"),"NotApplicable")</f>
        <v>NotApplicable</v>
      </c>
      <c r="T143" s="29" t="s">
        <v>1769</v>
      </c>
      <c r="U143" s="29" t="b">
        <f>ISNUMBER(SEARCH(",",E143))</f>
        <v>1</v>
      </c>
    </row>
    <row r="144" spans="1:21" ht="30" x14ac:dyDescent="0.25">
      <c r="A144" s="29" t="str">
        <f>IF(ISBLANK(M144)=TRUE,"Pending","Done")</f>
        <v>Done</v>
      </c>
      <c r="B144" s="29" t="s">
        <v>263</v>
      </c>
      <c r="C144" s="29">
        <v>0</v>
      </c>
      <c r="D144" s="29" t="s">
        <v>1767</v>
      </c>
      <c r="E144" s="29" t="s">
        <v>1768</v>
      </c>
      <c r="F144" s="29" t="s">
        <v>81</v>
      </c>
      <c r="G144" s="29" t="s">
        <v>1769</v>
      </c>
      <c r="H144" s="29" t="s">
        <v>1769</v>
      </c>
      <c r="I144" s="29" t="s">
        <v>1769</v>
      </c>
      <c r="J144" s="29" t="s">
        <v>1769</v>
      </c>
      <c r="K144" s="29" t="s">
        <v>500</v>
      </c>
      <c r="L144" s="29" t="s">
        <v>649</v>
      </c>
      <c r="M144" s="29" t="s">
        <v>254</v>
      </c>
      <c r="N144" s="29">
        <v>4</v>
      </c>
      <c r="O144" s="29" t="s">
        <v>264</v>
      </c>
      <c r="P144" s="29" t="str" cm="1">
        <f t="array" ref="P144">_xlfn.REGEXEXTRACT(B144,"(?&lt;=//)[^/]+")</f>
        <v>www.tubegalore.com</v>
      </c>
      <c r="Q144" s="29" t="s">
        <v>695</v>
      </c>
      <c r="R144" s="29" t="s">
        <v>1769</v>
      </c>
      <c r="S144" s="29" t="str" cm="1">
        <f t="array" ref="S144">IF(R144&lt;&gt;"NotApplicable",_xlfn.REGEXEXTRACT(R144,"\d+(?=p)"),"NotApplicable")</f>
        <v>NotApplicable</v>
      </c>
      <c r="T144" s="29" t="s">
        <v>1769</v>
      </c>
      <c r="U144" s="29" t="b">
        <f>ISNUMBER(SEARCH(",",E144))</f>
        <v>0</v>
      </c>
    </row>
    <row r="145" spans="1:21" ht="30" x14ac:dyDescent="0.25">
      <c r="A145" s="29" t="str">
        <f>IF(ISBLANK(M145)=TRUE,"Pending","Done")</f>
        <v>Done</v>
      </c>
      <c r="B145" s="29" t="s">
        <v>49</v>
      </c>
      <c r="C145" s="29">
        <v>67</v>
      </c>
      <c r="D145" s="29" t="s">
        <v>867</v>
      </c>
      <c r="E145" s="29" t="s">
        <v>80</v>
      </c>
      <c r="F145" s="29" t="s">
        <v>81</v>
      </c>
      <c r="G145" s="29" t="s">
        <v>2450</v>
      </c>
      <c r="H145" s="29" t="s">
        <v>2450</v>
      </c>
      <c r="I145" s="29" t="s">
        <v>1769</v>
      </c>
      <c r="J145" s="29" t="s">
        <v>1769</v>
      </c>
      <c r="K145" s="29" t="s">
        <v>499</v>
      </c>
      <c r="L145" s="29" t="s">
        <v>721</v>
      </c>
      <c r="M145" s="29" t="s">
        <v>65</v>
      </c>
      <c r="N145" s="29">
        <v>4</v>
      </c>
      <c r="O145" s="29" t="s">
        <v>82</v>
      </c>
      <c r="P145" s="29" t="str" cm="1">
        <f t="array" ref="P145">_xlfn.REGEXEXTRACT(B145,"(?&lt;=//)[^/]+")</f>
        <v>bdsmstreak.com</v>
      </c>
      <c r="Q145" s="29" t="s">
        <v>695</v>
      </c>
      <c r="R145" s="29" t="s">
        <v>1769</v>
      </c>
      <c r="S145" s="29" t="str" cm="1">
        <f t="array" ref="S145">IF(R145&lt;&gt;"NotApplicable",_xlfn.REGEXEXTRACT(R145,"\d+(?=p)"),"NotApplicable")</f>
        <v>NotApplicable</v>
      </c>
      <c r="T145" s="29" t="s">
        <v>1769</v>
      </c>
      <c r="U145" s="29" t="b">
        <f>ISNUMBER(SEARCH(",",E145))</f>
        <v>0</v>
      </c>
    </row>
    <row r="146" spans="1:21" ht="30" x14ac:dyDescent="0.25">
      <c r="A146" s="29" t="str">
        <f>IF(ISBLANK(M146)=TRUE,"Pending","Done")</f>
        <v>Done</v>
      </c>
      <c r="B146" s="29" t="s">
        <v>1702</v>
      </c>
      <c r="C146" s="29">
        <v>42</v>
      </c>
      <c r="D146" s="29" t="s">
        <v>858</v>
      </c>
      <c r="E146" s="29" t="s">
        <v>341</v>
      </c>
      <c r="F146" s="29" t="s">
        <v>81</v>
      </c>
      <c r="G146" s="29"/>
      <c r="H146" s="29"/>
      <c r="I146" s="29" t="s">
        <v>1769</v>
      </c>
      <c r="J146" s="29" t="s">
        <v>1769</v>
      </c>
      <c r="K146" s="29" t="s">
        <v>1701</v>
      </c>
      <c r="L146" s="29" t="s">
        <v>644</v>
      </c>
      <c r="M146" s="29" t="s">
        <v>65</v>
      </c>
      <c r="N146" s="29">
        <v>4</v>
      </c>
      <c r="O146" s="29" t="s">
        <v>519</v>
      </c>
      <c r="P146" s="29" t="str" cm="1">
        <f t="array" ref="P146">_xlfn.REGEXEXTRACT(B146,"(?&lt;=//)[^/]+")</f>
        <v>hcbdsm.com</v>
      </c>
      <c r="Q146" s="29" t="s">
        <v>695</v>
      </c>
      <c r="R146" s="29" t="s">
        <v>1769</v>
      </c>
      <c r="S146" s="29" t="str" cm="1">
        <f t="array" ref="S146">IF(R146&lt;&gt;"NotApplicable",_xlfn.REGEXEXTRACT(R146,"\d+(?=p)"),"NotApplicable")</f>
        <v>NotApplicable</v>
      </c>
      <c r="T146" s="29" t="s">
        <v>1769</v>
      </c>
      <c r="U146" s="29" t="b">
        <f>ISNUMBER(SEARCH(",",E146))</f>
        <v>1</v>
      </c>
    </row>
    <row r="147" spans="1:21" ht="30" x14ac:dyDescent="0.25">
      <c r="A147" s="29" t="str">
        <f>IF(ISBLANK(M147)=TRUE,"Pending","Done")</f>
        <v>Done</v>
      </c>
      <c r="B147" s="29" t="s">
        <v>278</v>
      </c>
      <c r="C147" s="29">
        <v>22</v>
      </c>
      <c r="D147" s="29" t="s">
        <v>111</v>
      </c>
      <c r="E147" s="29" t="s">
        <v>280</v>
      </c>
      <c r="F147" s="29" t="s">
        <v>81</v>
      </c>
      <c r="G147" s="29"/>
      <c r="H147" s="29"/>
      <c r="I147" s="29" t="s">
        <v>1769</v>
      </c>
      <c r="J147" s="29" t="s">
        <v>1769</v>
      </c>
      <c r="K147" s="29" t="s">
        <v>501</v>
      </c>
      <c r="L147" s="29" t="s">
        <v>623</v>
      </c>
      <c r="M147" s="29" t="s">
        <v>65</v>
      </c>
      <c r="N147" s="29">
        <v>4</v>
      </c>
      <c r="O147" s="29" t="s">
        <v>302</v>
      </c>
      <c r="P147" s="29" t="str" cm="1">
        <f t="array" ref="P147">_xlfn.REGEXEXTRACT(B147,"(?&lt;=//)[^/]+")</f>
        <v>heavyfetish.com</v>
      </c>
      <c r="Q147" s="29" t="s">
        <v>695</v>
      </c>
      <c r="R147" s="29" t="s">
        <v>1769</v>
      </c>
      <c r="S147" s="29" t="str" cm="1">
        <f t="array" ref="S147">IF(R147&lt;&gt;"NotApplicable",_xlfn.REGEXEXTRACT(R147,"\d+(?=p)"),"NotApplicable")</f>
        <v>NotApplicable</v>
      </c>
      <c r="T147" s="29" t="s">
        <v>1769</v>
      </c>
      <c r="U147" s="29" t="b">
        <f>ISNUMBER(SEARCH(",",E147))</f>
        <v>0</v>
      </c>
    </row>
    <row r="148" spans="1:21" ht="30" x14ac:dyDescent="0.25">
      <c r="A148" s="29" t="str">
        <f>IF(ISBLANK(M148)=TRUE,"Pending","Done")</f>
        <v>Done</v>
      </c>
      <c r="B148" s="29" t="s">
        <v>1713</v>
      </c>
      <c r="C148" s="29">
        <v>80</v>
      </c>
      <c r="D148" s="29" t="s">
        <v>866</v>
      </c>
      <c r="E148" s="29" t="s">
        <v>336</v>
      </c>
      <c r="F148" s="29" t="s">
        <v>71</v>
      </c>
      <c r="G148" s="29" t="s">
        <v>2449</v>
      </c>
      <c r="H148" s="29" t="s">
        <v>2449</v>
      </c>
      <c r="I148" s="29" t="s">
        <v>1769</v>
      </c>
      <c r="J148" s="29" t="s">
        <v>1769</v>
      </c>
      <c r="K148" s="29" t="s">
        <v>1712</v>
      </c>
      <c r="L148" s="29" t="s">
        <v>722</v>
      </c>
      <c r="M148" s="29" t="s">
        <v>65</v>
      </c>
      <c r="N148" s="29">
        <v>4</v>
      </c>
      <c r="O148" s="29" t="s">
        <v>109</v>
      </c>
      <c r="P148" s="29" t="str" cm="1">
        <f t="array" ref="P148">_xlfn.REGEXEXTRACT(B148,"(?&lt;=//)[^/]+")</f>
        <v>bdsmstreak.com</v>
      </c>
      <c r="Q148" s="29" t="s">
        <v>695</v>
      </c>
      <c r="R148" s="29" t="s">
        <v>1769</v>
      </c>
      <c r="S148" s="29" t="str" cm="1">
        <f t="array" ref="S148">IF(R148&lt;&gt;"NotApplicable",_xlfn.REGEXEXTRACT(R148,"\d+(?=p)"),"NotApplicable")</f>
        <v>NotApplicable</v>
      </c>
      <c r="T148" s="29" t="s">
        <v>1769</v>
      </c>
      <c r="U148" s="29" t="b">
        <f>ISNUMBER(SEARCH(",",E148))</f>
        <v>1</v>
      </c>
    </row>
    <row r="149" spans="1:21" ht="30" x14ac:dyDescent="0.25">
      <c r="A149" s="29" t="str">
        <f>IF(ISBLANK(M149)=TRUE,"Pending","Done")</f>
        <v>Done</v>
      </c>
      <c r="B149" s="29" t="s">
        <v>15</v>
      </c>
      <c r="C149" s="29">
        <v>59</v>
      </c>
      <c r="D149" s="29" t="s">
        <v>862</v>
      </c>
      <c r="E149" s="29" t="s">
        <v>338</v>
      </c>
      <c r="F149" s="29" t="s">
        <v>71</v>
      </c>
      <c r="G149" s="29" t="s">
        <v>2456</v>
      </c>
      <c r="H149" s="29" t="s">
        <v>2455</v>
      </c>
      <c r="I149" s="29" t="s">
        <v>1769</v>
      </c>
      <c r="J149" s="29" t="s">
        <v>1769</v>
      </c>
      <c r="K149" s="29" t="s">
        <v>1715</v>
      </c>
      <c r="L149" s="29" t="s">
        <v>402</v>
      </c>
      <c r="M149" s="29" t="s">
        <v>65</v>
      </c>
      <c r="N149" s="29">
        <v>4</v>
      </c>
      <c r="O149" s="29" t="s">
        <v>559</v>
      </c>
      <c r="P149" s="29" t="str" cm="1">
        <f t="array" ref="P149">_xlfn.REGEXEXTRACT(B149,"(?&lt;=//)[^/]+")</f>
        <v>bdsmstreak.com</v>
      </c>
      <c r="Q149" s="29" t="s">
        <v>695</v>
      </c>
      <c r="R149" s="29" t="s">
        <v>1769</v>
      </c>
      <c r="S149" s="29" t="str" cm="1">
        <f t="array" ref="S149">IF(R149&lt;&gt;"NotApplicable",_xlfn.REGEXEXTRACT(R149,"\d+(?=p)"),"NotApplicable")</f>
        <v>NotApplicable</v>
      </c>
      <c r="T149" s="29" t="s">
        <v>1769</v>
      </c>
      <c r="U149" s="29" t="b">
        <f>ISNUMBER(SEARCH(",",E149))</f>
        <v>1</v>
      </c>
    </row>
    <row r="150" spans="1:21" ht="30" x14ac:dyDescent="0.25">
      <c r="A150" s="29" t="str">
        <f>IF(ISBLANK(M150)=TRUE,"Pending","Done")</f>
        <v>Done</v>
      </c>
      <c r="B150" s="29" t="s">
        <v>1800</v>
      </c>
      <c r="C150" s="29">
        <v>14</v>
      </c>
      <c r="D150" s="29" t="s">
        <v>868</v>
      </c>
      <c r="E150" s="29" t="s">
        <v>1798</v>
      </c>
      <c r="F150" s="29" t="s">
        <v>71</v>
      </c>
      <c r="G150" s="29" t="s">
        <v>2178</v>
      </c>
      <c r="H150" s="29" t="s">
        <v>2178</v>
      </c>
      <c r="I150" s="29">
        <v>8</v>
      </c>
      <c r="J150" s="29" t="s">
        <v>1801</v>
      </c>
      <c r="K150" s="29" t="s">
        <v>2180</v>
      </c>
      <c r="L150" s="29" t="s">
        <v>2179</v>
      </c>
      <c r="M150" s="29" t="s">
        <v>65</v>
      </c>
      <c r="N150" s="29">
        <v>4</v>
      </c>
      <c r="O150" s="29" t="s">
        <v>230</v>
      </c>
      <c r="P150" s="29" t="str" cm="1">
        <f t="array" ref="P150">_xlfn.REGEXEXTRACT(B150,"(?&lt;=//)[^/]+")</f>
        <v>hcbdsm.com</v>
      </c>
      <c r="Q150" s="29" t="s">
        <v>695</v>
      </c>
      <c r="R150" s="29" t="s">
        <v>1769</v>
      </c>
      <c r="S150" s="29" t="str" cm="1">
        <f t="array" ref="S150">IF(R150&lt;&gt;"NotApplicable",_xlfn.REGEXEXTRACT(R150,"\d+(?=p)"),"NotApplicable")</f>
        <v>NotApplicable</v>
      </c>
      <c r="T150" s="29" t="s">
        <v>1769</v>
      </c>
      <c r="U150" s="29" t="b">
        <f>ISNUMBER(SEARCH(",",E150))</f>
        <v>1</v>
      </c>
    </row>
    <row r="151" spans="1:21" ht="30" x14ac:dyDescent="0.25">
      <c r="A151" s="29" t="str">
        <f>IF(ISBLANK(M151)=TRUE,"Pending","Done")</f>
        <v>Done</v>
      </c>
      <c r="B151" s="29" t="s">
        <v>9</v>
      </c>
      <c r="C151" s="29">
        <v>58</v>
      </c>
      <c r="D151" s="29" t="s">
        <v>868</v>
      </c>
      <c r="E151" s="29" t="s">
        <v>339</v>
      </c>
      <c r="F151" s="29" t="s">
        <v>71</v>
      </c>
      <c r="G151" s="29" t="s">
        <v>2458</v>
      </c>
      <c r="H151" s="29" t="s">
        <v>2457</v>
      </c>
      <c r="I151" s="29" t="s">
        <v>1769</v>
      </c>
      <c r="J151" s="29" t="s">
        <v>1769</v>
      </c>
      <c r="K151" s="29" t="s">
        <v>1716</v>
      </c>
      <c r="L151" s="29" t="s">
        <v>403</v>
      </c>
      <c r="M151" s="29" t="s">
        <v>65</v>
      </c>
      <c r="N151" s="29">
        <v>4</v>
      </c>
      <c r="O151" s="29" t="s">
        <v>522</v>
      </c>
      <c r="P151" s="29" t="str" cm="1">
        <f t="array" ref="P151">_xlfn.REGEXEXTRACT(B151,"(?&lt;=//)[^/]+")</f>
        <v>heavyfetish.com</v>
      </c>
      <c r="Q151" s="29" t="s">
        <v>695</v>
      </c>
      <c r="R151" s="29" t="s">
        <v>1769</v>
      </c>
      <c r="S151" s="29" t="str" cm="1">
        <f t="array" ref="S151">IF(R151&lt;&gt;"NotApplicable",_xlfn.REGEXEXTRACT(R151,"\d+(?=p)"),"NotApplicable")</f>
        <v>NotApplicable</v>
      </c>
      <c r="T151" s="29" t="s">
        <v>1769</v>
      </c>
      <c r="U151" s="29" t="b">
        <f>ISNUMBER(SEARCH(",",E151))</f>
        <v>1</v>
      </c>
    </row>
    <row r="152" spans="1:21" ht="45" x14ac:dyDescent="0.25">
      <c r="A152" s="29" t="str">
        <f>IF(ISBLANK(M152)=TRUE,"Pending","Done")</f>
        <v>Done</v>
      </c>
      <c r="B152" s="29" t="s">
        <v>1651</v>
      </c>
      <c r="C152" s="29">
        <v>12</v>
      </c>
      <c r="D152" s="29" t="s">
        <v>864</v>
      </c>
      <c r="E152" s="29" t="s">
        <v>1664</v>
      </c>
      <c r="F152" s="29" t="s">
        <v>71</v>
      </c>
      <c r="G152" s="29" t="s">
        <v>2165</v>
      </c>
      <c r="H152" s="29" t="s">
        <v>2165</v>
      </c>
      <c r="I152" s="29" t="s">
        <v>1769</v>
      </c>
      <c r="J152" s="29" t="s">
        <v>1769</v>
      </c>
      <c r="K152" s="29" t="s">
        <v>2168</v>
      </c>
      <c r="L152" s="29" t="s">
        <v>2166</v>
      </c>
      <c r="M152" s="29" t="s">
        <v>65</v>
      </c>
      <c r="N152" s="29">
        <v>4</v>
      </c>
      <c r="O152" s="29" t="s">
        <v>2167</v>
      </c>
      <c r="P152" s="29" t="str" cm="1">
        <f t="array" ref="P152">_xlfn.REGEXEXTRACT(B152,"(?&lt;=//)[^/]+")</f>
        <v>hcbdsm.com</v>
      </c>
      <c r="Q152" s="29" t="s">
        <v>695</v>
      </c>
      <c r="R152" s="29" t="s">
        <v>1769</v>
      </c>
      <c r="S152" s="29" t="str" cm="1">
        <f t="array" ref="S152">IF(R152&lt;&gt;"NotApplicable",_xlfn.REGEXEXTRACT(R152,"\d+(?=p)"),"NotApplicable")</f>
        <v>NotApplicable</v>
      </c>
      <c r="T152" s="29" t="s">
        <v>1769</v>
      </c>
      <c r="U152" s="29" t="b">
        <f>ISNUMBER(SEARCH(",",E152))</f>
        <v>1</v>
      </c>
    </row>
    <row r="153" spans="1:21" ht="30" x14ac:dyDescent="0.25">
      <c r="A153" s="29" t="str">
        <f>IF(ISBLANK(M153)=TRUE,"Pending","Done")</f>
        <v>Done</v>
      </c>
      <c r="B153" s="29" t="s">
        <v>37</v>
      </c>
      <c r="C153" s="29">
        <v>53</v>
      </c>
      <c r="D153" s="29" t="s">
        <v>2348</v>
      </c>
      <c r="E153" s="29" t="s">
        <v>85</v>
      </c>
      <c r="F153" s="29" t="s">
        <v>71</v>
      </c>
      <c r="G153" s="29" t="s">
        <v>2351</v>
      </c>
      <c r="H153" s="29" t="s">
        <v>2352</v>
      </c>
      <c r="I153" s="29" t="s">
        <v>1769</v>
      </c>
      <c r="J153" s="29" t="s">
        <v>1769</v>
      </c>
      <c r="K153" s="29" t="s">
        <v>830</v>
      </c>
      <c r="L153" s="29" t="s">
        <v>405</v>
      </c>
      <c r="M153" s="29" t="s">
        <v>65</v>
      </c>
      <c r="N153" s="29">
        <v>4</v>
      </c>
      <c r="O153" s="29" t="s">
        <v>826</v>
      </c>
      <c r="P153" s="29" t="str" cm="1">
        <f t="array" ref="P153">_xlfn.REGEXEXTRACT(B153,"(?&lt;=//)[^/]+")</f>
        <v>heavyfetish.com</v>
      </c>
      <c r="Q153" s="29" t="s">
        <v>695</v>
      </c>
      <c r="R153" s="29" t="s">
        <v>1769</v>
      </c>
      <c r="S153" s="29" t="str" cm="1">
        <f t="array" ref="S153">IF(R153&lt;&gt;"NotApplicable",_xlfn.REGEXEXTRACT(R153,"\d+(?=p)"),"NotApplicable")</f>
        <v>NotApplicable</v>
      </c>
      <c r="T153" s="29" t="s">
        <v>1769</v>
      </c>
      <c r="U153" s="29" t="b">
        <f>ISNUMBER(SEARCH(",",E153))</f>
        <v>0</v>
      </c>
    </row>
    <row r="154" spans="1:21" ht="30" x14ac:dyDescent="0.25">
      <c r="A154" s="29" t="str">
        <f>IF(ISBLANK(M154)=TRUE,"Pending","Done")</f>
        <v>Done</v>
      </c>
      <c r="B154" s="29" t="s">
        <v>667</v>
      </c>
      <c r="C154" s="29">
        <v>36</v>
      </c>
      <c r="D154" s="29" t="s">
        <v>1766</v>
      </c>
      <c r="E154" s="29" t="s">
        <v>1768</v>
      </c>
      <c r="F154" s="29" t="s">
        <v>71</v>
      </c>
      <c r="G154" s="29"/>
      <c r="H154" s="29"/>
      <c r="I154" s="29" t="s">
        <v>1769</v>
      </c>
      <c r="J154" s="29" t="s">
        <v>1769</v>
      </c>
      <c r="K154" s="29" t="s">
        <v>817</v>
      </c>
      <c r="L154" s="29" t="s">
        <v>672</v>
      </c>
      <c r="M154" s="29" t="s">
        <v>65</v>
      </c>
      <c r="N154" s="29">
        <v>4</v>
      </c>
      <c r="O154" s="29" t="s">
        <v>818</v>
      </c>
      <c r="P154" s="29" t="str" cm="1">
        <f t="array" ref="P154">_xlfn.REGEXEXTRACT(B154,"(?&lt;=//)[^/]+")</f>
        <v>www.eporner.com</v>
      </c>
      <c r="Q154" s="29" t="s">
        <v>695</v>
      </c>
      <c r="R154" s="29" t="s">
        <v>1769</v>
      </c>
      <c r="S154" s="29" t="str" cm="1">
        <f t="array" ref="S154">IF(R154&lt;&gt;"NotApplicable",_xlfn.REGEXEXTRACT(R154,"\d+(?=p)"),"NotApplicable")</f>
        <v>NotApplicable</v>
      </c>
      <c r="T154" s="29" t="s">
        <v>1769</v>
      </c>
      <c r="U154" s="29" t="b">
        <f>ISNUMBER(SEARCH(",",E154))</f>
        <v>0</v>
      </c>
    </row>
    <row r="155" spans="1:21" ht="30" x14ac:dyDescent="0.25">
      <c r="A155" s="29" t="str">
        <f>IF(ISBLANK(M155)=TRUE,"Pending","Done")</f>
        <v>Done</v>
      </c>
      <c r="B155" s="29" t="s">
        <v>19</v>
      </c>
      <c r="C155" s="29">
        <v>55</v>
      </c>
      <c r="D155" s="29" t="s">
        <v>74</v>
      </c>
      <c r="E155" s="29" t="s">
        <v>193</v>
      </c>
      <c r="F155" s="29" t="s">
        <v>70</v>
      </c>
      <c r="G155" s="29" t="s">
        <v>1769</v>
      </c>
      <c r="H155" s="29" t="s">
        <v>2350</v>
      </c>
      <c r="I155" s="29" t="s">
        <v>1769</v>
      </c>
      <c r="J155" s="29" t="s">
        <v>1769</v>
      </c>
      <c r="K155" s="29" t="s">
        <v>360</v>
      </c>
      <c r="L155" s="29" t="s">
        <v>404</v>
      </c>
      <c r="M155" s="29" t="s">
        <v>65</v>
      </c>
      <c r="N155" s="29">
        <v>4</v>
      </c>
      <c r="O155" s="29" t="s">
        <v>75</v>
      </c>
      <c r="P155" s="29" t="str" cm="1">
        <f t="array" ref="P155">_xlfn.REGEXEXTRACT(B155,"(?&lt;=//)[^/]+")</f>
        <v>bdsmstreak.com</v>
      </c>
      <c r="Q155" s="29" t="s">
        <v>695</v>
      </c>
      <c r="R155" s="29" t="s">
        <v>1769</v>
      </c>
      <c r="S155" s="29" t="str" cm="1">
        <f t="array" ref="S155">IF(R155&lt;&gt;"NotApplicable",_xlfn.REGEXEXTRACT(R155,"\d+(?=p)"),"NotApplicable")</f>
        <v>NotApplicable</v>
      </c>
      <c r="T155" s="29" t="s">
        <v>1769</v>
      </c>
      <c r="U155" s="29" t="b">
        <f>ISNUMBER(SEARCH(",",E155))</f>
        <v>0</v>
      </c>
    </row>
    <row r="156" spans="1:21" ht="30" x14ac:dyDescent="0.25">
      <c r="A156" s="29" t="str">
        <f>IF(ISBLANK(M156)=TRUE,"Pending","Done")</f>
        <v>Done</v>
      </c>
      <c r="B156" s="29" t="s">
        <v>803</v>
      </c>
      <c r="C156" s="29">
        <v>45</v>
      </c>
      <c r="D156" s="29" t="s">
        <v>857</v>
      </c>
      <c r="E156" s="29" t="s">
        <v>681</v>
      </c>
      <c r="F156" s="29" t="s">
        <v>70</v>
      </c>
      <c r="G156" s="29" t="s">
        <v>2477</v>
      </c>
      <c r="H156" s="29" t="s">
        <v>2477</v>
      </c>
      <c r="I156" s="29" t="s">
        <v>1769</v>
      </c>
      <c r="J156" s="29" t="s">
        <v>1769</v>
      </c>
      <c r="K156" s="29" t="s">
        <v>801</v>
      </c>
      <c r="L156" s="29" t="s">
        <v>802</v>
      </c>
      <c r="M156" s="29" t="s">
        <v>65</v>
      </c>
      <c r="N156" s="29">
        <v>4</v>
      </c>
      <c r="O156" s="29" t="s">
        <v>800</v>
      </c>
      <c r="P156" s="29" t="str" cm="1">
        <f t="array" ref="P156">_xlfn.REGEXEXTRACT(B156,"(?&lt;=//)[^/]+")</f>
        <v>bdsmmansion.com</v>
      </c>
      <c r="Q156" s="29" t="s">
        <v>695</v>
      </c>
      <c r="R156" s="29" t="s">
        <v>1769</v>
      </c>
      <c r="S156" s="29" t="str" cm="1">
        <f t="array" ref="S156">IF(R156&lt;&gt;"NotApplicable",_xlfn.REGEXEXTRACT(R156,"\d+(?=p)"),"NotApplicable")</f>
        <v>NotApplicable</v>
      </c>
      <c r="T156" s="29" t="s">
        <v>1769</v>
      </c>
      <c r="U156" s="29" t="b">
        <f>ISNUMBER(SEARCH(",",E156))</f>
        <v>0</v>
      </c>
    </row>
    <row r="157" spans="1:21" ht="30" x14ac:dyDescent="0.25">
      <c r="A157" s="29" t="str">
        <f>IF(ISBLANK(M157)=TRUE,"Pending","Done")</f>
        <v>Done</v>
      </c>
      <c r="B157" s="29" t="s">
        <v>2469</v>
      </c>
      <c r="C157" s="29">
        <v>53</v>
      </c>
      <c r="D157" s="29" t="s">
        <v>1589</v>
      </c>
      <c r="E157" s="29" t="s">
        <v>450</v>
      </c>
      <c r="F157" s="29" t="s">
        <v>70</v>
      </c>
      <c r="G157" s="29" t="s">
        <v>2468</v>
      </c>
      <c r="H157" s="29" t="s">
        <v>2468</v>
      </c>
      <c r="I157" s="29" t="s">
        <v>1769</v>
      </c>
      <c r="J157" s="29" t="s">
        <v>1769</v>
      </c>
      <c r="K157" s="29" t="s">
        <v>676</v>
      </c>
      <c r="L157" s="29" t="s">
        <v>675</v>
      </c>
      <c r="M157" s="29" t="s">
        <v>65</v>
      </c>
      <c r="N157" s="29">
        <v>4</v>
      </c>
      <c r="O157" s="29" t="s">
        <v>677</v>
      </c>
      <c r="P157" s="29" t="str" cm="1">
        <f t="array" ref="P157">_xlfn.REGEXEXTRACT(B157,"(?&lt;=//)[^/]+")</f>
        <v>bdsmstreak.com</v>
      </c>
      <c r="Q157" s="29" t="s">
        <v>695</v>
      </c>
      <c r="R157" s="29" t="s">
        <v>1769</v>
      </c>
      <c r="S157" s="29" t="str" cm="1">
        <f t="array" ref="S157">IF(R157&lt;&gt;"NotApplicable",_xlfn.REGEXEXTRACT(R157,"\d+(?=p)"),"NotApplicable")</f>
        <v>NotApplicable</v>
      </c>
      <c r="T157" s="29" t="s">
        <v>1769</v>
      </c>
      <c r="U157" s="29" t="b">
        <f>ISNUMBER(SEARCH(",",E157))</f>
        <v>0</v>
      </c>
    </row>
    <row r="158" spans="1:21" ht="45" x14ac:dyDescent="0.25">
      <c r="A158" s="29" t="str">
        <f>IF(ISBLANK(M158)=TRUE,"Pending","Done")</f>
        <v>Done</v>
      </c>
      <c r="B158" s="29" t="s">
        <v>2474</v>
      </c>
      <c r="C158" s="29">
        <v>49</v>
      </c>
      <c r="D158" s="29" t="s">
        <v>868</v>
      </c>
      <c r="E158" s="29" t="s">
        <v>816</v>
      </c>
      <c r="F158" s="29" t="s">
        <v>70</v>
      </c>
      <c r="G158" s="29" t="s">
        <v>2473</v>
      </c>
      <c r="H158" s="29" t="s">
        <v>2473</v>
      </c>
      <c r="I158" s="29" t="s">
        <v>1769</v>
      </c>
      <c r="J158" s="29" t="s">
        <v>1769</v>
      </c>
      <c r="K158" s="29" t="s">
        <v>819</v>
      </c>
      <c r="L158" s="29" t="s">
        <v>713</v>
      </c>
      <c r="M158" s="29" t="s">
        <v>65</v>
      </c>
      <c r="N158" s="29">
        <v>4</v>
      </c>
      <c r="O158" s="29" t="s">
        <v>820</v>
      </c>
      <c r="P158" s="29" t="str" cm="1">
        <f t="array" ref="P158">_xlfn.REGEXEXTRACT(B158,"(?&lt;=//)[^/]+")</f>
        <v>hcbdsm.com</v>
      </c>
      <c r="Q158" s="29" t="s">
        <v>695</v>
      </c>
      <c r="R158" s="29" t="s">
        <v>1769</v>
      </c>
      <c r="S158" s="29" t="str" cm="1">
        <f t="array" ref="S158">IF(R158&lt;&gt;"NotApplicable",_xlfn.REGEXEXTRACT(R158,"\d+(?=p)"),"NotApplicable")</f>
        <v>NotApplicable</v>
      </c>
      <c r="T158" s="29" t="s">
        <v>1769</v>
      </c>
      <c r="U158" s="29" t="b">
        <f>ISNUMBER(SEARCH(",",E158))</f>
        <v>0</v>
      </c>
    </row>
    <row r="159" spans="1:21" ht="45" x14ac:dyDescent="0.25">
      <c r="A159" s="29" t="str">
        <f>IF(ISBLANK(M159)=TRUE,"Pending","Done")</f>
        <v>Done</v>
      </c>
      <c r="B159" s="29" t="s">
        <v>25</v>
      </c>
      <c r="C159" s="29">
        <v>45</v>
      </c>
      <c r="D159" s="29" t="s">
        <v>864</v>
      </c>
      <c r="E159" s="29" t="s">
        <v>202</v>
      </c>
      <c r="F159" s="29" t="s">
        <v>70</v>
      </c>
      <c r="G159" s="29" t="s">
        <v>2479</v>
      </c>
      <c r="H159" s="29" t="s">
        <v>2478</v>
      </c>
      <c r="I159" s="29" t="s">
        <v>1769</v>
      </c>
      <c r="J159" s="29" t="s">
        <v>1769</v>
      </c>
      <c r="K159" s="29" t="s">
        <v>503</v>
      </c>
      <c r="L159" s="29" t="s">
        <v>407</v>
      </c>
      <c r="M159" s="29" t="s">
        <v>65</v>
      </c>
      <c r="N159" s="29">
        <v>4</v>
      </c>
      <c r="O159" s="29" t="s">
        <v>203</v>
      </c>
      <c r="P159" s="29" t="str" cm="1">
        <f t="array" ref="P159">_xlfn.REGEXEXTRACT(B159,"(?&lt;=//)[^/]+")</f>
        <v>heavyfetish.com</v>
      </c>
      <c r="Q159" s="29" t="s">
        <v>695</v>
      </c>
      <c r="R159" s="29" t="s">
        <v>1769</v>
      </c>
      <c r="S159" s="29" t="str" cm="1">
        <f t="array" ref="S159">IF(R159&lt;&gt;"NotApplicable",_xlfn.REGEXEXTRACT(R159,"\d+(?=p)"),"NotApplicable")</f>
        <v>NotApplicable</v>
      </c>
      <c r="T159" s="29" t="s">
        <v>1769</v>
      </c>
      <c r="U159" s="29" t="b">
        <f>ISNUMBER(SEARCH(",",E159))</f>
        <v>0</v>
      </c>
    </row>
    <row r="160" spans="1:21" ht="30" x14ac:dyDescent="0.25">
      <c r="A160" s="29" t="str">
        <f>IF(ISBLANK(M160)=TRUE,"Pending","Done")</f>
        <v>Done</v>
      </c>
      <c r="B160" s="29" t="s">
        <v>12</v>
      </c>
      <c r="C160" s="29">
        <v>53</v>
      </c>
      <c r="D160" s="29" t="s">
        <v>864</v>
      </c>
      <c r="E160" s="29" t="s">
        <v>220</v>
      </c>
      <c r="F160" s="29" t="s">
        <v>70</v>
      </c>
      <c r="G160" s="29" t="s">
        <v>2460</v>
      </c>
      <c r="H160" s="29" t="s">
        <v>2459</v>
      </c>
      <c r="I160" s="29" t="s">
        <v>1769</v>
      </c>
      <c r="J160" s="29" t="s">
        <v>1769</v>
      </c>
      <c r="K160" s="29" t="s">
        <v>361</v>
      </c>
      <c r="L160" s="29" t="s">
        <v>633</v>
      </c>
      <c r="M160" s="29" t="s">
        <v>65</v>
      </c>
      <c r="N160" s="29">
        <v>4</v>
      </c>
      <c r="O160" s="29" t="s">
        <v>221</v>
      </c>
      <c r="P160" s="29" t="str" cm="1">
        <f t="array" ref="P160">_xlfn.REGEXEXTRACT(B160,"(?&lt;=//)[^/]+")</f>
        <v>heavyfetish.com</v>
      </c>
      <c r="Q160" s="29" t="s">
        <v>695</v>
      </c>
      <c r="R160" s="29" t="s">
        <v>1769</v>
      </c>
      <c r="S160" s="29" t="str" cm="1">
        <f t="array" ref="S160">IF(R160&lt;&gt;"NotApplicable",_xlfn.REGEXEXTRACT(R160,"\d+(?=p)"),"NotApplicable")</f>
        <v>NotApplicable</v>
      </c>
      <c r="T160" s="29" t="s">
        <v>1769</v>
      </c>
      <c r="U160" s="29" t="b">
        <f>ISNUMBER(SEARCH(",",E160))</f>
        <v>0</v>
      </c>
    </row>
    <row r="161" spans="1:21" ht="45" x14ac:dyDescent="0.25">
      <c r="A161" s="29" t="str">
        <f>IF(ISBLANK(M161)=TRUE,"Pending","Done")</f>
        <v>Done</v>
      </c>
      <c r="B161" s="29" t="s">
        <v>11</v>
      </c>
      <c r="C161" s="29">
        <v>44</v>
      </c>
      <c r="D161" s="29" t="s">
        <v>2347</v>
      </c>
      <c r="E161" s="29" t="s">
        <v>196</v>
      </c>
      <c r="F161" s="29" t="s">
        <v>70</v>
      </c>
      <c r="G161" s="29" t="s">
        <v>2480</v>
      </c>
      <c r="H161" s="29" t="s">
        <v>2481</v>
      </c>
      <c r="I161" s="29" t="s">
        <v>1769</v>
      </c>
      <c r="J161" s="29" t="s">
        <v>1769</v>
      </c>
      <c r="K161" s="29" t="s">
        <v>362</v>
      </c>
      <c r="L161" s="29" t="s">
        <v>618</v>
      </c>
      <c r="M161" s="29" t="s">
        <v>65</v>
      </c>
      <c r="N161" s="29">
        <v>4</v>
      </c>
      <c r="O161" s="29" t="s">
        <v>197</v>
      </c>
      <c r="P161" s="29" t="str" cm="1">
        <f t="array" ref="P161">_xlfn.REGEXEXTRACT(B161,"(?&lt;=//)[^/]+")</f>
        <v>heavyfetish.com</v>
      </c>
      <c r="Q161" s="29" t="s">
        <v>695</v>
      </c>
      <c r="R161" s="29" t="s">
        <v>1769</v>
      </c>
      <c r="S161" s="29" t="str" cm="1">
        <f t="array" ref="S161">IF(R161&lt;&gt;"NotApplicable",_xlfn.REGEXEXTRACT(R161,"\d+(?=p)"),"NotApplicable")</f>
        <v>NotApplicable</v>
      </c>
      <c r="T161" s="29" t="s">
        <v>1769</v>
      </c>
      <c r="U161" s="29" t="b">
        <f>ISNUMBER(SEARCH(",",E161))</f>
        <v>0</v>
      </c>
    </row>
    <row r="162" spans="1:21" ht="30" x14ac:dyDescent="0.25">
      <c r="A162" s="29" t="str">
        <f>IF(ISBLANK(M162)=TRUE,"Pending","Done")</f>
        <v>Done</v>
      </c>
      <c r="B162" s="29" t="s">
        <v>46</v>
      </c>
      <c r="C162" s="29">
        <v>46</v>
      </c>
      <c r="D162" s="29" t="s">
        <v>74</v>
      </c>
      <c r="E162" s="29" t="s">
        <v>2354</v>
      </c>
      <c r="F162" s="29" t="s">
        <v>70</v>
      </c>
      <c r="G162" s="29" t="s">
        <v>2476</v>
      </c>
      <c r="H162" s="29" t="s">
        <v>2353</v>
      </c>
      <c r="I162" s="29" t="s">
        <v>1769</v>
      </c>
      <c r="J162" s="29" t="s">
        <v>1769</v>
      </c>
      <c r="K162" s="29" t="s">
        <v>566</v>
      </c>
      <c r="L162" s="29" t="s">
        <v>406</v>
      </c>
      <c r="M162" s="29" t="s">
        <v>65</v>
      </c>
      <c r="N162" s="29">
        <v>4</v>
      </c>
      <c r="O162" s="29" t="s">
        <v>206</v>
      </c>
      <c r="P162" s="29" t="str" cm="1">
        <f t="array" ref="P162">_xlfn.REGEXEXTRACT(B162,"(?&lt;=//)[^/]+")</f>
        <v>heavyfetish.com</v>
      </c>
      <c r="Q162" s="29" t="s">
        <v>695</v>
      </c>
      <c r="R162" s="29" t="s">
        <v>1769</v>
      </c>
      <c r="S162" s="29" t="str" cm="1">
        <f t="array" ref="S162">IF(R162&lt;&gt;"NotApplicable",_xlfn.REGEXEXTRACT(R162,"\d+(?=p)"),"NotApplicable")</f>
        <v>NotApplicable</v>
      </c>
      <c r="T162" s="29" t="s">
        <v>1769</v>
      </c>
      <c r="U162" s="29" t="b">
        <f>ISNUMBER(SEARCH(",",E162))</f>
        <v>0</v>
      </c>
    </row>
    <row r="163" spans="1:21" ht="30" x14ac:dyDescent="0.25">
      <c r="A163" s="29" t="str">
        <f>IF(ISBLANK(M163)=TRUE,"Pending","Done")</f>
        <v>Done</v>
      </c>
      <c r="B163" s="29" t="s">
        <v>1533</v>
      </c>
      <c r="C163" s="29">
        <v>9</v>
      </c>
      <c r="D163" s="29" t="s">
        <v>149</v>
      </c>
      <c r="E163" s="29" t="s">
        <v>1527</v>
      </c>
      <c r="F163" s="29" t="s">
        <v>70</v>
      </c>
      <c r="G163" s="29" t="s">
        <v>1529</v>
      </c>
      <c r="H163" s="29" t="s">
        <v>1538</v>
      </c>
      <c r="I163" s="29" t="s">
        <v>1769</v>
      </c>
      <c r="J163" s="29" t="s">
        <v>1769</v>
      </c>
      <c r="K163" s="29" t="s">
        <v>1548</v>
      </c>
      <c r="L163" s="29" t="s">
        <v>632</v>
      </c>
      <c r="M163" s="29" t="s">
        <v>65</v>
      </c>
      <c r="N163" s="29">
        <v>4</v>
      </c>
      <c r="O163" s="29" t="s">
        <v>1549</v>
      </c>
      <c r="P163" s="29" t="str" cm="1">
        <f t="array" ref="P163">_xlfn.REGEXEXTRACT(B163,"(?&lt;=//)[^/]+")</f>
        <v>www.porntrex.com</v>
      </c>
      <c r="Q163" s="29" t="s">
        <v>694</v>
      </c>
      <c r="R163" s="29" t="s">
        <v>1528</v>
      </c>
      <c r="S163" s="29" t="str" cm="1">
        <f t="array" ref="S163">IF(R163&lt;&gt;"NotApplicable",_xlfn.REGEXEXTRACT(R163,"\d+(?=p)"),"NotApplicable")</f>
        <v>1080</v>
      </c>
      <c r="T163" s="29" t="s">
        <v>1534</v>
      </c>
      <c r="U163" s="29" t="b">
        <f>ISNUMBER(SEARCH(",",E163))</f>
        <v>0</v>
      </c>
    </row>
    <row r="164" spans="1:21" ht="45" x14ac:dyDescent="0.25">
      <c r="A164" s="29" t="str">
        <f>IF(ISBLANK(M164)=TRUE,"Pending","Done")</f>
        <v>Done</v>
      </c>
      <c r="B164" s="29" t="s">
        <v>1925</v>
      </c>
      <c r="C164" s="29">
        <v>17</v>
      </c>
      <c r="D164" s="29" t="s">
        <v>864</v>
      </c>
      <c r="E164" s="29" t="s">
        <v>1633</v>
      </c>
      <c r="F164" s="29" t="s">
        <v>70</v>
      </c>
      <c r="G164" s="29" t="s">
        <v>2188</v>
      </c>
      <c r="H164" s="29" t="s">
        <v>2189</v>
      </c>
      <c r="I164" s="29">
        <v>8</v>
      </c>
      <c r="J164" s="29" t="s">
        <v>1926</v>
      </c>
      <c r="K164" s="29" t="s">
        <v>2190</v>
      </c>
      <c r="L164" s="29" t="s">
        <v>2179</v>
      </c>
      <c r="M164" s="29" t="s">
        <v>65</v>
      </c>
      <c r="N164" s="29">
        <v>4</v>
      </c>
      <c r="O164" s="29" t="s">
        <v>2191</v>
      </c>
      <c r="P164" s="29" t="str" cm="1">
        <f t="array" ref="P164">_xlfn.REGEXEXTRACT(B164,"(?&lt;=//)[^/]+")</f>
        <v>bdsmstreak.com</v>
      </c>
      <c r="Q164" s="29" t="s">
        <v>695</v>
      </c>
      <c r="R164" s="29" t="s">
        <v>1769</v>
      </c>
      <c r="S164" s="29" t="str" cm="1">
        <f t="array" ref="S164">IF(R164&lt;&gt;"NotApplicable",_xlfn.REGEXEXTRACT(R164,"\d+(?=p)"),"NotApplicable")</f>
        <v>NotApplicable</v>
      </c>
      <c r="T164" s="29" t="s">
        <v>1769</v>
      </c>
      <c r="U164" s="29" t="b">
        <f>ISNUMBER(SEARCH(",",E164))</f>
        <v>0</v>
      </c>
    </row>
    <row r="165" spans="1:21" ht="30" x14ac:dyDescent="0.25">
      <c r="A165" s="29" t="str">
        <f>IF(ISBLANK(M165)=TRUE,"Pending","Done")</f>
        <v>Done</v>
      </c>
      <c r="B165" s="29" t="s">
        <v>1742</v>
      </c>
      <c r="C165" s="29">
        <v>60</v>
      </c>
      <c r="D165" s="29" t="s">
        <v>860</v>
      </c>
      <c r="E165" s="29" t="s">
        <v>337</v>
      </c>
      <c r="F165" s="29" t="s">
        <v>70</v>
      </c>
      <c r="G165" s="29" t="s">
        <v>2454</v>
      </c>
      <c r="H165" s="29" t="s">
        <v>2453</v>
      </c>
      <c r="I165" s="29" t="s">
        <v>1769</v>
      </c>
      <c r="J165" s="29" t="s">
        <v>1769</v>
      </c>
      <c r="K165" s="29" t="s">
        <v>1743</v>
      </c>
      <c r="L165" s="29" t="s">
        <v>401</v>
      </c>
      <c r="M165" s="29" t="s">
        <v>65</v>
      </c>
      <c r="N165" s="29">
        <v>4</v>
      </c>
      <c r="O165" s="29" t="s">
        <v>526</v>
      </c>
      <c r="P165" s="29" t="str" cm="1">
        <f t="array" ref="P165">_xlfn.REGEXEXTRACT(B165,"(?&lt;=//)[^/]+")</f>
        <v>hcbdsm.com</v>
      </c>
      <c r="Q165" s="29" t="s">
        <v>695</v>
      </c>
      <c r="R165" s="29" t="s">
        <v>1769</v>
      </c>
      <c r="S165" s="29" t="str" cm="1">
        <f t="array" ref="S165">IF(R165&lt;&gt;"NotApplicable",_xlfn.REGEXEXTRACT(R165,"\d+(?=p)"),"NotApplicable")</f>
        <v>NotApplicable</v>
      </c>
      <c r="T165" s="29" t="s">
        <v>1769</v>
      </c>
      <c r="U165" s="29" t="b">
        <f>ISNUMBER(SEARCH(",",E165))</f>
        <v>1</v>
      </c>
    </row>
    <row r="166" spans="1:21" ht="45" x14ac:dyDescent="0.25">
      <c r="A166" s="29" t="str">
        <f>IF(ISBLANK(M166)=TRUE,"Pending","Done")</f>
        <v>Done</v>
      </c>
      <c r="B166" s="29" t="s">
        <v>702</v>
      </c>
      <c r="C166" s="29">
        <v>48</v>
      </c>
      <c r="D166" s="29" t="s">
        <v>868</v>
      </c>
      <c r="E166" s="29" t="s">
        <v>703</v>
      </c>
      <c r="F166" s="29" t="s">
        <v>70</v>
      </c>
      <c r="G166" s="29" t="s">
        <v>2475</v>
      </c>
      <c r="H166" s="29" t="s">
        <v>2475</v>
      </c>
      <c r="I166" s="29" t="s">
        <v>1769</v>
      </c>
      <c r="J166" s="29" t="s">
        <v>1769</v>
      </c>
      <c r="K166" s="29" t="s">
        <v>1740</v>
      </c>
      <c r="L166" s="29" t="s">
        <v>714</v>
      </c>
      <c r="M166" s="29" t="s">
        <v>65</v>
      </c>
      <c r="N166" s="29">
        <v>4</v>
      </c>
      <c r="O166" s="29" t="s">
        <v>815</v>
      </c>
      <c r="P166" s="29" t="str" cm="1">
        <f t="array" ref="P166">_xlfn.REGEXEXTRACT(B166,"(?&lt;=//)[^/]+")</f>
        <v>bdsmstreak.com</v>
      </c>
      <c r="Q166" s="29" t="s">
        <v>695</v>
      </c>
      <c r="R166" s="29" t="s">
        <v>1769</v>
      </c>
      <c r="S166" s="29" t="str" cm="1">
        <f t="array" ref="S166">IF(R166&lt;&gt;"NotApplicable",_xlfn.REGEXEXTRACT(R166,"\d+(?=p)"),"NotApplicable")</f>
        <v>NotApplicable</v>
      </c>
      <c r="T166" s="29" t="s">
        <v>1769</v>
      </c>
      <c r="U166" s="29" t="b">
        <f>ISNUMBER(SEARCH(",",E166))</f>
        <v>1</v>
      </c>
    </row>
    <row r="167" spans="1:21" ht="30" x14ac:dyDescent="0.25">
      <c r="A167" s="29" t="str">
        <f>IF(ISBLANK(M167)=TRUE,"Pending","Done")</f>
        <v>Done</v>
      </c>
      <c r="B167" s="29" t="s">
        <v>6</v>
      </c>
      <c r="C167" s="29">
        <v>52</v>
      </c>
      <c r="D167" s="29" t="s">
        <v>149</v>
      </c>
      <c r="E167" s="29" t="s">
        <v>1880</v>
      </c>
      <c r="F167" s="29" t="s">
        <v>70</v>
      </c>
      <c r="G167" s="29" t="s">
        <v>1769</v>
      </c>
      <c r="H167" s="29" t="s">
        <v>2472</v>
      </c>
      <c r="I167" s="29" t="s">
        <v>1769</v>
      </c>
      <c r="J167" s="29" t="s">
        <v>1769</v>
      </c>
      <c r="K167" s="29" t="s">
        <v>590</v>
      </c>
      <c r="L167" s="29" t="s">
        <v>620</v>
      </c>
      <c r="M167" s="29" t="s">
        <v>65</v>
      </c>
      <c r="N167" s="29">
        <v>4</v>
      </c>
      <c r="O167" s="29" t="s">
        <v>217</v>
      </c>
      <c r="P167" s="29" t="str" cm="1">
        <f t="array" ref="P167">_xlfn.REGEXEXTRACT(B167,"(?&lt;=//)[^/]+")</f>
        <v>spankbang.party</v>
      </c>
      <c r="Q167" s="29" t="s">
        <v>695</v>
      </c>
      <c r="R167" s="29" t="s">
        <v>1769</v>
      </c>
      <c r="S167" s="29" t="str" cm="1">
        <f t="array" ref="S167">IF(R167&lt;&gt;"NotApplicable",_xlfn.REGEXEXTRACT(R167,"\d+(?=p)"),"NotApplicable")</f>
        <v>NotApplicable</v>
      </c>
      <c r="T167" s="29" t="s">
        <v>1769</v>
      </c>
      <c r="U167" s="29" t="b">
        <f>ISNUMBER(SEARCH(",",E167))</f>
        <v>0</v>
      </c>
    </row>
    <row r="168" spans="1:21" ht="30" x14ac:dyDescent="0.25">
      <c r="A168" s="29" t="str">
        <f>IF(ISBLANK(M168)=TRUE,"Pending","Done")</f>
        <v>Done</v>
      </c>
      <c r="B168" s="29" t="s">
        <v>113</v>
      </c>
      <c r="C168" s="29">
        <v>42</v>
      </c>
      <c r="D168" s="29" t="s">
        <v>868</v>
      </c>
      <c r="E168" s="29" t="s">
        <v>183</v>
      </c>
      <c r="F168" s="29" t="s">
        <v>70</v>
      </c>
      <c r="G168" s="29"/>
      <c r="H168" s="29"/>
      <c r="I168" s="29" t="s">
        <v>1769</v>
      </c>
      <c r="J168" s="29" t="s">
        <v>1769</v>
      </c>
      <c r="K168" s="29" t="s">
        <v>530</v>
      </c>
      <c r="L168" s="29" t="s">
        <v>731</v>
      </c>
      <c r="M168" s="29" t="s">
        <v>65</v>
      </c>
      <c r="N168" s="29">
        <v>4</v>
      </c>
      <c r="O168" s="29" t="s">
        <v>185</v>
      </c>
      <c r="P168" s="29" t="str" cm="1">
        <f t="array" ref="P168">_xlfn.REGEXEXTRACT(B168,"(?&lt;=//)[^/]+")</f>
        <v>bdsmstreak.com</v>
      </c>
      <c r="Q168" s="29" t="s">
        <v>695</v>
      </c>
      <c r="R168" s="29" t="s">
        <v>1769</v>
      </c>
      <c r="S168" s="29" t="str" cm="1">
        <f t="array" ref="S168">IF(R168&lt;&gt;"NotApplicable",_xlfn.REGEXEXTRACT(R168,"\d+(?=p)"),"NotApplicable")</f>
        <v>NotApplicable</v>
      </c>
      <c r="T168" s="29" t="s">
        <v>1769</v>
      </c>
      <c r="U168" s="29" t="b">
        <f>ISNUMBER(SEARCH(",",E168))</f>
        <v>0</v>
      </c>
    </row>
    <row r="169" spans="1:21" ht="30" x14ac:dyDescent="0.25">
      <c r="A169" s="29" t="str">
        <f>IF(ISBLANK(M169)=TRUE,"Pending","Done")</f>
        <v>Done</v>
      </c>
      <c r="B169" s="29" t="s">
        <v>35</v>
      </c>
      <c r="C169" s="29">
        <v>36</v>
      </c>
      <c r="D169" s="29" t="s">
        <v>2348</v>
      </c>
      <c r="E169" s="29" t="s">
        <v>85</v>
      </c>
      <c r="F169" s="29" t="s">
        <v>70</v>
      </c>
      <c r="G169" s="29"/>
      <c r="H169" s="29"/>
      <c r="I169" s="29" t="s">
        <v>1769</v>
      </c>
      <c r="J169" s="29" t="s">
        <v>1769</v>
      </c>
      <c r="K169" s="29" t="s">
        <v>491</v>
      </c>
      <c r="L169" s="29" t="s">
        <v>595</v>
      </c>
      <c r="M169" s="29" t="s">
        <v>65</v>
      </c>
      <c r="N169" s="29">
        <v>4</v>
      </c>
      <c r="O169" s="29" t="s">
        <v>142</v>
      </c>
      <c r="P169" s="29" t="str" cm="1">
        <f t="array" ref="P169">_xlfn.REGEXEXTRACT(B169,"(?&lt;=//)[^/]+")</f>
        <v>bdsmstreak.com</v>
      </c>
      <c r="Q169" s="29" t="s">
        <v>695</v>
      </c>
      <c r="R169" s="29" t="s">
        <v>1769</v>
      </c>
      <c r="S169" s="29" t="str" cm="1">
        <f t="array" ref="S169">IF(R169&lt;&gt;"NotApplicable",_xlfn.REGEXEXTRACT(R169,"\d+(?=p)"),"NotApplicable")</f>
        <v>NotApplicable</v>
      </c>
      <c r="T169" s="29" t="s">
        <v>1769</v>
      </c>
      <c r="U169" s="29" t="b">
        <f>ISNUMBER(SEARCH(",",E169))</f>
        <v>0</v>
      </c>
    </row>
    <row r="170" spans="1:21" ht="30" x14ac:dyDescent="0.25">
      <c r="A170" s="29" t="str">
        <f>IF(ISBLANK(M170)=TRUE,"Pending","Done")</f>
        <v>Done</v>
      </c>
      <c r="B170" s="29" t="s">
        <v>116</v>
      </c>
      <c r="C170" s="29">
        <v>27</v>
      </c>
      <c r="D170" s="29" t="s">
        <v>868</v>
      </c>
      <c r="E170" s="29" t="s">
        <v>340</v>
      </c>
      <c r="F170" s="29" t="s">
        <v>70</v>
      </c>
      <c r="G170" s="29"/>
      <c r="H170" s="29"/>
      <c r="I170" s="29" t="s">
        <v>1769</v>
      </c>
      <c r="J170" s="29" t="s">
        <v>1769</v>
      </c>
      <c r="K170" s="29" t="s">
        <v>1748</v>
      </c>
      <c r="L170" s="29" t="s">
        <v>410</v>
      </c>
      <c r="M170" s="29" t="s">
        <v>65</v>
      </c>
      <c r="N170" s="29">
        <v>4</v>
      </c>
      <c r="O170" s="29" t="s">
        <v>548</v>
      </c>
      <c r="P170" s="29" t="str" cm="1">
        <f t="array" ref="P170">_xlfn.REGEXEXTRACT(B170,"(?&lt;=//)[^/]+")</f>
        <v>heavyfetish.com</v>
      </c>
      <c r="Q170" s="29" t="s">
        <v>695</v>
      </c>
      <c r="R170" s="29" t="s">
        <v>1769</v>
      </c>
      <c r="S170" s="29" t="str" cm="1">
        <f t="array" ref="S170">IF(R170&lt;&gt;"NotApplicable",_xlfn.REGEXEXTRACT(R170,"\d+(?=p)"),"NotApplicable")</f>
        <v>NotApplicable</v>
      </c>
      <c r="T170" s="29" t="s">
        <v>1769</v>
      </c>
      <c r="U170" s="29" t="b">
        <f>ISNUMBER(SEARCH(",",E170))</f>
        <v>1</v>
      </c>
    </row>
    <row r="171" spans="1:21" ht="30" x14ac:dyDescent="0.25">
      <c r="A171" s="29" t="str">
        <f>IF(ISBLANK(M171)=TRUE,"Pending","Done")</f>
        <v>Done</v>
      </c>
      <c r="B171" s="29" t="s">
        <v>135</v>
      </c>
      <c r="C171" s="29">
        <v>14</v>
      </c>
      <c r="D171" s="29" t="s">
        <v>149</v>
      </c>
      <c r="E171" s="29" t="s">
        <v>148</v>
      </c>
      <c r="F171" s="29" t="s">
        <v>70</v>
      </c>
      <c r="G171" s="29"/>
      <c r="H171" s="29"/>
      <c r="I171" s="29" t="s">
        <v>1769</v>
      </c>
      <c r="J171" s="29" t="s">
        <v>1769</v>
      </c>
      <c r="K171" s="29" t="s">
        <v>484</v>
      </c>
      <c r="L171" s="29" t="s">
        <v>411</v>
      </c>
      <c r="M171" s="29" t="s">
        <v>65</v>
      </c>
      <c r="N171" s="29">
        <v>4</v>
      </c>
      <c r="O171" s="29" t="s">
        <v>151</v>
      </c>
      <c r="P171" s="29" t="str" cm="1">
        <f t="array" ref="P171">_xlfn.REGEXEXTRACT(B171,"(?&lt;=//)[^/]+")</f>
        <v>heavyfetish.com</v>
      </c>
      <c r="Q171" s="29" t="s">
        <v>695</v>
      </c>
      <c r="R171" s="29" t="s">
        <v>1769</v>
      </c>
      <c r="S171" s="29" t="str" cm="1">
        <f t="array" ref="S171">IF(R171&lt;&gt;"NotApplicable",_xlfn.REGEXEXTRACT(R171,"\d+(?=p)"),"NotApplicable")</f>
        <v>NotApplicable</v>
      </c>
      <c r="T171" s="29" t="s">
        <v>1769</v>
      </c>
      <c r="U171" s="29" t="b">
        <f>ISNUMBER(SEARCH(",",E171))</f>
        <v>0</v>
      </c>
    </row>
    <row r="172" spans="1:21" ht="30" x14ac:dyDescent="0.25">
      <c r="A172" s="29" t="str">
        <f>IF(ISBLANK(M172)=TRUE,"Pending","Done")</f>
        <v>Done</v>
      </c>
      <c r="B172" s="29" t="s">
        <v>3</v>
      </c>
      <c r="C172" s="29">
        <v>13</v>
      </c>
      <c r="D172" s="29" t="s">
        <v>149</v>
      </c>
      <c r="E172" s="29" t="s">
        <v>147</v>
      </c>
      <c r="F172" s="29" t="s">
        <v>70</v>
      </c>
      <c r="G172" s="29"/>
      <c r="H172" s="29"/>
      <c r="I172" s="29" t="s">
        <v>1769</v>
      </c>
      <c r="J172" s="29" t="s">
        <v>1769</v>
      </c>
      <c r="K172" s="29" t="s">
        <v>587</v>
      </c>
      <c r="L172" s="29" t="s">
        <v>184</v>
      </c>
      <c r="M172" s="29" t="s">
        <v>65</v>
      </c>
      <c r="N172" s="29">
        <v>4</v>
      </c>
      <c r="O172" s="29" t="s">
        <v>150</v>
      </c>
      <c r="P172" s="29" t="str" cm="1">
        <f t="array" ref="P172">_xlfn.REGEXEXTRACT(B172,"(?&lt;=//)[^/]+")</f>
        <v>heavyfetish.com</v>
      </c>
      <c r="Q172" s="29" t="s">
        <v>695</v>
      </c>
      <c r="R172" s="29" t="s">
        <v>1769</v>
      </c>
      <c r="S172" s="29" t="str" cm="1">
        <f t="array" ref="S172">IF(R172&lt;&gt;"NotApplicable",_xlfn.REGEXEXTRACT(R172,"\d+(?=p)"),"NotApplicable")</f>
        <v>NotApplicable</v>
      </c>
      <c r="T172" s="29" t="s">
        <v>1769</v>
      </c>
      <c r="U172" s="29" t="b">
        <f>ISNUMBER(SEARCH(",",E172))</f>
        <v>0</v>
      </c>
    </row>
    <row r="173" spans="1:21" ht="30" x14ac:dyDescent="0.25">
      <c r="A173" s="29" t="str">
        <f>IF(ISBLANK(M173)=TRUE,"Pending","Done")</f>
        <v>Done</v>
      </c>
      <c r="B173" s="29" t="s">
        <v>696</v>
      </c>
      <c r="C173" s="29">
        <v>5</v>
      </c>
      <c r="D173" s="29" t="s">
        <v>868</v>
      </c>
      <c r="E173" s="29" t="s">
        <v>1768</v>
      </c>
      <c r="F173" s="29" t="s">
        <v>70</v>
      </c>
      <c r="G173" s="29"/>
      <c r="H173" s="29"/>
      <c r="I173" s="29" t="s">
        <v>1769</v>
      </c>
      <c r="J173" s="29" t="s">
        <v>1769</v>
      </c>
      <c r="K173" s="29" t="s">
        <v>709</v>
      </c>
      <c r="L173" s="29" t="s">
        <v>708</v>
      </c>
      <c r="M173" s="29" t="s">
        <v>65</v>
      </c>
      <c r="N173" s="29">
        <v>4</v>
      </c>
      <c r="O173" s="29" t="s">
        <v>707</v>
      </c>
      <c r="P173" s="29" t="str" cm="1">
        <f t="array" ref="P173">_xlfn.REGEXEXTRACT(B173,"(?&lt;=//)[^/]+")</f>
        <v>punishworld.com</v>
      </c>
      <c r="Q173" s="29" t="s">
        <v>695</v>
      </c>
      <c r="R173" s="29" t="s">
        <v>1769</v>
      </c>
      <c r="S173" s="29" t="str" cm="1">
        <f t="array" ref="S173">IF(R173&lt;&gt;"NotApplicable",_xlfn.REGEXEXTRACT(R173,"\d+(?=p)"),"NotApplicable")</f>
        <v>NotApplicable</v>
      </c>
      <c r="T173" s="29" t="s">
        <v>1769</v>
      </c>
      <c r="U173" s="29" t="b">
        <f>ISNUMBER(SEARCH(",",E173))</f>
        <v>0</v>
      </c>
    </row>
    <row r="174" spans="1:21" ht="30" x14ac:dyDescent="0.25">
      <c r="A174" s="29" t="str">
        <f>IF(ISBLANK(M174)=TRUE,"Pending","Done")</f>
        <v>Done</v>
      </c>
      <c r="B174" s="29" t="s">
        <v>118</v>
      </c>
      <c r="C174" s="29">
        <v>66</v>
      </c>
      <c r="D174" s="29" t="s">
        <v>865</v>
      </c>
      <c r="E174" s="29" t="s">
        <v>245</v>
      </c>
      <c r="F174" s="29" t="s">
        <v>157</v>
      </c>
      <c r="G174" s="29" t="s">
        <v>2452</v>
      </c>
      <c r="H174" s="29" t="s">
        <v>2451</v>
      </c>
      <c r="I174" s="29" t="s">
        <v>1769</v>
      </c>
      <c r="J174" s="29" t="s">
        <v>1769</v>
      </c>
      <c r="K174" s="29" t="s">
        <v>456</v>
      </c>
      <c r="L174" s="29" t="s">
        <v>654</v>
      </c>
      <c r="M174" s="29" t="s">
        <v>65</v>
      </c>
      <c r="N174" s="29">
        <v>4</v>
      </c>
      <c r="O174" s="29" t="s">
        <v>575</v>
      </c>
      <c r="P174" s="29" t="str" cm="1">
        <f t="array" ref="P174">_xlfn.REGEXEXTRACT(B174,"(?&lt;=//)[^/]+")</f>
        <v>m.hqporner.com</v>
      </c>
      <c r="Q174" s="29" t="s">
        <v>695</v>
      </c>
      <c r="R174" s="29" t="s">
        <v>1769</v>
      </c>
      <c r="S174" s="29" t="str" cm="1">
        <f t="array" ref="S174">IF(R174&lt;&gt;"NotApplicable",_xlfn.REGEXEXTRACT(R174,"\d+(?=p)"),"NotApplicable")</f>
        <v>NotApplicable</v>
      </c>
      <c r="T174" s="29" t="s">
        <v>1769</v>
      </c>
      <c r="U174" s="29" t="b">
        <f>ISNUMBER(SEARCH(",",E174))</f>
        <v>0</v>
      </c>
    </row>
    <row r="175" spans="1:21" x14ac:dyDescent="0.25">
      <c r="A175" s="29" t="str">
        <f>IF(ISBLANK(M175)=TRUE,"Pending","Done")</f>
        <v>Done</v>
      </c>
      <c r="B175" s="29" t="s">
        <v>2505</v>
      </c>
      <c r="C175" s="29">
        <v>35</v>
      </c>
      <c r="D175" s="29" t="s">
        <v>155</v>
      </c>
      <c r="E175" s="29" t="s">
        <v>175</v>
      </c>
      <c r="F175" s="29" t="s">
        <v>157</v>
      </c>
      <c r="G175" s="29" t="s">
        <v>2503</v>
      </c>
      <c r="H175" s="29" t="s">
        <v>2504</v>
      </c>
      <c r="I175" s="29" t="s">
        <v>1769</v>
      </c>
      <c r="J175" s="29" t="s">
        <v>1769</v>
      </c>
      <c r="K175" s="29" t="s">
        <v>827</v>
      </c>
      <c r="L175" s="29" t="s">
        <v>409</v>
      </c>
      <c r="M175" s="29" t="s">
        <v>65</v>
      </c>
      <c r="N175" s="29">
        <v>4</v>
      </c>
      <c r="O175" s="29" t="s">
        <v>176</v>
      </c>
      <c r="P175" s="29" t="str" cm="1">
        <f t="array" ref="P175">_xlfn.REGEXEXTRACT(B175,"(?&lt;=//)[^/]+")</f>
        <v>ukdevilz.com</v>
      </c>
      <c r="Q175" s="29" t="s">
        <v>695</v>
      </c>
      <c r="R175" s="29" t="s">
        <v>1769</v>
      </c>
      <c r="S175" s="29" t="str" cm="1">
        <f t="array" ref="S175">IF(R175&lt;&gt;"NotApplicable",_xlfn.REGEXEXTRACT(R175,"\d+(?=p)"),"NotApplicable")</f>
        <v>NotApplicable</v>
      </c>
      <c r="T175" s="29" t="s">
        <v>1769</v>
      </c>
      <c r="U175" s="29" t="b">
        <f>ISNUMBER(SEARCH(",",E175))</f>
        <v>0</v>
      </c>
    </row>
    <row r="176" spans="1:21" ht="30" x14ac:dyDescent="0.25">
      <c r="A176" s="29" t="str">
        <f>IF(ISBLANK(M176)=TRUE,"Pending","Done")</f>
        <v>Done</v>
      </c>
      <c r="B176" s="29" t="s">
        <v>2506</v>
      </c>
      <c r="C176" s="29">
        <v>11</v>
      </c>
      <c r="D176" s="29" t="s">
        <v>145</v>
      </c>
      <c r="E176" s="29" t="s">
        <v>77</v>
      </c>
      <c r="F176" s="29" t="s">
        <v>157</v>
      </c>
      <c r="G176" s="29" t="s">
        <v>2507</v>
      </c>
      <c r="H176" s="29" t="s">
        <v>2507</v>
      </c>
      <c r="I176" s="29" t="s">
        <v>1769</v>
      </c>
      <c r="J176" s="29" t="s">
        <v>1769</v>
      </c>
      <c r="K176" s="29" t="s">
        <v>550</v>
      </c>
      <c r="L176" s="29" t="s">
        <v>412</v>
      </c>
      <c r="M176" s="29" t="s">
        <v>65</v>
      </c>
      <c r="N176" s="29">
        <v>4</v>
      </c>
      <c r="O176" s="29" t="s">
        <v>146</v>
      </c>
      <c r="P176" s="29" t="str" cm="1">
        <f t="array" ref="P176">_xlfn.REGEXEXTRACT(B176,"(?&lt;=//)[^/]+")</f>
        <v>www.pornhub.org</v>
      </c>
      <c r="Q176" s="29" t="s">
        <v>695</v>
      </c>
      <c r="R176" s="29" t="s">
        <v>1769</v>
      </c>
      <c r="S176" s="29" t="str" cm="1">
        <f t="array" ref="S176">IF(R176&lt;&gt;"NotApplicable",_xlfn.REGEXEXTRACT(R176,"\d+(?=p)"),"NotApplicable")</f>
        <v>NotApplicable</v>
      </c>
      <c r="T176" s="29" t="s">
        <v>1769</v>
      </c>
      <c r="U176" s="29" t="b">
        <f>ISNUMBER(SEARCH(",",E176))</f>
        <v>0</v>
      </c>
    </row>
    <row r="177" spans="1:21" ht="30" x14ac:dyDescent="0.25">
      <c r="A177" s="29" t="str">
        <f>IF(ISBLANK(M177)=TRUE,"Pending","Done")</f>
        <v>Done</v>
      </c>
      <c r="B177" s="29" t="s">
        <v>2496</v>
      </c>
      <c r="C177" s="29">
        <v>9</v>
      </c>
      <c r="D177" s="29" t="s">
        <v>190</v>
      </c>
      <c r="E177" s="29" t="s">
        <v>870</v>
      </c>
      <c r="F177" s="29" t="s">
        <v>158</v>
      </c>
      <c r="G177" s="29" t="s">
        <v>2495</v>
      </c>
      <c r="H177" s="29" t="s">
        <v>2497</v>
      </c>
      <c r="I177" s="29" t="s">
        <v>1769</v>
      </c>
      <c r="J177" s="29" t="s">
        <v>1769</v>
      </c>
      <c r="K177" s="29" t="s">
        <v>2499</v>
      </c>
      <c r="L177" s="29" t="s">
        <v>723</v>
      </c>
      <c r="M177" s="29" t="s">
        <v>65</v>
      </c>
      <c r="N177" s="29">
        <v>4</v>
      </c>
      <c r="O177" s="29" t="s">
        <v>2498</v>
      </c>
      <c r="P177" s="29" t="str" cm="1">
        <f t="array" ref="P177">_xlfn.REGEXEXTRACT(B177,"(?&lt;=//)[^/]+")</f>
        <v>www.porntrex.com</v>
      </c>
      <c r="Q177" s="29" t="s">
        <v>695</v>
      </c>
      <c r="R177" s="29" t="s">
        <v>1769</v>
      </c>
      <c r="S177" s="29" t="str" cm="1">
        <f t="array" ref="S177">IF(R177&lt;&gt;"NotApplicable",_xlfn.REGEXEXTRACT(R177,"\d+(?=p)"),"NotApplicable")</f>
        <v>NotApplicable</v>
      </c>
      <c r="T177" s="29" t="s">
        <v>1769</v>
      </c>
      <c r="U177" s="29" t="b">
        <f>ISNUMBER(SEARCH(",",E177))</f>
        <v>0</v>
      </c>
    </row>
    <row r="178" spans="1:21" ht="30" x14ac:dyDescent="0.25">
      <c r="A178" s="29" t="str">
        <f>IF(ISBLANK(M178)=TRUE,"Pending","Done")</f>
        <v>Done</v>
      </c>
      <c r="B178" s="29" t="s">
        <v>265</v>
      </c>
      <c r="C178" s="29">
        <v>106</v>
      </c>
      <c r="D178" s="29" t="s">
        <v>1766</v>
      </c>
      <c r="E178" s="29" t="s">
        <v>1768</v>
      </c>
      <c r="F178" s="29" t="s">
        <v>81</v>
      </c>
      <c r="G178" s="29"/>
      <c r="H178" s="29"/>
      <c r="I178" s="29" t="s">
        <v>1769</v>
      </c>
      <c r="J178" s="29" t="s">
        <v>1769</v>
      </c>
      <c r="K178" s="29" t="s">
        <v>669</v>
      </c>
      <c r="L178" s="29" t="s">
        <v>626</v>
      </c>
      <c r="M178" s="29" t="s">
        <v>254</v>
      </c>
      <c r="N178" s="29">
        <v>3</v>
      </c>
      <c r="O178" s="29" t="s">
        <v>556</v>
      </c>
      <c r="P178" s="29" t="str" cm="1">
        <f t="array" ref="P178">_xlfn.REGEXEXTRACT(B178,"(?&lt;=//)[^/]+")</f>
        <v>www.eporner.com</v>
      </c>
      <c r="Q178" s="29" t="s">
        <v>695</v>
      </c>
      <c r="R178" s="29" t="s">
        <v>1769</v>
      </c>
      <c r="S178" s="29" t="str" cm="1">
        <f t="array" ref="S178">IF(R178&lt;&gt;"NotApplicable",_xlfn.REGEXEXTRACT(R178,"\d+(?=p)"),"NotApplicable")</f>
        <v>NotApplicable</v>
      </c>
      <c r="T178" s="29" t="s">
        <v>1769</v>
      </c>
      <c r="U178" s="29" t="b">
        <f>ISNUMBER(SEARCH(",",E178))</f>
        <v>0</v>
      </c>
    </row>
    <row r="179" spans="1:21" ht="30" x14ac:dyDescent="0.25">
      <c r="A179" s="29" t="str">
        <f>IF(ISBLANK(M179)=TRUE,"Pending","Done")</f>
        <v>Done</v>
      </c>
      <c r="B179" s="29" t="s">
        <v>432</v>
      </c>
      <c r="C179" s="29">
        <v>56</v>
      </c>
      <c r="D179" s="29" t="s">
        <v>867</v>
      </c>
      <c r="E179" s="29" t="s">
        <v>436</v>
      </c>
      <c r="F179" s="29" t="s">
        <v>81</v>
      </c>
      <c r="G179" s="29"/>
      <c r="H179" s="29"/>
      <c r="I179" s="29" t="s">
        <v>1769</v>
      </c>
      <c r="J179" s="29" t="s">
        <v>1769</v>
      </c>
      <c r="K179" s="29" t="s">
        <v>488</v>
      </c>
      <c r="L179" s="29" t="s">
        <v>445</v>
      </c>
      <c r="M179" s="29" t="s">
        <v>65</v>
      </c>
      <c r="N179" s="29">
        <v>3</v>
      </c>
      <c r="O179" s="29" t="s">
        <v>475</v>
      </c>
      <c r="P179" s="29" t="str" cm="1">
        <f t="array" ref="P179">_xlfn.REGEXEXTRACT(B179,"(?&lt;=//)[^/]+")</f>
        <v>www.pornhits.com</v>
      </c>
      <c r="Q179" s="29" t="s">
        <v>695</v>
      </c>
      <c r="R179" s="29" t="s">
        <v>1769</v>
      </c>
      <c r="S179" s="29" t="str" cm="1">
        <f t="array" ref="S179">IF(R179&lt;&gt;"NotApplicable",_xlfn.REGEXEXTRACT(R179,"\d+(?=p)"),"NotApplicable")</f>
        <v>NotApplicable</v>
      </c>
      <c r="T179" s="29" t="s">
        <v>1769</v>
      </c>
      <c r="U179" s="29" t="b">
        <f>ISNUMBER(SEARCH(",",E179))</f>
        <v>0</v>
      </c>
    </row>
    <row r="180" spans="1:21" ht="30" x14ac:dyDescent="0.25">
      <c r="A180" s="29" t="str">
        <f>IF(ISBLANK(M180)=TRUE,"Pending","Done")</f>
        <v>Done</v>
      </c>
      <c r="B180" s="29" t="s">
        <v>752</v>
      </c>
      <c r="C180" s="29">
        <v>55</v>
      </c>
      <c r="D180" s="29" t="s">
        <v>867</v>
      </c>
      <c r="E180" s="29" t="s">
        <v>747</v>
      </c>
      <c r="F180" s="29" t="s">
        <v>81</v>
      </c>
      <c r="G180" s="29"/>
      <c r="H180" s="29"/>
      <c r="I180" s="29" t="s">
        <v>1769</v>
      </c>
      <c r="J180" s="29" t="s">
        <v>1769</v>
      </c>
      <c r="K180" s="29" t="s">
        <v>838</v>
      </c>
      <c r="L180" s="29" t="s">
        <v>635</v>
      </c>
      <c r="M180" s="29" t="s">
        <v>65</v>
      </c>
      <c r="N180" s="29">
        <v>3</v>
      </c>
      <c r="O180" s="29" t="s">
        <v>837</v>
      </c>
      <c r="P180" s="29" t="str" cm="1">
        <f t="array" ref="P180">_xlfn.REGEXEXTRACT(B180,"(?&lt;=//)[^/]+")</f>
        <v>bdsmmansion.com</v>
      </c>
      <c r="Q180" s="29" t="s">
        <v>695</v>
      </c>
      <c r="R180" s="29" t="s">
        <v>1769</v>
      </c>
      <c r="S180" s="29" t="str" cm="1">
        <f t="array" ref="S180">IF(R180&lt;&gt;"NotApplicable",_xlfn.REGEXEXTRACT(R180,"\d+(?=p)"),"NotApplicable")</f>
        <v>NotApplicable</v>
      </c>
      <c r="T180" s="29" t="s">
        <v>1769</v>
      </c>
      <c r="U180" s="29" t="b">
        <f>ISNUMBER(SEARCH(",",E180))</f>
        <v>0</v>
      </c>
    </row>
    <row r="181" spans="1:21" ht="30" x14ac:dyDescent="0.25">
      <c r="A181" s="29" t="str">
        <f>IF(ISBLANK(M181)=TRUE,"Pending","Done")</f>
        <v>Done</v>
      </c>
      <c r="B181" s="29" t="s">
        <v>218</v>
      </c>
      <c r="C181" s="29">
        <v>53</v>
      </c>
      <c r="D181" s="29" t="s">
        <v>867</v>
      </c>
      <c r="E181" s="29" t="s">
        <v>219</v>
      </c>
      <c r="F181" s="29" t="s">
        <v>81</v>
      </c>
      <c r="G181" s="29"/>
      <c r="H181" s="29"/>
      <c r="I181" s="29" t="s">
        <v>1769</v>
      </c>
      <c r="J181" s="29" t="s">
        <v>1769</v>
      </c>
      <c r="K181" s="29" t="s">
        <v>492</v>
      </c>
      <c r="L181" s="29" t="s">
        <v>625</v>
      </c>
      <c r="M181" s="29" t="s">
        <v>65</v>
      </c>
      <c r="N181" s="29">
        <v>3</v>
      </c>
      <c r="O181" s="29" t="s">
        <v>465</v>
      </c>
      <c r="P181" s="29" t="str" cm="1">
        <f t="array" ref="P181">_xlfn.REGEXEXTRACT(B181,"(?&lt;=//)[^/]+")</f>
        <v>pervtube.net</v>
      </c>
      <c r="Q181" s="29" t="s">
        <v>695</v>
      </c>
      <c r="R181" s="29" t="s">
        <v>1769</v>
      </c>
      <c r="S181" s="29" t="str" cm="1">
        <f t="array" ref="S181">IF(R181&lt;&gt;"NotApplicable",_xlfn.REGEXEXTRACT(R181,"\d+(?=p)"),"NotApplicable")</f>
        <v>NotApplicable</v>
      </c>
      <c r="T181" s="29" t="s">
        <v>1769</v>
      </c>
      <c r="U181" s="29" t="b">
        <f>ISNUMBER(SEARCH(",",E181))</f>
        <v>0</v>
      </c>
    </row>
    <row r="182" spans="1:21" ht="30" x14ac:dyDescent="0.25">
      <c r="A182" s="29" t="str">
        <f>IF(ISBLANK(M182)=TRUE,"Pending","Done")</f>
        <v>Done</v>
      </c>
      <c r="B182" s="29" t="s">
        <v>83</v>
      </c>
      <c r="C182" s="29">
        <v>49</v>
      </c>
      <c r="D182" s="29" t="s">
        <v>867</v>
      </c>
      <c r="E182" s="29" t="s">
        <v>84</v>
      </c>
      <c r="F182" s="29" t="s">
        <v>81</v>
      </c>
      <c r="G182" s="29"/>
      <c r="H182" s="29"/>
      <c r="I182" s="29" t="s">
        <v>1769</v>
      </c>
      <c r="J182" s="29" t="s">
        <v>1769</v>
      </c>
      <c r="K182" s="29" t="s">
        <v>570</v>
      </c>
      <c r="L182" s="29" t="s">
        <v>400</v>
      </c>
      <c r="M182" s="29" t="s">
        <v>65</v>
      </c>
      <c r="N182" s="29">
        <v>3</v>
      </c>
      <c r="O182" s="29" t="s">
        <v>561</v>
      </c>
      <c r="P182" s="29" t="str" cm="1">
        <f t="array" ref="P182">_xlfn.REGEXEXTRACT(B182,"(?&lt;=//)[^/]+")</f>
        <v>www.pornhits.com</v>
      </c>
      <c r="Q182" s="29" t="s">
        <v>695</v>
      </c>
      <c r="R182" s="29" t="s">
        <v>1769</v>
      </c>
      <c r="S182" s="29" t="str" cm="1">
        <f t="array" ref="S182">IF(R182&lt;&gt;"NotApplicable",_xlfn.REGEXEXTRACT(R182,"\d+(?=p)"),"NotApplicable")</f>
        <v>NotApplicable</v>
      </c>
      <c r="T182" s="29" t="s">
        <v>1769</v>
      </c>
      <c r="U182" s="29" t="b">
        <f>ISNUMBER(SEARCH(",",E182))</f>
        <v>0</v>
      </c>
    </row>
    <row r="183" spans="1:21" ht="60" x14ac:dyDescent="0.25">
      <c r="A183" s="29" t="str">
        <f>IF(ISBLANK(M183)=TRUE,"Pending","Done")</f>
        <v>Done</v>
      </c>
      <c r="B183" s="29" t="s">
        <v>292</v>
      </c>
      <c r="C183" s="29">
        <v>5</v>
      </c>
      <c r="D183" s="29" t="s">
        <v>1766</v>
      </c>
      <c r="E183" s="29" t="s">
        <v>1768</v>
      </c>
      <c r="F183" s="29" t="s">
        <v>81</v>
      </c>
      <c r="G183" s="29"/>
      <c r="H183" s="29"/>
      <c r="I183" s="29" t="s">
        <v>1769</v>
      </c>
      <c r="J183" s="29" t="s">
        <v>1769</v>
      </c>
      <c r="K183" s="29" t="s">
        <v>367</v>
      </c>
      <c r="L183" s="29" t="s">
        <v>632</v>
      </c>
      <c r="M183" s="29" t="s">
        <v>298</v>
      </c>
      <c r="N183" s="29">
        <v>3</v>
      </c>
      <c r="O183" s="29" t="s">
        <v>299</v>
      </c>
      <c r="P183" s="29" t="str" cm="1">
        <f t="array" ref="P183">_xlfn.REGEXEXTRACT(B183,"(?&lt;=//)[^/]+")</f>
        <v>www.eporner.com</v>
      </c>
      <c r="Q183" s="29" t="s">
        <v>695</v>
      </c>
      <c r="R183" s="29" t="s">
        <v>1769</v>
      </c>
      <c r="S183" s="29" t="str" cm="1">
        <f t="array" ref="S183">IF(R183&lt;&gt;"NotApplicable",_xlfn.REGEXEXTRACT(R183,"\d+(?=p)"),"NotApplicable")</f>
        <v>NotApplicable</v>
      </c>
      <c r="T183" s="29" t="s">
        <v>1769</v>
      </c>
      <c r="U183" s="29" t="b">
        <f>ISNUMBER(SEARCH(",",E183))</f>
        <v>0</v>
      </c>
    </row>
    <row r="184" spans="1:21" ht="60" x14ac:dyDescent="0.25">
      <c r="A184" s="29" t="str">
        <f>IF(ISBLANK(M184)=TRUE,"Pending","Done")</f>
        <v>Done</v>
      </c>
      <c r="B184" s="29" t="s">
        <v>277</v>
      </c>
      <c r="C184" s="29">
        <v>4</v>
      </c>
      <c r="D184" s="29" t="s">
        <v>867</v>
      </c>
      <c r="E184" s="29" t="s">
        <v>279</v>
      </c>
      <c r="F184" s="29" t="s">
        <v>81</v>
      </c>
      <c r="G184" s="29"/>
      <c r="H184" s="29"/>
      <c r="I184" s="29" t="s">
        <v>1769</v>
      </c>
      <c r="J184" s="29" t="s">
        <v>1769</v>
      </c>
      <c r="K184" s="29" t="s">
        <v>683</v>
      </c>
      <c r="L184" s="29" t="s">
        <v>79</v>
      </c>
      <c r="M184" s="29" t="s">
        <v>65</v>
      </c>
      <c r="N184" s="29">
        <v>3</v>
      </c>
      <c r="O184" s="29" t="s">
        <v>684</v>
      </c>
      <c r="P184" s="29" t="str" cm="1">
        <f t="array" ref="P184">_xlfn.REGEXEXTRACT(B184,"(?&lt;=//)[^/]+")</f>
        <v>www.porntopedia.com</v>
      </c>
      <c r="Q184" s="29" t="s">
        <v>695</v>
      </c>
      <c r="R184" s="29" t="s">
        <v>1769</v>
      </c>
      <c r="S184" s="29" t="str" cm="1">
        <f t="array" ref="S184">IF(R184&lt;&gt;"NotApplicable",_xlfn.REGEXEXTRACT(R184,"\d+(?=p)"),"NotApplicable")</f>
        <v>NotApplicable</v>
      </c>
      <c r="T184" s="29" t="s">
        <v>1769</v>
      </c>
      <c r="U184" s="29" t="b">
        <f>ISNUMBER(SEARCH(",",E184))</f>
        <v>0</v>
      </c>
    </row>
    <row r="185" spans="1:21" ht="30" x14ac:dyDescent="0.25">
      <c r="A185" s="29" t="str">
        <f>IF(ISBLANK(M185)=TRUE,"Pending","Done")</f>
        <v>Done</v>
      </c>
      <c r="B185" s="29" t="s">
        <v>1558</v>
      </c>
      <c r="C185" s="29">
        <v>15</v>
      </c>
      <c r="D185" s="29" t="s">
        <v>866</v>
      </c>
      <c r="E185" s="29" t="s">
        <v>1593</v>
      </c>
      <c r="F185" s="29" t="s">
        <v>71</v>
      </c>
      <c r="G185" s="29" t="s">
        <v>2185</v>
      </c>
      <c r="H185" s="29" t="s">
        <v>2185</v>
      </c>
      <c r="I185" s="29" t="s">
        <v>1769</v>
      </c>
      <c r="J185" s="29" t="s">
        <v>1769</v>
      </c>
      <c r="K185" s="29" t="s">
        <v>2186</v>
      </c>
      <c r="L185" s="29" t="s">
        <v>2187</v>
      </c>
      <c r="M185" s="29" t="s">
        <v>65</v>
      </c>
      <c r="N185" s="29">
        <v>3</v>
      </c>
      <c r="O185" s="29" t="s">
        <v>2192</v>
      </c>
      <c r="P185" s="29" t="str" cm="1">
        <f t="array" ref="P185">_xlfn.REGEXEXTRACT(B185,"(?&lt;=//)[^/]+")</f>
        <v>www.kink.com</v>
      </c>
      <c r="Q185" s="29" t="s">
        <v>695</v>
      </c>
      <c r="R185" s="29" t="s">
        <v>1769</v>
      </c>
      <c r="S185" s="29" t="str" cm="1">
        <f t="array" ref="S185">IF(R185&lt;&gt;"NotApplicable",_xlfn.REGEXEXTRACT(R185,"\d+(?=p)"),"NotApplicable")</f>
        <v>NotApplicable</v>
      </c>
      <c r="T185" s="29" t="s">
        <v>1769</v>
      </c>
      <c r="U185" s="29" t="b">
        <f>ISNUMBER(SEARCH(",",E185))</f>
        <v>0</v>
      </c>
    </row>
    <row r="186" spans="1:21" ht="30" x14ac:dyDescent="0.25">
      <c r="A186" s="29" t="str">
        <f>IF(ISBLANK(M186)=TRUE,"Pending","Done")</f>
        <v>Done</v>
      </c>
      <c r="B186" s="29" t="s">
        <v>55</v>
      </c>
      <c r="C186" s="29">
        <v>32</v>
      </c>
      <c r="D186" s="29" t="s">
        <v>93</v>
      </c>
      <c r="E186" s="29" t="s">
        <v>344</v>
      </c>
      <c r="F186" s="29" t="s">
        <v>71</v>
      </c>
      <c r="G186" s="29"/>
      <c r="H186" s="29"/>
      <c r="I186" s="29" t="s">
        <v>1769</v>
      </c>
      <c r="J186" s="29" t="s">
        <v>1769</v>
      </c>
      <c r="K186" s="29" t="s">
        <v>1731</v>
      </c>
      <c r="L186" s="29" t="s">
        <v>725</v>
      </c>
      <c r="M186" s="29" t="s">
        <v>65</v>
      </c>
      <c r="N186" s="29">
        <v>3</v>
      </c>
      <c r="O186" s="29" t="s">
        <v>659</v>
      </c>
      <c r="P186" s="29" t="str" cm="1">
        <f t="array" ref="P186">_xlfn.REGEXEXTRACT(B186,"(?&lt;=//)[^/]+")</f>
        <v>heavyfetish.com</v>
      </c>
      <c r="Q186" s="29" t="s">
        <v>695</v>
      </c>
      <c r="R186" s="29" t="s">
        <v>1769</v>
      </c>
      <c r="S186" s="29" t="str" cm="1">
        <f t="array" ref="S186">IF(R186&lt;&gt;"NotApplicable",_xlfn.REGEXEXTRACT(R186,"\d+(?=p)"),"NotApplicable")</f>
        <v>NotApplicable</v>
      </c>
      <c r="T186" s="29" t="s">
        <v>1769</v>
      </c>
      <c r="U186" s="29" t="b">
        <f>ISNUMBER(SEARCH(",",E186))</f>
        <v>1</v>
      </c>
    </row>
    <row r="187" spans="1:21" ht="30" x14ac:dyDescent="0.25">
      <c r="A187" s="29" t="str">
        <f>IF(ISBLANK(M187)=TRUE,"Pending","Done")</f>
        <v>Done</v>
      </c>
      <c r="B187" s="29" t="s">
        <v>134</v>
      </c>
      <c r="C187" s="29">
        <v>0</v>
      </c>
      <c r="D187" s="29" t="s">
        <v>1767</v>
      </c>
      <c r="E187" s="29" t="s">
        <v>148</v>
      </c>
      <c r="F187" s="29" t="s">
        <v>70</v>
      </c>
      <c r="G187" s="29" t="s">
        <v>1769</v>
      </c>
      <c r="H187" s="29" t="s">
        <v>1769</v>
      </c>
      <c r="I187" s="29" t="s">
        <v>1769</v>
      </c>
      <c r="J187" s="29" t="s">
        <v>1769</v>
      </c>
      <c r="K187" s="29" t="s">
        <v>505</v>
      </c>
      <c r="L187" s="29" t="s">
        <v>631</v>
      </c>
      <c r="M187" s="29" t="s">
        <v>65</v>
      </c>
      <c r="N187" s="29">
        <v>3</v>
      </c>
      <c r="O187" s="29" t="s">
        <v>239</v>
      </c>
      <c r="P187" s="29" t="str" cm="1">
        <f t="array" ref="P187">_xlfn.REGEXEXTRACT(B187,"(?&lt;=//)[^/]+")</f>
        <v>curebdsm.com</v>
      </c>
      <c r="Q187" s="29" t="s">
        <v>695</v>
      </c>
      <c r="R187" s="29" t="s">
        <v>1769</v>
      </c>
      <c r="S187" s="29" t="str" cm="1">
        <f t="array" ref="S187">IF(R187&lt;&gt;"NotApplicable",_xlfn.REGEXEXTRACT(R187,"\d+(?=p)"),"NotApplicable")</f>
        <v>NotApplicable</v>
      </c>
      <c r="T187" s="29" t="s">
        <v>1769</v>
      </c>
      <c r="U187" s="29" t="b">
        <f>ISNUMBER(SEARCH(",",E187))</f>
        <v>0</v>
      </c>
    </row>
    <row r="188" spans="1:21" ht="30" x14ac:dyDescent="0.25">
      <c r="A188" s="29" t="str">
        <f>IF(ISBLANK(M188)=TRUE,"Pending","Done")</f>
        <v>Done</v>
      </c>
      <c r="B188" s="29" t="s">
        <v>133</v>
      </c>
      <c r="C188" s="29">
        <v>0</v>
      </c>
      <c r="D188" s="29" t="s">
        <v>1767</v>
      </c>
      <c r="E188" s="29" t="s">
        <v>172</v>
      </c>
      <c r="F188" s="29" t="s">
        <v>70</v>
      </c>
      <c r="G188" s="29" t="s">
        <v>1769</v>
      </c>
      <c r="H188" s="29" t="s">
        <v>1769</v>
      </c>
      <c r="I188" s="29" t="s">
        <v>1769</v>
      </c>
      <c r="J188" s="29" t="s">
        <v>1769</v>
      </c>
      <c r="K188" s="29" t="s">
        <v>504</v>
      </c>
      <c r="L188" s="29" t="s">
        <v>421</v>
      </c>
      <c r="M188" s="29" t="s">
        <v>65</v>
      </c>
      <c r="N188" s="29">
        <v>3</v>
      </c>
      <c r="O188" s="29" t="s">
        <v>240</v>
      </c>
      <c r="P188" s="29" t="str" cm="1">
        <f t="array" ref="P188">_xlfn.REGEXEXTRACT(B188,"(?&lt;=//)[^/]+")</f>
        <v>curebdsm.com</v>
      </c>
      <c r="Q188" s="29" t="s">
        <v>695</v>
      </c>
      <c r="R188" s="29" t="s">
        <v>1769</v>
      </c>
      <c r="S188" s="29" t="str" cm="1">
        <f t="array" ref="S188">IF(R188&lt;&gt;"NotApplicable",_xlfn.REGEXEXTRACT(R188,"\d+(?=p)"),"NotApplicable")</f>
        <v>NotApplicable</v>
      </c>
      <c r="T188" s="29" t="s">
        <v>1769</v>
      </c>
      <c r="U188" s="29" t="b">
        <f>ISNUMBER(SEARCH(",",E188))</f>
        <v>0</v>
      </c>
    </row>
    <row r="189" spans="1:21" ht="30" x14ac:dyDescent="0.25">
      <c r="A189" s="29" t="str">
        <f>IF(ISBLANK(M189)=TRUE,"Pending","Done")</f>
        <v>Done</v>
      </c>
      <c r="B189" s="29" t="s">
        <v>2081</v>
      </c>
      <c r="C189" s="29">
        <v>80</v>
      </c>
      <c r="D189" s="29" t="s">
        <v>868</v>
      </c>
      <c r="E189" s="29" t="s">
        <v>172</v>
      </c>
      <c r="F189" s="29" t="s">
        <v>70</v>
      </c>
      <c r="G189" s="29"/>
      <c r="H189" s="29"/>
      <c r="I189" s="29" t="s">
        <v>1769</v>
      </c>
      <c r="J189" s="29" t="s">
        <v>1769</v>
      </c>
      <c r="K189" s="29" t="s">
        <v>490</v>
      </c>
      <c r="L189" s="29" t="s">
        <v>79</v>
      </c>
      <c r="M189" s="29" t="s">
        <v>65</v>
      </c>
      <c r="N189" s="29">
        <v>3</v>
      </c>
      <c r="O189" s="29" t="s">
        <v>447</v>
      </c>
      <c r="P189" s="29" t="str" cm="1">
        <f t="array" ref="P189">_xlfn.REGEXEXTRACT(B189,"(?&lt;=//)[^/]+")</f>
        <v>bdsmstreak.com</v>
      </c>
      <c r="Q189" s="29" t="s">
        <v>695</v>
      </c>
      <c r="R189" s="29" t="s">
        <v>1769</v>
      </c>
      <c r="S189" s="29" t="str" cm="1">
        <f t="array" ref="S189">IF(R189&lt;&gt;"NotApplicable",_xlfn.REGEXEXTRACT(R189,"\d+(?=p)"),"NotApplicable")</f>
        <v>NotApplicable</v>
      </c>
      <c r="T189" s="29" t="s">
        <v>1769</v>
      </c>
      <c r="U189" s="29" t="b">
        <f>ISNUMBER(SEARCH(",",E189))</f>
        <v>0</v>
      </c>
    </row>
    <row r="190" spans="1:21" ht="30" x14ac:dyDescent="0.25">
      <c r="A190" s="29" t="str">
        <f>IF(ISBLANK(M190)=TRUE,"Pending","Done")</f>
        <v>Done</v>
      </c>
      <c r="B190" s="29" t="s">
        <v>48</v>
      </c>
      <c r="C190" s="29">
        <v>77</v>
      </c>
      <c r="D190" s="29" t="s">
        <v>74</v>
      </c>
      <c r="E190" s="29" t="s">
        <v>246</v>
      </c>
      <c r="F190" s="29" t="s">
        <v>70</v>
      </c>
      <c r="G190" s="29"/>
      <c r="H190" s="29"/>
      <c r="I190" s="29" t="s">
        <v>1769</v>
      </c>
      <c r="J190" s="29" t="s">
        <v>1769</v>
      </c>
      <c r="K190" s="29" t="s">
        <v>581</v>
      </c>
      <c r="L190" s="29" t="s">
        <v>414</v>
      </c>
      <c r="M190" s="29" t="s">
        <v>65</v>
      </c>
      <c r="N190" s="29">
        <v>3</v>
      </c>
      <c r="O190" s="29" t="s">
        <v>584</v>
      </c>
      <c r="P190" s="29" t="str" cm="1">
        <f t="array" ref="P190">_xlfn.REGEXEXTRACT(B190,"(?&lt;=//)[^/]+")</f>
        <v>bdsmstreak.com</v>
      </c>
      <c r="Q190" s="29" t="s">
        <v>695</v>
      </c>
      <c r="R190" s="29" t="s">
        <v>1769</v>
      </c>
      <c r="S190" s="29" t="str" cm="1">
        <f t="array" ref="S190">IF(R190&lt;&gt;"NotApplicable",_xlfn.REGEXEXTRACT(R190,"\d+(?=p)"),"NotApplicable")</f>
        <v>NotApplicable</v>
      </c>
      <c r="T190" s="29" t="s">
        <v>1769</v>
      </c>
      <c r="U190" s="29" t="b">
        <f>ISNUMBER(SEARCH(",",E190))</f>
        <v>0</v>
      </c>
    </row>
    <row r="191" spans="1:21" ht="30" x14ac:dyDescent="0.25">
      <c r="A191" s="29" t="str">
        <f>IF(ISBLANK(M191)=TRUE,"Pending","Done")</f>
        <v>Done</v>
      </c>
      <c r="B191" s="29" t="s">
        <v>17</v>
      </c>
      <c r="C191" s="29">
        <v>46</v>
      </c>
      <c r="D191" s="29" t="s">
        <v>860</v>
      </c>
      <c r="E191" s="29" t="s">
        <v>204</v>
      </c>
      <c r="F191" s="29" t="s">
        <v>70</v>
      </c>
      <c r="G191" s="29"/>
      <c r="H191" s="29"/>
      <c r="I191" s="29" t="s">
        <v>1769</v>
      </c>
      <c r="J191" s="29" t="s">
        <v>1769</v>
      </c>
      <c r="K191" s="29" t="s">
        <v>527</v>
      </c>
      <c r="L191" s="29" t="s">
        <v>416</v>
      </c>
      <c r="M191" s="29" t="s">
        <v>65</v>
      </c>
      <c r="N191" s="29">
        <v>3</v>
      </c>
      <c r="O191" s="29" t="s">
        <v>205</v>
      </c>
      <c r="P191" s="29" t="str" cm="1">
        <f t="array" ref="P191">_xlfn.REGEXEXTRACT(B191,"(?&lt;=//)[^/]+")</f>
        <v>heavyfetish.com</v>
      </c>
      <c r="Q191" s="29" t="s">
        <v>695</v>
      </c>
      <c r="R191" s="29" t="s">
        <v>1769</v>
      </c>
      <c r="S191" s="29" t="str" cm="1">
        <f t="array" ref="S191">IF(R191&lt;&gt;"NotApplicable",_xlfn.REGEXEXTRACT(R191,"\d+(?=p)"),"NotApplicable")</f>
        <v>NotApplicable</v>
      </c>
      <c r="T191" s="29" t="s">
        <v>1769</v>
      </c>
      <c r="U191" s="29" t="b">
        <f>ISNUMBER(SEARCH(",",E191))</f>
        <v>0</v>
      </c>
    </row>
    <row r="192" spans="1:21" ht="30" x14ac:dyDescent="0.25">
      <c r="A192" s="29" t="str">
        <f>IF(ISBLANK(M192)=TRUE,"Pending","Done")</f>
        <v>Done</v>
      </c>
      <c r="B192" s="29" t="s">
        <v>115</v>
      </c>
      <c r="C192" s="29">
        <v>25</v>
      </c>
      <c r="D192" s="29" t="s">
        <v>868</v>
      </c>
      <c r="E192" s="29" t="s">
        <v>192</v>
      </c>
      <c r="F192" s="29" t="s">
        <v>70</v>
      </c>
      <c r="G192" s="29"/>
      <c r="H192" s="29"/>
      <c r="I192" s="29" t="s">
        <v>1769</v>
      </c>
      <c r="J192" s="29" t="s">
        <v>1769</v>
      </c>
      <c r="K192" s="29" t="s">
        <v>578</v>
      </c>
      <c r="L192" s="29" t="s">
        <v>651</v>
      </c>
      <c r="M192" s="29" t="s">
        <v>65</v>
      </c>
      <c r="N192" s="29">
        <v>3</v>
      </c>
      <c r="O192" s="29" t="s">
        <v>515</v>
      </c>
      <c r="P192" s="29" t="str" cm="1">
        <f t="array" ref="P192">_xlfn.REGEXEXTRACT(B192,"(?&lt;=//)[^/]+")</f>
        <v>heavyfetish.com</v>
      </c>
      <c r="Q192" s="29" t="s">
        <v>695</v>
      </c>
      <c r="R192" s="29" t="s">
        <v>1769</v>
      </c>
      <c r="S192" s="29" t="str" cm="1">
        <f t="array" ref="S192">IF(R192&lt;&gt;"NotApplicable",_xlfn.REGEXEXTRACT(R192,"\d+(?=p)"),"NotApplicable")</f>
        <v>NotApplicable</v>
      </c>
      <c r="T192" s="29" t="s">
        <v>1769</v>
      </c>
      <c r="U192" s="29" t="b">
        <f>ISNUMBER(SEARCH(",",E192))</f>
        <v>0</v>
      </c>
    </row>
    <row r="193" spans="1:21" ht="30" x14ac:dyDescent="0.25">
      <c r="A193" s="29" t="str">
        <f>IF(ISBLANK(M193)=TRUE,"Pending","Done")</f>
        <v>Done</v>
      </c>
      <c r="B193" s="29" t="s">
        <v>5</v>
      </c>
      <c r="C193" s="29">
        <v>18</v>
      </c>
      <c r="D193" s="29" t="s">
        <v>149</v>
      </c>
      <c r="E193" s="29" t="s">
        <v>152</v>
      </c>
      <c r="F193" s="29" t="s">
        <v>70</v>
      </c>
      <c r="G193" s="29"/>
      <c r="H193" s="29"/>
      <c r="I193" s="29" t="s">
        <v>1769</v>
      </c>
      <c r="J193" s="29" t="s">
        <v>1769</v>
      </c>
      <c r="K193" s="29" t="s">
        <v>483</v>
      </c>
      <c r="L193" s="29" t="s">
        <v>72</v>
      </c>
      <c r="M193" s="29" t="s">
        <v>65</v>
      </c>
      <c r="N193" s="29">
        <v>3</v>
      </c>
      <c r="O193" s="29" t="s">
        <v>153</v>
      </c>
      <c r="P193" s="29" t="str" cm="1">
        <f t="array" ref="P193">_xlfn.REGEXEXTRACT(B193,"(?&lt;=//)[^/]+")</f>
        <v>heavyfetish.com</v>
      </c>
      <c r="Q193" s="29" t="s">
        <v>695</v>
      </c>
      <c r="R193" s="29" t="s">
        <v>1769</v>
      </c>
      <c r="S193" s="29" t="str" cm="1">
        <f t="array" ref="S193">IF(R193&lt;&gt;"NotApplicable",_xlfn.REGEXEXTRACT(R193,"\d+(?=p)"),"NotApplicable")</f>
        <v>NotApplicable</v>
      </c>
      <c r="T193" s="29" t="s">
        <v>1769</v>
      </c>
      <c r="U193" s="29" t="b">
        <f>ISNUMBER(SEARCH(",",E193))</f>
        <v>0</v>
      </c>
    </row>
    <row r="194" spans="1:21" ht="45" x14ac:dyDescent="0.25">
      <c r="A194" s="29" t="str">
        <f>IF(ISBLANK(M194)=TRUE,"Pending","Done")</f>
        <v>Done</v>
      </c>
      <c r="B194" s="29" t="s">
        <v>28</v>
      </c>
      <c r="C194" s="29">
        <v>9</v>
      </c>
      <c r="D194" s="29" t="s">
        <v>2355</v>
      </c>
      <c r="E194" s="29" t="s">
        <v>191</v>
      </c>
      <c r="F194" s="29" t="s">
        <v>70</v>
      </c>
      <c r="G194" s="29"/>
      <c r="H194" s="29"/>
      <c r="I194" s="29" t="s">
        <v>1769</v>
      </c>
      <c r="J194" s="29" t="s">
        <v>1769</v>
      </c>
      <c r="K194" s="29" t="s">
        <v>366</v>
      </c>
      <c r="L194" s="29" t="s">
        <v>612</v>
      </c>
      <c r="M194" s="29" t="s">
        <v>65</v>
      </c>
      <c r="N194" s="29">
        <v>3</v>
      </c>
      <c r="O194" s="29" t="s">
        <v>616</v>
      </c>
      <c r="P194" s="29" t="str" cm="1">
        <f t="array" ref="P194">_xlfn.REGEXEXTRACT(B194,"(?&lt;=//)[^/]+")</f>
        <v>anyporn.com</v>
      </c>
      <c r="Q194" s="29" t="s">
        <v>695</v>
      </c>
      <c r="R194" s="29" t="s">
        <v>1769</v>
      </c>
      <c r="S194" s="29" t="str" cm="1">
        <f t="array" ref="S194">IF(R194&lt;&gt;"NotApplicable",_xlfn.REGEXEXTRACT(R194,"\d+(?=p)"),"NotApplicable")</f>
        <v>NotApplicable</v>
      </c>
      <c r="T194" s="29" t="s">
        <v>1769</v>
      </c>
      <c r="U194" s="29" t="b">
        <f>ISNUMBER(SEARCH(",",E194))</f>
        <v>0</v>
      </c>
    </row>
    <row r="195" spans="1:21" ht="30" x14ac:dyDescent="0.25">
      <c r="A195" s="29" t="str">
        <f>IF(ISBLANK(M195)=TRUE,"Pending","Done")</f>
        <v>Done</v>
      </c>
      <c r="B195" s="29" t="s">
        <v>26</v>
      </c>
      <c r="C195" s="29">
        <v>102</v>
      </c>
      <c r="D195" s="29" t="s">
        <v>1766</v>
      </c>
      <c r="E195" s="29" t="s">
        <v>195</v>
      </c>
      <c r="F195" s="29" t="s">
        <v>70</v>
      </c>
      <c r="G195" s="29"/>
      <c r="H195" s="29"/>
      <c r="I195" s="29" t="s">
        <v>1769</v>
      </c>
      <c r="J195" s="29" t="s">
        <v>1769</v>
      </c>
      <c r="K195" s="29" t="s">
        <v>506</v>
      </c>
      <c r="L195" s="29" t="s">
        <v>413</v>
      </c>
      <c r="M195" s="29" t="s">
        <v>65</v>
      </c>
      <c r="N195" s="29">
        <v>3</v>
      </c>
      <c r="O195" s="29" t="s">
        <v>650</v>
      </c>
      <c r="P195" s="29" t="str" cm="1">
        <f t="array" ref="P195">_xlfn.REGEXEXTRACT(B195,"(?&lt;=//)[^/]+")</f>
        <v>bdsmstreak.com</v>
      </c>
      <c r="Q195" s="29" t="s">
        <v>695</v>
      </c>
      <c r="R195" s="29" t="s">
        <v>1769</v>
      </c>
      <c r="S195" s="29" t="str" cm="1">
        <f t="array" ref="S195">IF(R195&lt;&gt;"NotApplicable",_xlfn.REGEXEXTRACT(R195,"\d+(?=p)"),"NotApplicable")</f>
        <v>NotApplicable</v>
      </c>
      <c r="T195" s="29" t="s">
        <v>1769</v>
      </c>
      <c r="U195" s="29" t="b">
        <f>ISNUMBER(SEARCH(",",E195))</f>
        <v>0</v>
      </c>
    </row>
    <row r="196" spans="1:21" ht="45" x14ac:dyDescent="0.25">
      <c r="A196" s="29" t="str">
        <f>IF(ISBLANK(M196)=TRUE,"Pending","Done")</f>
        <v>Done</v>
      </c>
      <c r="B196" s="29" t="s">
        <v>50</v>
      </c>
      <c r="C196" s="29">
        <v>70</v>
      </c>
      <c r="D196" s="29" t="s">
        <v>861</v>
      </c>
      <c r="E196" s="29" t="s">
        <v>342</v>
      </c>
      <c r="F196" s="29" t="s">
        <v>69</v>
      </c>
      <c r="G196" s="29"/>
      <c r="H196" s="29"/>
      <c r="I196" s="29" t="s">
        <v>1769</v>
      </c>
      <c r="J196" s="29" t="s">
        <v>1769</v>
      </c>
      <c r="K196" s="29" t="s">
        <v>1703</v>
      </c>
      <c r="L196" s="29" t="s">
        <v>415</v>
      </c>
      <c r="M196" s="29" t="s">
        <v>65</v>
      </c>
      <c r="N196" s="29">
        <v>3</v>
      </c>
      <c r="O196" s="29" t="s">
        <v>871</v>
      </c>
      <c r="P196" s="29" t="str" cm="1">
        <f t="array" ref="P196">_xlfn.REGEXEXTRACT(B196,"(?&lt;=//)[^/]+")</f>
        <v>bdsmstreak.com</v>
      </c>
      <c r="Q196" s="29" t="s">
        <v>695</v>
      </c>
      <c r="R196" s="29" t="s">
        <v>1769</v>
      </c>
      <c r="S196" s="29" t="str" cm="1">
        <f t="array" ref="S196">IF(R196&lt;&gt;"NotApplicable",_xlfn.REGEXEXTRACT(R196,"\d+(?=p)"),"NotApplicable")</f>
        <v>NotApplicable</v>
      </c>
      <c r="T196" s="29" t="s">
        <v>1769</v>
      </c>
      <c r="U196" s="29" t="b">
        <f>ISNUMBER(SEARCH(",",E196))</f>
        <v>1</v>
      </c>
    </row>
    <row r="197" spans="1:21" ht="30" x14ac:dyDescent="0.25">
      <c r="A197" s="29" t="str">
        <f>IF(ISBLANK(M197)=TRUE,"Pending","Done")</f>
        <v>Done</v>
      </c>
      <c r="B197" s="29" t="s">
        <v>87</v>
      </c>
      <c r="C197" s="29">
        <v>44</v>
      </c>
      <c r="D197" s="29" t="s">
        <v>859</v>
      </c>
      <c r="E197" s="29" t="s">
        <v>89</v>
      </c>
      <c r="F197" s="29" t="s">
        <v>69</v>
      </c>
      <c r="G197" s="29"/>
      <c r="H197" s="29"/>
      <c r="I197" s="29" t="s">
        <v>1769</v>
      </c>
      <c r="J197" s="29" t="s">
        <v>1769</v>
      </c>
      <c r="K197" s="29" t="s">
        <v>545</v>
      </c>
      <c r="L197" s="29" t="s">
        <v>630</v>
      </c>
      <c r="M197" s="29" t="s">
        <v>96</v>
      </c>
      <c r="N197" s="29">
        <v>3</v>
      </c>
      <c r="O197" s="29" t="s">
        <v>106</v>
      </c>
      <c r="P197" s="29" t="str" cm="1">
        <f t="array" ref="P197">_xlfn.REGEXEXTRACT(B197,"(?&lt;=//)[^/]+")</f>
        <v>bdsmstreak.com</v>
      </c>
      <c r="Q197" s="29" t="s">
        <v>695</v>
      </c>
      <c r="R197" s="29" t="s">
        <v>1769</v>
      </c>
      <c r="S197" s="29" t="str" cm="1">
        <f t="array" ref="S197">IF(R197&lt;&gt;"NotApplicable",_xlfn.REGEXEXTRACT(R197,"\d+(?=p)"),"NotApplicable")</f>
        <v>NotApplicable</v>
      </c>
      <c r="T197" s="29" t="s">
        <v>1769</v>
      </c>
      <c r="U197" s="29" t="b">
        <f>ISNUMBER(SEARCH(",",E197))</f>
        <v>0</v>
      </c>
    </row>
    <row r="198" spans="1:21" ht="30" x14ac:dyDescent="0.25">
      <c r="A198" s="29" t="str">
        <f>IF(ISBLANK(M198)=TRUE,"Pending","Done")</f>
        <v>Done</v>
      </c>
      <c r="B198" s="29" t="s">
        <v>131</v>
      </c>
      <c r="C198" s="29">
        <v>44</v>
      </c>
      <c r="D198" s="29" t="s">
        <v>198</v>
      </c>
      <c r="E198" s="29" t="s">
        <v>170</v>
      </c>
      <c r="F198" s="29" t="s">
        <v>157</v>
      </c>
      <c r="G198" s="29" t="s">
        <v>2509</v>
      </c>
      <c r="H198" s="29" t="s">
        <v>2508</v>
      </c>
      <c r="I198" s="29" t="s">
        <v>1769</v>
      </c>
      <c r="J198" s="29" t="s">
        <v>1769</v>
      </c>
      <c r="K198" s="29" t="s">
        <v>586</v>
      </c>
      <c r="L198" s="29" t="s">
        <v>611</v>
      </c>
      <c r="M198" s="29" t="s">
        <v>65</v>
      </c>
      <c r="N198" s="29">
        <v>3</v>
      </c>
      <c r="O198" s="29" t="s">
        <v>199</v>
      </c>
      <c r="P198" s="29" t="str" cm="1">
        <f t="array" ref="P198">_xlfn.REGEXEXTRACT(B198,"(?&lt;=//)[^/]+")</f>
        <v>spankbang.com</v>
      </c>
      <c r="Q198" s="29" t="s">
        <v>695</v>
      </c>
      <c r="R198" s="29" t="s">
        <v>1769</v>
      </c>
      <c r="S198" s="29" t="str" cm="1">
        <f t="array" ref="S198">IF(R198&lt;&gt;"NotApplicable",_xlfn.REGEXEXTRACT(R198,"\d+(?=p)"),"NotApplicable")</f>
        <v>NotApplicable</v>
      </c>
      <c r="T198" s="29" t="s">
        <v>1769</v>
      </c>
      <c r="U198" s="29" t="b">
        <f>ISNUMBER(SEARCH(",",E198))</f>
        <v>0</v>
      </c>
    </row>
    <row r="199" spans="1:21" ht="30" x14ac:dyDescent="0.25">
      <c r="A199" s="29" t="str">
        <f>IF(ISBLANK(M199)=TRUE,"Pending","Done")</f>
        <v>Done</v>
      </c>
      <c r="B199" s="29" t="s">
        <v>0</v>
      </c>
      <c r="C199" s="29">
        <v>42</v>
      </c>
      <c r="D199" s="29" t="s">
        <v>1766</v>
      </c>
      <c r="E199" s="29" t="s">
        <v>77</v>
      </c>
      <c r="F199" s="29" t="s">
        <v>157</v>
      </c>
      <c r="G199" s="29" t="s">
        <v>2510</v>
      </c>
      <c r="H199" s="29" t="s">
        <v>2510</v>
      </c>
      <c r="I199" s="29" t="s">
        <v>1769</v>
      </c>
      <c r="J199" s="29" t="s">
        <v>1769</v>
      </c>
      <c r="K199" s="29" t="s">
        <v>549</v>
      </c>
      <c r="L199" s="29" t="s">
        <v>418</v>
      </c>
      <c r="M199" s="29" t="s">
        <v>65</v>
      </c>
      <c r="N199" s="29">
        <v>3</v>
      </c>
      <c r="O199" s="29" t="s">
        <v>186</v>
      </c>
      <c r="P199" s="29" t="str" cm="1">
        <f t="array" ref="P199">_xlfn.REGEXEXTRACT(B199,"(?&lt;=//)[^/]+")</f>
        <v>www.pornhub.com</v>
      </c>
      <c r="Q199" s="29" t="s">
        <v>695</v>
      </c>
      <c r="R199" s="29" t="s">
        <v>1769</v>
      </c>
      <c r="S199" s="29" t="str" cm="1">
        <f t="array" ref="S199">IF(R199&lt;&gt;"NotApplicable",_xlfn.REGEXEXTRACT(R199,"\d+(?=p)"),"NotApplicable")</f>
        <v>NotApplicable</v>
      </c>
      <c r="T199" s="29" t="s">
        <v>1769</v>
      </c>
      <c r="U199" s="29" t="b">
        <f>ISNUMBER(SEARCH(",",E199))</f>
        <v>0</v>
      </c>
    </row>
    <row r="200" spans="1:21" ht="30" x14ac:dyDescent="0.25">
      <c r="A200" s="29" t="str">
        <f>IF(ISBLANK(M200)=TRUE,"Pending","Done")</f>
        <v>Done</v>
      </c>
      <c r="B200" s="29" t="s">
        <v>139</v>
      </c>
      <c r="C200" s="29">
        <v>37</v>
      </c>
      <c r="D200" s="29" t="s">
        <v>1766</v>
      </c>
      <c r="E200" s="29" t="s">
        <v>177</v>
      </c>
      <c r="F200" s="29" t="s">
        <v>157</v>
      </c>
      <c r="G200" s="29" t="s">
        <v>1769</v>
      </c>
      <c r="H200" s="29" t="s">
        <v>1769</v>
      </c>
      <c r="I200" s="29" t="s">
        <v>1769</v>
      </c>
      <c r="J200" s="29" t="s">
        <v>1769</v>
      </c>
      <c r="K200" s="29" t="s">
        <v>364</v>
      </c>
      <c r="L200" s="29" t="s">
        <v>419</v>
      </c>
      <c r="M200" s="29" t="s">
        <v>65</v>
      </c>
      <c r="N200" s="29">
        <v>3</v>
      </c>
      <c r="O200" s="29" t="s">
        <v>178</v>
      </c>
      <c r="P200" s="29" t="str" cm="1">
        <f t="array" ref="P200">_xlfn.REGEXEXTRACT(B200,"(?&lt;=//)[^/]+")</f>
        <v>pornxp.com</v>
      </c>
      <c r="Q200" s="29" t="s">
        <v>695</v>
      </c>
      <c r="R200" s="29" t="s">
        <v>1769</v>
      </c>
      <c r="S200" s="29" t="str" cm="1">
        <f t="array" ref="S200">IF(R200&lt;&gt;"NotApplicable",_xlfn.REGEXEXTRACT(R200,"\d+(?=p)"),"NotApplicable")</f>
        <v>NotApplicable</v>
      </c>
      <c r="T200" s="29" t="s">
        <v>1769</v>
      </c>
      <c r="U200" s="29" t="b">
        <f>ISNUMBER(SEARCH(",",E200))</f>
        <v>0</v>
      </c>
    </row>
    <row r="201" spans="1:21" ht="30" x14ac:dyDescent="0.25">
      <c r="A201" s="29" t="str">
        <f>IF(ISBLANK(M201)=TRUE,"Pending","Done")</f>
        <v>Done</v>
      </c>
      <c r="B201" s="29" t="s">
        <v>1</v>
      </c>
      <c r="C201" s="29">
        <v>28</v>
      </c>
      <c r="D201" s="29" t="s">
        <v>155</v>
      </c>
      <c r="E201" s="29" t="s">
        <v>77</v>
      </c>
      <c r="F201" s="29" t="s">
        <v>157</v>
      </c>
      <c r="G201" s="29" t="s">
        <v>2511</v>
      </c>
      <c r="H201" s="29" t="s">
        <v>2511</v>
      </c>
      <c r="I201" s="29" t="s">
        <v>1769</v>
      </c>
      <c r="J201" s="29" t="s">
        <v>1769</v>
      </c>
      <c r="K201" s="29" t="s">
        <v>588</v>
      </c>
      <c r="L201" s="29" t="s">
        <v>607</v>
      </c>
      <c r="M201" s="29" t="s">
        <v>65</v>
      </c>
      <c r="N201" s="29">
        <v>3</v>
      </c>
      <c r="O201" s="29" t="s">
        <v>156</v>
      </c>
      <c r="P201" s="29" t="str" cm="1">
        <f t="array" ref="P201">_xlfn.REGEXEXTRACT(B201,"(?&lt;=//)[^/]+")</f>
        <v>www.pornhub.com</v>
      </c>
      <c r="Q201" s="29" t="s">
        <v>695</v>
      </c>
      <c r="R201" s="29" t="s">
        <v>1769</v>
      </c>
      <c r="S201" s="29" t="str" cm="1">
        <f t="array" ref="S201">IF(R201&lt;&gt;"NotApplicable",_xlfn.REGEXEXTRACT(R201,"\d+(?=p)"),"NotApplicable")</f>
        <v>NotApplicable</v>
      </c>
      <c r="T201" s="29" t="s">
        <v>1769</v>
      </c>
      <c r="U201" s="29" t="b">
        <f>ISNUMBER(SEARCH(",",E201))</f>
        <v>0</v>
      </c>
    </row>
    <row r="202" spans="1:21" x14ac:dyDescent="0.25">
      <c r="A202" s="29" t="str">
        <f>IF(ISBLANK(M202)=TRUE,"Pending","Done")</f>
        <v>Done</v>
      </c>
      <c r="B202" s="29" t="s">
        <v>1632</v>
      </c>
      <c r="C202" s="29">
        <v>13</v>
      </c>
      <c r="D202" s="29" t="s">
        <v>190</v>
      </c>
      <c r="E202" s="29" t="s">
        <v>1453</v>
      </c>
      <c r="F202" s="29" t="s">
        <v>158</v>
      </c>
      <c r="G202" s="29" t="s">
        <v>2172</v>
      </c>
      <c r="H202" s="29" t="s">
        <v>2160</v>
      </c>
      <c r="I202" s="29" t="s">
        <v>1769</v>
      </c>
      <c r="J202" s="29" t="s">
        <v>1769</v>
      </c>
      <c r="K202" s="29" t="s">
        <v>2174</v>
      </c>
      <c r="L202" s="29" t="s">
        <v>2175</v>
      </c>
      <c r="M202" s="29" t="s">
        <v>65</v>
      </c>
      <c r="N202" s="29">
        <v>3</v>
      </c>
      <c r="O202" s="29" t="s">
        <v>2173</v>
      </c>
      <c r="P202" s="29" t="str" cm="1">
        <f t="array" ref="P202">_xlfn.REGEXEXTRACT(B202,"(?&lt;=//)[^/]+")</f>
        <v>porndoe.com</v>
      </c>
      <c r="Q202" s="29" t="s">
        <v>695</v>
      </c>
      <c r="R202" s="29" t="s">
        <v>1769</v>
      </c>
      <c r="S202" s="29" t="str" cm="1">
        <f t="array" ref="S202">IF(R202&lt;&gt;"NotApplicable",_xlfn.REGEXEXTRACT(R202,"\d+(?=p)"),"NotApplicable")</f>
        <v>NotApplicable</v>
      </c>
      <c r="T202" s="29" t="s">
        <v>1769</v>
      </c>
      <c r="U202" s="29" t="b">
        <f>ISNUMBER(SEARCH(",",E202))</f>
        <v>0</v>
      </c>
    </row>
    <row r="203" spans="1:21" ht="30" x14ac:dyDescent="0.25">
      <c r="A203" s="29" t="str">
        <f>IF(ISBLANK(M203)=TRUE,"Pending","Done")</f>
        <v>Done</v>
      </c>
      <c r="B203" s="29" t="s">
        <v>30</v>
      </c>
      <c r="C203" s="29">
        <v>30</v>
      </c>
      <c r="D203" s="29" t="s">
        <v>1766</v>
      </c>
      <c r="E203" s="29" t="s">
        <v>170</v>
      </c>
      <c r="F203" s="29" t="s">
        <v>158</v>
      </c>
      <c r="G203" s="29" t="s">
        <v>2500</v>
      </c>
      <c r="H203" s="29" t="s">
        <v>2500</v>
      </c>
      <c r="I203" s="29" t="s">
        <v>1769</v>
      </c>
      <c r="J203" s="29" t="s">
        <v>1769</v>
      </c>
      <c r="K203" s="29" t="s">
        <v>365</v>
      </c>
      <c r="L203" s="29" t="s">
        <v>420</v>
      </c>
      <c r="M203" s="29" t="s">
        <v>65</v>
      </c>
      <c r="N203" s="29">
        <v>3</v>
      </c>
      <c r="O203" s="29" t="s">
        <v>685</v>
      </c>
      <c r="P203" s="29" t="str" cm="1">
        <f t="array" ref="P203">_xlfn.REGEXEXTRACT(B203,"(?&lt;=//)[^/]+")</f>
        <v>www.pornhub.com</v>
      </c>
      <c r="Q203" s="29" t="s">
        <v>695</v>
      </c>
      <c r="R203" s="29" t="s">
        <v>1769</v>
      </c>
      <c r="S203" s="29" t="str" cm="1">
        <f t="array" ref="S203">IF(R203&lt;&gt;"NotApplicable",_xlfn.REGEXEXTRACT(R203,"\d+(?=p)"),"NotApplicable")</f>
        <v>NotApplicable</v>
      </c>
      <c r="T203" s="29" t="s">
        <v>1769</v>
      </c>
      <c r="U203" s="29" t="b">
        <f>ISNUMBER(SEARCH(",",E203))</f>
        <v>0</v>
      </c>
    </row>
    <row r="204" spans="1:21" ht="30" x14ac:dyDescent="0.25">
      <c r="A204" s="29" t="str">
        <f>IF(ISBLANK(M204)=TRUE,"Pending","Done")</f>
        <v>Done</v>
      </c>
      <c r="B204" s="29" t="s">
        <v>283</v>
      </c>
      <c r="C204" s="29">
        <v>46</v>
      </c>
      <c r="D204" s="29" t="s">
        <v>1766</v>
      </c>
      <c r="E204" s="29" t="s">
        <v>343</v>
      </c>
      <c r="F204" s="29" t="s">
        <v>169</v>
      </c>
      <c r="G204" s="29" t="s">
        <v>1769</v>
      </c>
      <c r="H204" s="29" t="s">
        <v>2491</v>
      </c>
      <c r="I204" s="29" t="s">
        <v>1769</v>
      </c>
      <c r="J204" s="29" t="s">
        <v>1769</v>
      </c>
      <c r="K204" s="29" t="s">
        <v>1753</v>
      </c>
      <c r="L204" s="29" t="s">
        <v>417</v>
      </c>
      <c r="M204" s="29" t="s">
        <v>65</v>
      </c>
      <c r="N204" s="29">
        <v>3</v>
      </c>
      <c r="O204" s="29" t="s">
        <v>209</v>
      </c>
      <c r="P204" s="29" t="str" cm="1">
        <f t="array" ref="P204">_xlfn.REGEXEXTRACT(B204,"(?&lt;=//)[^/]+")</f>
        <v>spankbang.com</v>
      </c>
      <c r="Q204" s="29" t="s">
        <v>695</v>
      </c>
      <c r="R204" s="29" t="s">
        <v>1769</v>
      </c>
      <c r="S204" s="29" t="str" cm="1">
        <f t="array" ref="S204">IF(R204&lt;&gt;"NotApplicable",_xlfn.REGEXEXTRACT(R204,"\d+(?=p)"),"NotApplicable")</f>
        <v>NotApplicable</v>
      </c>
      <c r="T204" s="29" t="s">
        <v>1769</v>
      </c>
      <c r="U204" s="29" t="b">
        <f>ISNUMBER(SEARCH(",",E204))</f>
        <v>1</v>
      </c>
    </row>
    <row r="205" spans="1:21" ht="45" x14ac:dyDescent="0.25">
      <c r="A205" s="29" t="str">
        <f>IF(ISBLANK(M205)=TRUE,"Pending","Done")</f>
        <v>Done</v>
      </c>
      <c r="B205" s="29" t="s">
        <v>2494</v>
      </c>
      <c r="C205" s="29">
        <v>31</v>
      </c>
      <c r="D205" s="29" t="s">
        <v>1766</v>
      </c>
      <c r="E205" s="29" t="s">
        <v>345</v>
      </c>
      <c r="F205" s="29" t="s">
        <v>169</v>
      </c>
      <c r="G205" s="29" t="s">
        <v>2493</v>
      </c>
      <c r="H205" s="29" t="s">
        <v>2492</v>
      </c>
      <c r="I205" s="29" t="s">
        <v>1769</v>
      </c>
      <c r="J205" s="29" t="s">
        <v>1769</v>
      </c>
      <c r="K205" s="29" t="s">
        <v>1754</v>
      </c>
      <c r="L205" s="29" t="s">
        <v>724</v>
      </c>
      <c r="M205" s="29" t="s">
        <v>65</v>
      </c>
      <c r="N205" s="29">
        <v>3</v>
      </c>
      <c r="O205" s="29" t="s">
        <v>730</v>
      </c>
      <c r="P205" s="29" t="str" cm="1">
        <f t="array" ref="P205">_xlfn.REGEXEXTRACT(B205,"(?&lt;=//)[^/]+")</f>
        <v>www.tnaflix.com</v>
      </c>
      <c r="Q205" s="29" t="s">
        <v>695</v>
      </c>
      <c r="R205" s="29" t="s">
        <v>1769</v>
      </c>
      <c r="S205" s="29" t="str" cm="1">
        <f t="array" ref="S205">IF(R205&lt;&gt;"NotApplicable",_xlfn.REGEXEXTRACT(R205,"\d+(?=p)"),"NotApplicable")</f>
        <v>NotApplicable</v>
      </c>
      <c r="T205" s="29" t="s">
        <v>1769</v>
      </c>
      <c r="U205" s="29" t="b">
        <f>ISNUMBER(SEARCH(",",E205))</f>
        <v>1</v>
      </c>
    </row>
    <row r="206" spans="1:21" ht="30" x14ac:dyDescent="0.25">
      <c r="A206" s="29" t="str">
        <f>IF(ISBLANK(M206)=TRUE,"Pending","Done")</f>
        <v>Done</v>
      </c>
      <c r="B206" s="29" t="s">
        <v>110</v>
      </c>
      <c r="C206" s="29">
        <v>14</v>
      </c>
      <c r="D206" s="29" t="s">
        <v>111</v>
      </c>
      <c r="E206" s="29" t="s">
        <v>112</v>
      </c>
      <c r="F206" s="29" t="s">
        <v>81</v>
      </c>
      <c r="G206" s="29"/>
      <c r="H206" s="29"/>
      <c r="I206" s="29" t="s">
        <v>1769</v>
      </c>
      <c r="J206" s="29" t="s">
        <v>1769</v>
      </c>
      <c r="K206" s="29" t="s">
        <v>554</v>
      </c>
      <c r="L206" s="29" t="s">
        <v>79</v>
      </c>
      <c r="M206" s="29" t="s">
        <v>65</v>
      </c>
      <c r="N206" s="29">
        <v>2</v>
      </c>
      <c r="O206" s="29" t="s">
        <v>281</v>
      </c>
      <c r="P206" s="29" t="str" cm="1">
        <f t="array" ref="P206">_xlfn.REGEXEXTRACT(B206,"(?&lt;=//)[^/]+")</f>
        <v>heavyfetish.com</v>
      </c>
      <c r="Q206" s="29" t="s">
        <v>695</v>
      </c>
      <c r="R206" s="29" t="s">
        <v>1769</v>
      </c>
      <c r="S206" s="29" t="str" cm="1">
        <f t="array" ref="S206">IF(R206&lt;&gt;"NotApplicable",_xlfn.REGEXEXTRACT(R206,"\d+(?=p)"),"NotApplicable")</f>
        <v>NotApplicable</v>
      </c>
      <c r="T206" s="29" t="s">
        <v>1769</v>
      </c>
      <c r="U206" s="29" t="b">
        <f>ISNUMBER(SEARCH(",",E206))</f>
        <v>0</v>
      </c>
    </row>
    <row r="207" spans="1:21" ht="30" x14ac:dyDescent="0.25">
      <c r="A207" s="29" t="str">
        <f>IF(ISBLANK(M207)=TRUE,"Pending","Done")</f>
        <v>Done</v>
      </c>
      <c r="B207" s="29" t="s">
        <v>137</v>
      </c>
      <c r="C207" s="29">
        <v>57</v>
      </c>
      <c r="D207" s="29" t="s">
        <v>857</v>
      </c>
      <c r="E207" s="29" t="s">
        <v>347</v>
      </c>
      <c r="F207" s="29" t="s">
        <v>71</v>
      </c>
      <c r="G207" s="29"/>
      <c r="H207" s="29"/>
      <c r="I207" s="29" t="s">
        <v>1769</v>
      </c>
      <c r="J207" s="29" t="s">
        <v>1769</v>
      </c>
      <c r="K207" s="29" t="s">
        <v>1714</v>
      </c>
      <c r="L207" s="29" t="s">
        <v>422</v>
      </c>
      <c r="M207" s="29" t="s">
        <v>65</v>
      </c>
      <c r="N207" s="29">
        <v>2</v>
      </c>
      <c r="O207" s="29" t="s">
        <v>231</v>
      </c>
      <c r="P207" s="29" t="str" cm="1">
        <f t="array" ref="P207">_xlfn.REGEXEXTRACT(B207,"(?&lt;=//)[^/]+")</f>
        <v>www.omg.xxx</v>
      </c>
      <c r="Q207" s="29" t="s">
        <v>695</v>
      </c>
      <c r="R207" s="29" t="s">
        <v>1769</v>
      </c>
      <c r="S207" s="29" t="str" cm="1">
        <f t="array" ref="S207">IF(R207&lt;&gt;"NotApplicable",_xlfn.REGEXEXTRACT(R207,"\d+(?=p)"),"NotApplicable")</f>
        <v>NotApplicable</v>
      </c>
      <c r="T207" s="29" t="s">
        <v>1769</v>
      </c>
      <c r="U207" s="29" t="b">
        <f>ISNUMBER(SEARCH(",",E207))</f>
        <v>1</v>
      </c>
    </row>
    <row r="208" spans="1:21" ht="30" x14ac:dyDescent="0.25">
      <c r="A208" s="29" t="str">
        <f>IF(ISBLANK(M208)=TRUE,"Pending","Done")</f>
        <v>Done</v>
      </c>
      <c r="B208" s="29" t="s">
        <v>120</v>
      </c>
      <c r="C208" s="29">
        <v>47</v>
      </c>
      <c r="D208" s="29" t="s">
        <v>866</v>
      </c>
      <c r="E208" s="29" t="s">
        <v>348</v>
      </c>
      <c r="F208" s="29" t="s">
        <v>71</v>
      </c>
      <c r="G208" s="29"/>
      <c r="H208" s="29"/>
      <c r="I208" s="29" t="s">
        <v>1769</v>
      </c>
      <c r="J208" s="29" t="s">
        <v>1769</v>
      </c>
      <c r="K208" s="29" t="s">
        <v>1735</v>
      </c>
      <c r="L208" s="29" t="s">
        <v>726</v>
      </c>
      <c r="M208" s="29" t="s">
        <v>65</v>
      </c>
      <c r="N208" s="29">
        <v>2</v>
      </c>
      <c r="O208" s="29" t="s">
        <v>210</v>
      </c>
      <c r="P208" s="29" t="str" cm="1">
        <f t="array" ref="P208">_xlfn.REGEXEXTRACT(B208,"(?&lt;=//)[^/]+")</f>
        <v>m.hqporner.com</v>
      </c>
      <c r="Q208" s="29" t="s">
        <v>695</v>
      </c>
      <c r="R208" s="29" t="s">
        <v>1769</v>
      </c>
      <c r="S208" s="29" t="str" cm="1">
        <f t="array" ref="S208">IF(R208&lt;&gt;"NotApplicable",_xlfn.REGEXEXTRACT(R208,"\d+(?=p)"),"NotApplicable")</f>
        <v>NotApplicable</v>
      </c>
      <c r="T208" s="29" t="s">
        <v>1769</v>
      </c>
      <c r="U208" s="29" t="b">
        <f>ISNUMBER(SEARCH(",",E208))</f>
        <v>1</v>
      </c>
    </row>
    <row r="209" spans="1:21" ht="30" x14ac:dyDescent="0.25">
      <c r="A209" s="29" t="str">
        <f>IF(ISBLANK(M209)=TRUE,"Pending","Done")</f>
        <v>Done</v>
      </c>
      <c r="B209" s="29" t="s">
        <v>36</v>
      </c>
      <c r="C209" s="29">
        <v>45</v>
      </c>
      <c r="D209" s="29" t="s">
        <v>74</v>
      </c>
      <c r="E209" s="29" t="s">
        <v>85</v>
      </c>
      <c r="F209" s="29" t="s">
        <v>71</v>
      </c>
      <c r="G209" s="29"/>
      <c r="H209" s="29"/>
      <c r="I209" s="29" t="s">
        <v>1769</v>
      </c>
      <c r="J209" s="29" t="s">
        <v>1769</v>
      </c>
      <c r="K209" s="29" t="s">
        <v>368</v>
      </c>
      <c r="L209" s="29" t="s">
        <v>1521</v>
      </c>
      <c r="M209" s="29" t="s">
        <v>65</v>
      </c>
      <c r="N209" s="29">
        <v>2</v>
      </c>
      <c r="O209" s="29" t="s">
        <v>201</v>
      </c>
      <c r="P209" s="29" t="str" cm="1">
        <f t="array" ref="P209">_xlfn.REGEXEXTRACT(B209,"(?&lt;=//)[^/]+")</f>
        <v>heavyfetish.com</v>
      </c>
      <c r="Q209" s="29" t="s">
        <v>695</v>
      </c>
      <c r="R209" s="29" t="s">
        <v>1769</v>
      </c>
      <c r="S209" s="29" t="str" cm="1">
        <f t="array" ref="S209">IF(R209&lt;&gt;"NotApplicable",_xlfn.REGEXEXTRACT(R209,"\d+(?=p)"),"NotApplicable")</f>
        <v>NotApplicable</v>
      </c>
      <c r="T209" s="29" t="s">
        <v>1769</v>
      </c>
      <c r="U209" s="29" t="b">
        <f>ISNUMBER(SEARCH(",",E209))</f>
        <v>0</v>
      </c>
    </row>
    <row r="210" spans="1:21" ht="30" x14ac:dyDescent="0.25">
      <c r="A210" s="29" t="str">
        <f>IF(ISBLANK(M210)=TRUE,"Pending","Done")</f>
        <v>Done</v>
      </c>
      <c r="B210" s="29" t="s">
        <v>54</v>
      </c>
      <c r="C210" s="29">
        <v>57</v>
      </c>
      <c r="D210" s="29" t="s">
        <v>861</v>
      </c>
      <c r="E210" s="29" t="s">
        <v>229</v>
      </c>
      <c r="F210" s="29" t="s">
        <v>70</v>
      </c>
      <c r="G210" s="29"/>
      <c r="H210" s="29"/>
      <c r="I210" s="29" t="s">
        <v>1769</v>
      </c>
      <c r="J210" s="29" t="s">
        <v>1769</v>
      </c>
      <c r="K210" s="29" t="s">
        <v>502</v>
      </c>
      <c r="L210" s="29" t="s">
        <v>645</v>
      </c>
      <c r="M210" s="29" t="s">
        <v>65</v>
      </c>
      <c r="N210" s="29">
        <v>2</v>
      </c>
      <c r="O210" s="29" t="s">
        <v>230</v>
      </c>
      <c r="P210" s="29" t="str" cm="1">
        <f t="array" ref="P210">_xlfn.REGEXEXTRACT(B210,"(?&lt;=//)[^/]+")</f>
        <v>heavyfetish.com</v>
      </c>
      <c r="Q210" s="29" t="s">
        <v>695</v>
      </c>
      <c r="R210" s="29" t="s">
        <v>1769</v>
      </c>
      <c r="S210" s="29" t="str" cm="1">
        <f t="array" ref="S210">IF(R210&lt;&gt;"NotApplicable",_xlfn.REGEXEXTRACT(R210,"\d+(?=p)"),"NotApplicable")</f>
        <v>NotApplicable</v>
      </c>
      <c r="T210" s="29" t="s">
        <v>1769</v>
      </c>
      <c r="U210" s="29" t="b">
        <f>ISNUMBER(SEARCH(",",E210))</f>
        <v>0</v>
      </c>
    </row>
    <row r="211" spans="1:21" ht="30" x14ac:dyDescent="0.25">
      <c r="A211" s="29" t="str">
        <f>IF(ISBLANK(M211)=TRUE,"Pending","Done")</f>
        <v>Done</v>
      </c>
      <c r="B211" s="29" t="s">
        <v>132</v>
      </c>
      <c r="C211" s="29">
        <v>32</v>
      </c>
      <c r="D211" s="29" t="s">
        <v>868</v>
      </c>
      <c r="E211" s="29" t="s">
        <v>172</v>
      </c>
      <c r="F211" s="29" t="s">
        <v>70</v>
      </c>
      <c r="G211" s="29"/>
      <c r="H211" s="29"/>
      <c r="I211" s="29" t="s">
        <v>1769</v>
      </c>
      <c r="J211" s="29" t="s">
        <v>1769</v>
      </c>
      <c r="K211" s="29" t="s">
        <v>496</v>
      </c>
      <c r="L211" s="29" t="s">
        <v>226</v>
      </c>
      <c r="M211" s="29" t="s">
        <v>65</v>
      </c>
      <c r="N211" s="29">
        <v>2</v>
      </c>
      <c r="O211" s="29" t="s">
        <v>173</v>
      </c>
      <c r="P211" s="29" t="str" cm="1">
        <f t="array" ref="P211">_xlfn.REGEXEXTRACT(B211,"(?&lt;=//)[^/]+")</f>
        <v>heavyfetish.com</v>
      </c>
      <c r="Q211" s="29" t="s">
        <v>695</v>
      </c>
      <c r="R211" s="29" t="s">
        <v>1769</v>
      </c>
      <c r="S211" s="29" t="str" cm="1">
        <f t="array" ref="S211">IF(R211&lt;&gt;"NotApplicable",_xlfn.REGEXEXTRACT(R211,"\d+(?=p)"),"NotApplicable")</f>
        <v>NotApplicable</v>
      </c>
      <c r="T211" s="29" t="s">
        <v>1769</v>
      </c>
      <c r="U211" s="29" t="b">
        <f>ISNUMBER(SEARCH(",",E211))</f>
        <v>0</v>
      </c>
    </row>
    <row r="212" spans="1:21" ht="30" x14ac:dyDescent="0.25">
      <c r="A212" s="29" t="str">
        <f>IF(ISBLANK(M212)=TRUE,"Pending","Done")</f>
        <v>Done</v>
      </c>
      <c r="B212" s="29" t="s">
        <v>1750</v>
      </c>
      <c r="C212" s="29">
        <v>18</v>
      </c>
      <c r="D212" s="29" t="s">
        <v>1766</v>
      </c>
      <c r="E212" s="29" t="s">
        <v>350</v>
      </c>
      <c r="F212" s="29" t="s">
        <v>69</v>
      </c>
      <c r="G212" s="29"/>
      <c r="H212" s="29"/>
      <c r="I212" s="29" t="s">
        <v>1769</v>
      </c>
      <c r="J212" s="29" t="s">
        <v>1769</v>
      </c>
      <c r="K212" s="29" t="s">
        <v>1751</v>
      </c>
      <c r="L212" s="29" t="s">
        <v>423</v>
      </c>
      <c r="M212" s="29" t="s">
        <v>65</v>
      </c>
      <c r="N212" s="29">
        <v>2</v>
      </c>
      <c r="O212" s="29" t="s">
        <v>282</v>
      </c>
      <c r="P212" s="29" t="str" cm="1">
        <f t="array" ref="P212">_xlfn.REGEXEXTRACT(B212,"(?&lt;=//)[^/]+")</f>
        <v>hcbdsm.com</v>
      </c>
      <c r="Q212" s="29" t="s">
        <v>695</v>
      </c>
      <c r="R212" s="29" t="s">
        <v>1769</v>
      </c>
      <c r="S212" s="29" t="str" cm="1">
        <f t="array" ref="S212">IF(R212&lt;&gt;"NotApplicable",_xlfn.REGEXEXTRACT(R212,"\d+(?=p)"),"NotApplicable")</f>
        <v>NotApplicable</v>
      </c>
      <c r="T212" s="29" t="s">
        <v>1769</v>
      </c>
      <c r="U212" s="29" t="b">
        <f>ISNUMBER(SEARCH(",",E212))</f>
        <v>1</v>
      </c>
    </row>
    <row r="213" spans="1:21" ht="45" x14ac:dyDescent="0.25">
      <c r="A213" s="29" t="str">
        <f>IF(ISBLANK(M213)=TRUE,"Pending","Done")</f>
        <v>Done</v>
      </c>
      <c r="B213" s="29" t="s">
        <v>126</v>
      </c>
      <c r="C213" s="29">
        <v>64</v>
      </c>
      <c r="D213" s="29" t="s">
        <v>1766</v>
      </c>
      <c r="E213" s="29" t="s">
        <v>236</v>
      </c>
      <c r="F213" s="29" t="s">
        <v>157</v>
      </c>
      <c r="G213" s="29" t="s">
        <v>1769</v>
      </c>
      <c r="H213" s="29" t="s">
        <v>2517</v>
      </c>
      <c r="I213" s="29" t="s">
        <v>1769</v>
      </c>
      <c r="J213" s="29" t="s">
        <v>1769</v>
      </c>
      <c r="K213" s="29" t="s">
        <v>671</v>
      </c>
      <c r="L213" s="29" t="s">
        <v>614</v>
      </c>
      <c r="M213" s="29" t="s">
        <v>65</v>
      </c>
      <c r="N213" s="29">
        <v>2</v>
      </c>
      <c r="O213" s="29" t="s">
        <v>235</v>
      </c>
      <c r="P213" s="29" t="str" cm="1">
        <f t="array" ref="P213">_xlfn.REGEXEXTRACT(B213,"(?&lt;=//)[^/]+")</f>
        <v>www.peekvids.com</v>
      </c>
      <c r="Q213" s="29" t="s">
        <v>695</v>
      </c>
      <c r="R213" s="29" t="s">
        <v>1769</v>
      </c>
      <c r="S213" s="29" t="str" cm="1">
        <f t="array" ref="S213">IF(R213&lt;&gt;"NotApplicable",_xlfn.REGEXEXTRACT(R213,"\d+(?=p)"),"NotApplicable")</f>
        <v>NotApplicable</v>
      </c>
      <c r="T213" s="29" t="s">
        <v>1769</v>
      </c>
      <c r="U213" s="29" t="b">
        <f>ISNUMBER(SEARCH(",",E213))</f>
        <v>0</v>
      </c>
    </row>
    <row r="214" spans="1:21" ht="45" x14ac:dyDescent="0.25">
      <c r="A214" s="29" t="str">
        <f>IF(ISBLANK(M214)=TRUE,"Pending","Done")</f>
        <v>Done</v>
      </c>
      <c r="B214" s="29" t="s">
        <v>114</v>
      </c>
      <c r="C214" s="29">
        <v>48</v>
      </c>
      <c r="D214" s="29" t="s">
        <v>93</v>
      </c>
      <c r="E214" s="29" t="s">
        <v>93</v>
      </c>
      <c r="F214" s="29" t="s">
        <v>71</v>
      </c>
      <c r="G214" s="29"/>
      <c r="H214" s="29"/>
      <c r="I214" s="29" t="s">
        <v>1769</v>
      </c>
      <c r="J214" s="29" t="s">
        <v>1769</v>
      </c>
      <c r="K214" s="29" t="s">
        <v>208</v>
      </c>
      <c r="L214" s="29" t="s">
        <v>424</v>
      </c>
      <c r="M214" s="29" t="s">
        <v>65</v>
      </c>
      <c r="N214" s="29">
        <v>1</v>
      </c>
      <c r="O214" s="29" t="s">
        <v>211</v>
      </c>
      <c r="P214" s="29" t="str" cm="1">
        <f t="array" ref="P214">_xlfn.REGEXEXTRACT(B214,"(?&lt;=//)[^/]+")</f>
        <v>heavyfetish.com</v>
      </c>
      <c r="Q214" s="29" t="s">
        <v>695</v>
      </c>
      <c r="R214" s="29" t="s">
        <v>1769</v>
      </c>
      <c r="S214" s="29" t="str" cm="1">
        <f t="array" ref="S214">IF(R214&lt;&gt;"NotApplicable",_xlfn.REGEXEXTRACT(R214,"\d+(?=p)"),"NotApplicable")</f>
        <v>NotApplicable</v>
      </c>
      <c r="T214" s="29" t="s">
        <v>1769</v>
      </c>
      <c r="U214" s="29" t="b">
        <f>ISNUMBER(SEARCH(",",E214))</f>
        <v>0</v>
      </c>
    </row>
    <row r="215" spans="1:21" ht="30" x14ac:dyDescent="0.25">
      <c r="A215" s="29" t="str">
        <f>IF(ISBLANK(M215)=TRUE,"Pending","Done")</f>
        <v>Done</v>
      </c>
      <c r="B215" s="29" t="s">
        <v>90</v>
      </c>
      <c r="C215" s="29">
        <v>34</v>
      </c>
      <c r="D215" s="29" t="s">
        <v>93</v>
      </c>
      <c r="E215" s="29" t="s">
        <v>346</v>
      </c>
      <c r="F215" s="29" t="s">
        <v>71</v>
      </c>
      <c r="G215" s="29"/>
      <c r="H215" s="29"/>
      <c r="I215" s="29" t="s">
        <v>1769</v>
      </c>
      <c r="J215" s="29" t="s">
        <v>1769</v>
      </c>
      <c r="K215" s="29" t="s">
        <v>1725</v>
      </c>
      <c r="L215" s="29" t="s">
        <v>94</v>
      </c>
      <c r="M215" s="29" t="s">
        <v>65</v>
      </c>
      <c r="N215" s="29">
        <v>1</v>
      </c>
      <c r="O215" s="29" t="s">
        <v>95</v>
      </c>
      <c r="P215" s="29" t="str" cm="1">
        <f t="array" ref="P215">_xlfn.REGEXEXTRACT(B215,"(?&lt;=//)[^/]+")</f>
        <v>heavyfetish.com</v>
      </c>
      <c r="Q215" s="29" t="s">
        <v>695</v>
      </c>
      <c r="R215" s="29" t="s">
        <v>1769</v>
      </c>
      <c r="S215" s="29" t="str" cm="1">
        <f t="array" ref="S215">IF(R215&lt;&gt;"NotApplicable",_xlfn.REGEXEXTRACT(R215,"\d+(?=p)"),"NotApplicable")</f>
        <v>NotApplicable</v>
      </c>
      <c r="T215" s="29" t="s">
        <v>1769</v>
      </c>
      <c r="U215" s="29" t="b">
        <f>ISNUMBER(SEARCH(",",E215))</f>
        <v>1</v>
      </c>
    </row>
    <row r="216" spans="1:21" ht="30" x14ac:dyDescent="0.25">
      <c r="A216" s="29" t="str">
        <f>IF(ISBLANK(M216)=TRUE,"Pending","Done")</f>
        <v>Done</v>
      </c>
      <c r="B216" s="29" t="s">
        <v>2</v>
      </c>
      <c r="C216" s="29">
        <v>11</v>
      </c>
      <c r="D216" s="29" t="s">
        <v>1766</v>
      </c>
      <c r="E216" s="29" t="s">
        <v>77</v>
      </c>
      <c r="F216" s="29" t="s">
        <v>157</v>
      </c>
      <c r="G216" s="29" t="s">
        <v>2518</v>
      </c>
      <c r="H216" s="29" t="s">
        <v>2518</v>
      </c>
      <c r="I216" s="29" t="s">
        <v>1769</v>
      </c>
      <c r="J216" s="29" t="s">
        <v>1769</v>
      </c>
      <c r="K216" s="29" t="s">
        <v>573</v>
      </c>
      <c r="L216" s="29" t="s">
        <v>609</v>
      </c>
      <c r="M216" s="29" t="s">
        <v>65</v>
      </c>
      <c r="N216" s="29">
        <v>1</v>
      </c>
      <c r="O216" s="29" t="s">
        <v>576</v>
      </c>
      <c r="P216" s="29" t="str" cm="1">
        <f t="array" ref="P216">_xlfn.REGEXEXTRACT(B216,"(?&lt;=//)[^/]+")</f>
        <v>www.pornhub.com</v>
      </c>
      <c r="Q216" s="29" t="s">
        <v>695</v>
      </c>
      <c r="R216" s="29" t="s">
        <v>1769</v>
      </c>
      <c r="S216" s="29" t="str" cm="1">
        <f t="array" ref="S216">IF(R216&lt;&gt;"NotApplicable",_xlfn.REGEXEXTRACT(R216,"\d+(?=p)"),"NotApplicable")</f>
        <v>NotApplicable</v>
      </c>
      <c r="T216" s="29" t="s">
        <v>1769</v>
      </c>
      <c r="U216" s="29" t="b">
        <f>ISNUMBER(SEARCH(",",E216))</f>
        <v>0</v>
      </c>
    </row>
    <row r="217" spans="1:21" ht="30" x14ac:dyDescent="0.25">
      <c r="A217" s="29" t="str">
        <f>IF(ISBLANK(M217)=TRUE,"Pending","Done")</f>
        <v>Pending</v>
      </c>
      <c r="B217" s="29" t="s">
        <v>2512</v>
      </c>
      <c r="C217" s="29">
        <v>27</v>
      </c>
      <c r="D217" s="29" t="s">
        <v>2513</v>
      </c>
      <c r="E217" s="29" t="s">
        <v>144</v>
      </c>
      <c r="F217" s="29" t="s">
        <v>157</v>
      </c>
      <c r="G217" s="29" t="s">
        <v>2514</v>
      </c>
      <c r="H217" s="29" t="s">
        <v>2515</v>
      </c>
      <c r="I217" s="29" t="s">
        <v>1769</v>
      </c>
      <c r="J217" s="29" t="s">
        <v>1769</v>
      </c>
      <c r="K217" s="29" t="s">
        <v>448</v>
      </c>
      <c r="L217" s="29" t="s">
        <v>608</v>
      </c>
      <c r="M217" s="29"/>
      <c r="N217" s="29"/>
      <c r="O217" s="29" t="s">
        <v>2516</v>
      </c>
      <c r="P217" s="29" t="str" cm="1">
        <f t="array" ref="P217">_xlfn.REGEXEXTRACT(B217,"(?&lt;=//)[^/]+")</f>
        <v>www.eporner.com</v>
      </c>
      <c r="Q217" s="29" t="s">
        <v>695</v>
      </c>
      <c r="R217" s="29" t="s">
        <v>1769</v>
      </c>
      <c r="S217" s="29" t="str" cm="1">
        <f t="array" ref="S217">IF(R217&lt;&gt;"NotApplicable",_xlfn.REGEXEXTRACT(R217,"\d+(?=p)"),"NotApplicable")</f>
        <v>NotApplicable</v>
      </c>
      <c r="T217" s="29" t="s">
        <v>1769</v>
      </c>
      <c r="U217" s="29" t="b">
        <f>ISNUMBER(SEARCH(",",E217))</f>
        <v>0</v>
      </c>
    </row>
    <row r="218" spans="1:21" ht="30" x14ac:dyDescent="0.25">
      <c r="A218" s="29" t="str">
        <f>IF(ISBLANK(M218)=TRUE,"Pending","Done")</f>
        <v>Pending</v>
      </c>
      <c r="B218" s="29" t="s">
        <v>2285</v>
      </c>
      <c r="C218" s="29">
        <v>54</v>
      </c>
      <c r="D218" s="29" t="s">
        <v>867</v>
      </c>
      <c r="E218" s="29" t="s">
        <v>219</v>
      </c>
      <c r="F218" s="29" t="s">
        <v>81</v>
      </c>
      <c r="G218" s="29" t="s">
        <v>2465</v>
      </c>
      <c r="H218" s="29" t="s">
        <v>2466</v>
      </c>
      <c r="I218" s="29">
        <v>0</v>
      </c>
      <c r="J218" s="29" t="s">
        <v>1156</v>
      </c>
      <c r="K218" s="29"/>
      <c r="L218" s="29"/>
      <c r="M218" s="29"/>
      <c r="N218" s="29"/>
      <c r="O218" s="29"/>
      <c r="P218" s="29" t="str" cm="1">
        <f t="array" ref="P218">_xlfn.REGEXEXTRACT(B218,"(?&lt;=//)[^/]+")</f>
        <v>www.kink.com</v>
      </c>
      <c r="Q218" s="29" t="s">
        <v>695</v>
      </c>
      <c r="R218" s="29" t="s">
        <v>1769</v>
      </c>
      <c r="S218" s="29" t="str" cm="1">
        <f t="array" ref="S218">IF(R218&lt;&gt;"NotApplicable",_xlfn.REGEXEXTRACT(R218,"\d+(?=p)"),"NotApplicable")</f>
        <v>NotApplicable</v>
      </c>
      <c r="T218" s="29" t="s">
        <v>1769</v>
      </c>
      <c r="U218" s="29" t="b">
        <f>ISNUMBER(SEARCH(",",E218))</f>
        <v>0</v>
      </c>
    </row>
    <row r="219" spans="1:21" x14ac:dyDescent="0.25">
      <c r="A219" s="29" t="str">
        <f>IF(ISBLANK(M219)=TRUE,"Pending","Done")</f>
        <v>Pending</v>
      </c>
      <c r="B219" s="29" t="s">
        <v>2101</v>
      </c>
      <c r="C219" s="29">
        <v>34</v>
      </c>
      <c r="D219" s="29" t="s">
        <v>858</v>
      </c>
      <c r="E219" s="29" t="s">
        <v>1592</v>
      </c>
      <c r="F219" s="29" t="s">
        <v>81</v>
      </c>
      <c r="G219" s="29"/>
      <c r="H219" s="29"/>
      <c r="I219" s="29">
        <v>0</v>
      </c>
      <c r="J219" s="29" t="s">
        <v>1156</v>
      </c>
      <c r="K219" s="29"/>
      <c r="L219" s="29"/>
      <c r="M219" s="29"/>
      <c r="N219" s="29"/>
      <c r="O219" s="29"/>
      <c r="P219" s="29" t="str" cm="1">
        <f t="array" ref="P219">_xlfn.REGEXEXTRACT(B219,"(?&lt;=//)[^/]+")</f>
        <v>bdsmstreak.com</v>
      </c>
      <c r="Q219" s="29" t="s">
        <v>695</v>
      </c>
      <c r="R219" s="29" t="s">
        <v>1769</v>
      </c>
      <c r="S219" s="29" t="str" cm="1">
        <f t="array" ref="S219">IF(R219&lt;&gt;"NotApplicable",_xlfn.REGEXEXTRACT(R219,"\d+(?=p)"),"NotApplicable")</f>
        <v>NotApplicable</v>
      </c>
      <c r="T219" s="29" t="s">
        <v>1769</v>
      </c>
      <c r="U219" s="29" t="b">
        <f>ISNUMBER(SEARCH(",",E219))</f>
        <v>0</v>
      </c>
    </row>
    <row r="220" spans="1:21" ht="30" x14ac:dyDescent="0.25">
      <c r="A220" s="29" t="str">
        <f>IF(ISBLANK(M220)=TRUE,"Pending","Done")</f>
        <v>Pending</v>
      </c>
      <c r="B220" s="29" t="s">
        <v>1673</v>
      </c>
      <c r="C220" s="29">
        <v>46</v>
      </c>
      <c r="D220" s="29" t="s">
        <v>858</v>
      </c>
      <c r="E220" s="29" t="s">
        <v>1674</v>
      </c>
      <c r="F220" s="29" t="s">
        <v>81</v>
      </c>
      <c r="G220" s="29"/>
      <c r="H220" s="29"/>
      <c r="I220" s="29" t="s">
        <v>1769</v>
      </c>
      <c r="J220" s="29" t="s">
        <v>1769</v>
      </c>
      <c r="K220" s="29"/>
      <c r="L220" s="29"/>
      <c r="M220" s="29"/>
      <c r="N220" s="29"/>
      <c r="O220" s="29" t="s">
        <v>1675</v>
      </c>
      <c r="P220" s="29" t="str" cm="1">
        <f t="array" ref="P220">_xlfn.REGEXEXTRACT(B220,"(?&lt;=//)[^/]+")</f>
        <v>bdsmstreak.com</v>
      </c>
      <c r="Q220" s="29" t="s">
        <v>695</v>
      </c>
      <c r="R220" s="29" t="s">
        <v>1769</v>
      </c>
      <c r="S220" s="29" t="str" cm="1">
        <f t="array" ref="S220">IF(R220&lt;&gt;"NotApplicable",_xlfn.REGEXEXTRACT(R220,"\d+(?=p)"),"NotApplicable")</f>
        <v>NotApplicable</v>
      </c>
      <c r="T220" s="29" t="s">
        <v>1769</v>
      </c>
      <c r="U220" s="29" t="b">
        <f>ISNUMBER(SEARCH(",",E220))</f>
        <v>0</v>
      </c>
    </row>
    <row r="221" spans="1:21" ht="45" x14ac:dyDescent="0.25">
      <c r="A221" s="29" t="str">
        <f>IF(ISBLANK(M221)=TRUE,"Pending","Done")</f>
        <v>Pending</v>
      </c>
      <c r="B221" s="29" t="s">
        <v>1482</v>
      </c>
      <c r="C221" s="29">
        <v>11</v>
      </c>
      <c r="D221" s="29" t="s">
        <v>864</v>
      </c>
      <c r="E221" s="29" t="s">
        <v>172</v>
      </c>
      <c r="F221" s="29" t="s">
        <v>71</v>
      </c>
      <c r="G221" s="29" t="s">
        <v>2177</v>
      </c>
      <c r="H221" s="29" t="s">
        <v>2177</v>
      </c>
      <c r="I221" s="29" t="s">
        <v>1769</v>
      </c>
      <c r="J221" s="29" t="s">
        <v>1769</v>
      </c>
      <c r="K221" s="29"/>
      <c r="L221" s="29"/>
      <c r="M221" s="29"/>
      <c r="N221" s="29"/>
      <c r="O221" s="29" t="s">
        <v>1483</v>
      </c>
      <c r="P221" s="29" t="str" cm="1">
        <f t="array" ref="P221">_xlfn.REGEXEXTRACT(B221,"(?&lt;=//)[^/]+")</f>
        <v>www.kink.com</v>
      </c>
      <c r="Q221" s="29" t="s">
        <v>695</v>
      </c>
      <c r="R221" s="29" t="s">
        <v>1769</v>
      </c>
      <c r="S221" s="29" t="str" cm="1">
        <f t="array" ref="S221">IF(R221&lt;&gt;"NotApplicable",_xlfn.REGEXEXTRACT(R221,"\d+(?=p)"),"NotApplicable")</f>
        <v>NotApplicable</v>
      </c>
      <c r="T221" s="29" t="s">
        <v>1769</v>
      </c>
      <c r="U221" s="29" t="b">
        <f>ISNUMBER(SEARCH(",",E221))</f>
        <v>0</v>
      </c>
    </row>
    <row r="222" spans="1:21" ht="30" x14ac:dyDescent="0.25">
      <c r="A222" s="29" t="str">
        <f>IF(ISBLANK(M222)=TRUE,"Pending","Done")</f>
        <v>Pending</v>
      </c>
      <c r="B222" s="29" t="s">
        <v>1727</v>
      </c>
      <c r="C222" s="29">
        <v>46</v>
      </c>
      <c r="D222" s="29" t="s">
        <v>868</v>
      </c>
      <c r="E222" s="29" t="s">
        <v>1687</v>
      </c>
      <c r="F222" s="29" t="s">
        <v>71</v>
      </c>
      <c r="G222" s="29" t="s">
        <v>2228</v>
      </c>
      <c r="H222" s="29" t="s">
        <v>1688</v>
      </c>
      <c r="I222" s="29" t="s">
        <v>1769</v>
      </c>
      <c r="J222" s="29" t="s">
        <v>1769</v>
      </c>
      <c r="K222" s="29" t="s">
        <v>1696</v>
      </c>
      <c r="L222" s="29"/>
      <c r="M222" s="29"/>
      <c r="N222" s="29"/>
      <c r="O222" s="29" t="s">
        <v>1689</v>
      </c>
      <c r="P222" s="29" t="str" cm="1">
        <f t="array" ref="P222">_xlfn.REGEXEXTRACT(B222,"(?&lt;=//)[^/]+")</f>
        <v>bdsmstreak.com</v>
      </c>
      <c r="Q222" s="29" t="s">
        <v>695</v>
      </c>
      <c r="R222" s="29" t="s">
        <v>1769</v>
      </c>
      <c r="S222" s="29" t="str" cm="1">
        <f t="array" ref="S222">IF(R222&lt;&gt;"NotApplicable",_xlfn.REGEXEXTRACT(R222,"\d+(?=p)"),"NotApplicable")</f>
        <v>NotApplicable</v>
      </c>
      <c r="T222" s="29" t="s">
        <v>1769</v>
      </c>
      <c r="U222" s="29" t="b">
        <f>ISNUMBER(SEARCH(",",E222))</f>
        <v>1</v>
      </c>
    </row>
    <row r="223" spans="1:21" ht="45" x14ac:dyDescent="0.25">
      <c r="A223" s="29" t="str">
        <f>IF(ISBLANK(M223)=TRUE,"Pending","Done")</f>
        <v>Pending</v>
      </c>
      <c r="B223" s="29" t="s">
        <v>1690</v>
      </c>
      <c r="C223" s="29">
        <v>37</v>
      </c>
      <c r="D223" s="29" t="s">
        <v>868</v>
      </c>
      <c r="E223" s="29" t="s">
        <v>1687</v>
      </c>
      <c r="F223" s="29" t="s">
        <v>71</v>
      </c>
      <c r="G223" s="29" t="s">
        <v>1692</v>
      </c>
      <c r="H223" s="29" t="s">
        <v>1692</v>
      </c>
      <c r="I223" s="29" t="s">
        <v>1769</v>
      </c>
      <c r="J223" s="29" t="s">
        <v>1769</v>
      </c>
      <c r="K223" s="29" t="s">
        <v>1698</v>
      </c>
      <c r="L223" s="29"/>
      <c r="M223" s="29"/>
      <c r="N223" s="29"/>
      <c r="O223" s="29" t="s">
        <v>1691</v>
      </c>
      <c r="P223" s="29" t="str" cm="1">
        <f t="array" ref="P223">_xlfn.REGEXEXTRACT(B223,"(?&lt;=//)[^/]+")</f>
        <v>bdsmstreak.com</v>
      </c>
      <c r="Q223" s="29" t="s">
        <v>695</v>
      </c>
      <c r="R223" s="29" t="s">
        <v>1769</v>
      </c>
      <c r="S223" s="29" t="str" cm="1">
        <f t="array" ref="S223">IF(R223&lt;&gt;"NotApplicable",_xlfn.REGEXEXTRACT(R223,"\d+(?=p)"),"NotApplicable")</f>
        <v>NotApplicable</v>
      </c>
      <c r="T223" s="29" t="s">
        <v>1769</v>
      </c>
      <c r="U223" s="29" t="b">
        <f>ISNUMBER(SEARCH(",",E223))</f>
        <v>1</v>
      </c>
    </row>
    <row r="224" spans="1:21" ht="30" x14ac:dyDescent="0.25">
      <c r="A224" s="29" t="str">
        <f>IF(ISBLANK(M224)=TRUE,"Pending","Done")</f>
        <v>Pending</v>
      </c>
      <c r="B224" s="29" t="s">
        <v>1841</v>
      </c>
      <c r="C224" s="29">
        <v>54</v>
      </c>
      <c r="D224" s="29" t="s">
        <v>866</v>
      </c>
      <c r="E224" s="29" t="s">
        <v>1842</v>
      </c>
      <c r="F224" s="29" t="s">
        <v>71</v>
      </c>
      <c r="G224" s="29" t="s">
        <v>2213</v>
      </c>
      <c r="H224" s="29" t="s">
        <v>2213</v>
      </c>
      <c r="I224" s="29">
        <v>3</v>
      </c>
      <c r="J224" s="29" t="s">
        <v>1620</v>
      </c>
      <c r="K224" s="29"/>
      <c r="L224" s="29"/>
      <c r="M224" s="29"/>
      <c r="N224" s="29"/>
      <c r="O224" s="29"/>
      <c r="P224" s="29" t="str" cm="1">
        <f t="array" ref="P224">_xlfn.REGEXEXTRACT(B224,"(?&lt;=//)[^/]+")</f>
        <v>www.kink.com</v>
      </c>
      <c r="Q224" s="29" t="s">
        <v>695</v>
      </c>
      <c r="R224" s="29" t="s">
        <v>1769</v>
      </c>
      <c r="S224" s="29" t="str" cm="1">
        <f t="array" ref="S224">IF(R224&lt;&gt;"NotApplicable",_xlfn.REGEXEXTRACT(R224,"\d+(?=p)"),"NotApplicable")</f>
        <v>NotApplicable</v>
      </c>
      <c r="T224" s="29" t="s">
        <v>1769</v>
      </c>
      <c r="U224" s="29" t="b">
        <f>ISNUMBER(SEARCH(",",E224))</f>
        <v>1</v>
      </c>
    </row>
    <row r="225" spans="1:21" ht="30" x14ac:dyDescent="0.25">
      <c r="A225" s="29" t="str">
        <f>IF(ISBLANK(M225)=TRUE,"Pending","Done")</f>
        <v>Pending</v>
      </c>
      <c r="B225" s="29" t="s">
        <v>1865</v>
      </c>
      <c r="C225" s="29">
        <v>52</v>
      </c>
      <c r="D225" s="29" t="s">
        <v>1866</v>
      </c>
      <c r="E225" s="29" t="s">
        <v>1867</v>
      </c>
      <c r="F225" s="29" t="s">
        <v>71</v>
      </c>
      <c r="G225" s="29" t="s">
        <v>2209</v>
      </c>
      <c r="H225" s="29" t="s">
        <v>2209</v>
      </c>
      <c r="I225" s="29">
        <v>3</v>
      </c>
      <c r="J225" s="29" t="s">
        <v>1868</v>
      </c>
      <c r="K225" s="29"/>
      <c r="L225" s="29"/>
      <c r="M225" s="29"/>
      <c r="N225" s="29"/>
      <c r="O225" s="29"/>
      <c r="P225" s="29" t="str" cm="1">
        <f t="array" ref="P225">_xlfn.REGEXEXTRACT(B225,"(?&lt;=//)[^/]+")</f>
        <v>www.twistedfactory.com</v>
      </c>
      <c r="Q225" s="29" t="s">
        <v>695</v>
      </c>
      <c r="R225" s="29" t="s">
        <v>1769</v>
      </c>
      <c r="S225" s="29" t="str" cm="1">
        <f t="array" ref="S225">IF(R225&lt;&gt;"NotApplicable",_xlfn.REGEXEXTRACT(R225,"\d+(?=p)"),"NotApplicable")</f>
        <v>NotApplicable</v>
      </c>
      <c r="T225" s="29" t="s">
        <v>1769</v>
      </c>
      <c r="U225" s="29" t="b">
        <f>ISNUMBER(SEARCH(",",E225))</f>
        <v>1</v>
      </c>
    </row>
    <row r="226" spans="1:21" ht="30" x14ac:dyDescent="0.25">
      <c r="A226" s="29" t="str">
        <f>IF(ISBLANK(M226)=TRUE,"Pending","Done")</f>
        <v>Pending</v>
      </c>
      <c r="B226" s="29" t="s">
        <v>1881</v>
      </c>
      <c r="C226" s="29">
        <v>50</v>
      </c>
      <c r="D226" s="29" t="s">
        <v>1780</v>
      </c>
      <c r="E226" s="29" t="s">
        <v>1882</v>
      </c>
      <c r="F226" s="29" t="s">
        <v>71</v>
      </c>
      <c r="G226" s="29" t="s">
        <v>2208</v>
      </c>
      <c r="H226" s="29" t="s">
        <v>2208</v>
      </c>
      <c r="I226" s="29">
        <v>8</v>
      </c>
      <c r="J226" s="29" t="s">
        <v>1883</v>
      </c>
      <c r="K226" s="29"/>
      <c r="L226" s="29"/>
      <c r="M226" s="29"/>
      <c r="N226" s="29"/>
      <c r="O226" s="29"/>
      <c r="P226" s="29" t="str" cm="1">
        <f t="array" ref="P226">_xlfn.REGEXEXTRACT(B226,"(?&lt;=//)[^/]+")</f>
        <v>www.kink.com</v>
      </c>
      <c r="Q226" s="29" t="s">
        <v>695</v>
      </c>
      <c r="R226" s="29" t="s">
        <v>1769</v>
      </c>
      <c r="S226" s="29" t="str" cm="1">
        <f t="array" ref="S226">IF(R226&lt;&gt;"NotApplicable",_xlfn.REGEXEXTRACT(R226,"\d+(?=p)"),"NotApplicable")</f>
        <v>NotApplicable</v>
      </c>
      <c r="T226" s="29" t="s">
        <v>1769</v>
      </c>
      <c r="U226" s="29" t="b">
        <f>ISNUMBER(SEARCH(",",E226))</f>
        <v>1</v>
      </c>
    </row>
    <row r="227" spans="1:21" x14ac:dyDescent="0.25">
      <c r="A227" s="29" t="str">
        <f>IF(ISBLANK(M227)=TRUE,"Pending","Done")</f>
        <v>Pending</v>
      </c>
      <c r="B227" s="29" t="s">
        <v>1900</v>
      </c>
      <c r="C227" s="29">
        <v>26</v>
      </c>
      <c r="D227" s="29" t="s">
        <v>862</v>
      </c>
      <c r="E227" s="29" t="s">
        <v>1901</v>
      </c>
      <c r="F227" s="29" t="s">
        <v>71</v>
      </c>
      <c r="G227" s="29" t="s">
        <v>2198</v>
      </c>
      <c r="H227" s="29" t="s">
        <v>2198</v>
      </c>
      <c r="I227" s="29">
        <v>0</v>
      </c>
      <c r="J227" s="29" t="s">
        <v>1156</v>
      </c>
      <c r="K227" s="29"/>
      <c r="L227" s="29"/>
      <c r="M227" s="29"/>
      <c r="N227" s="29"/>
      <c r="O227" s="29"/>
      <c r="P227" s="29" t="str" cm="1">
        <f t="array" ref="P227">_xlfn.REGEXEXTRACT(B227,"(?&lt;=//)[^/]+")</f>
        <v>www.kink.com</v>
      </c>
      <c r="Q227" s="29" t="s">
        <v>695</v>
      </c>
      <c r="R227" s="29" t="s">
        <v>1769</v>
      </c>
      <c r="S227" s="29" t="str" cm="1">
        <f t="array" ref="S227">IF(R227&lt;&gt;"NotApplicable",_xlfn.REGEXEXTRACT(R227,"\d+(?=p)"),"NotApplicable")</f>
        <v>NotApplicable</v>
      </c>
      <c r="T227" s="29" t="s">
        <v>1769</v>
      </c>
      <c r="U227" s="29" t="b">
        <f>ISNUMBER(SEARCH(",",E227))</f>
        <v>1</v>
      </c>
    </row>
    <row r="228" spans="1:21" x14ac:dyDescent="0.25">
      <c r="A228" s="29" t="str">
        <f>IF(ISBLANK(M228)=TRUE,"Pending","Done")</f>
        <v>Pending</v>
      </c>
      <c r="B228" s="29" t="s">
        <v>1912</v>
      </c>
      <c r="C228" s="29">
        <v>47</v>
      </c>
      <c r="D228" s="29" t="s">
        <v>862</v>
      </c>
      <c r="E228" s="29" t="s">
        <v>1913</v>
      </c>
      <c r="F228" s="29" t="s">
        <v>71</v>
      </c>
      <c r="G228" s="29" t="s">
        <v>2199</v>
      </c>
      <c r="H228" s="29" t="s">
        <v>2199</v>
      </c>
      <c r="I228" s="29">
        <v>0</v>
      </c>
      <c r="J228" s="29" t="s">
        <v>1156</v>
      </c>
      <c r="K228" s="29"/>
      <c r="L228" s="29"/>
      <c r="M228" s="29"/>
      <c r="N228" s="29"/>
      <c r="O228" s="29"/>
      <c r="P228" s="29" t="str" cm="1">
        <f t="array" ref="P228">_xlfn.REGEXEXTRACT(B228,"(?&lt;=//)[^/]+")</f>
        <v>www.kink.com</v>
      </c>
      <c r="Q228" s="29" t="s">
        <v>695</v>
      </c>
      <c r="R228" s="29" t="s">
        <v>1769</v>
      </c>
      <c r="S228" s="29" t="str" cm="1">
        <f t="array" ref="S228">IF(R228&lt;&gt;"NotApplicable",_xlfn.REGEXEXTRACT(R228,"\d+(?=p)"),"NotApplicable")</f>
        <v>NotApplicable</v>
      </c>
      <c r="T228" s="29" t="s">
        <v>1769</v>
      </c>
      <c r="U228" s="29" t="b">
        <f>ISNUMBER(SEARCH(",",E228))</f>
        <v>1</v>
      </c>
    </row>
    <row r="229" spans="1:21" ht="30" x14ac:dyDescent="0.25">
      <c r="A229" s="29" t="str">
        <f>IF(ISBLANK(M229)=TRUE,"Pending","Done")</f>
        <v>Pending</v>
      </c>
      <c r="B229" s="29" t="s">
        <v>1915</v>
      </c>
      <c r="C229" s="29">
        <v>52</v>
      </c>
      <c r="D229" s="29" t="s">
        <v>1780</v>
      </c>
      <c r="E229" s="29" t="s">
        <v>1916</v>
      </c>
      <c r="F229" s="29" t="s">
        <v>71</v>
      </c>
      <c r="G229" s="29" t="s">
        <v>2210</v>
      </c>
      <c r="H229" s="29" t="s">
        <v>2210</v>
      </c>
      <c r="I229" s="29">
        <v>3</v>
      </c>
      <c r="J229" s="29" t="s">
        <v>1917</v>
      </c>
      <c r="K229" s="29"/>
      <c r="L229" s="29"/>
      <c r="M229" s="29"/>
      <c r="N229" s="29"/>
      <c r="O229" s="29"/>
      <c r="P229" s="29" t="str" cm="1">
        <f t="array" ref="P229">_xlfn.REGEXEXTRACT(B229,"(?&lt;=//)[^/]+")</f>
        <v>www.kink.com</v>
      </c>
      <c r="Q229" s="29" t="s">
        <v>695</v>
      </c>
      <c r="R229" s="29" t="s">
        <v>1769</v>
      </c>
      <c r="S229" s="29" t="str" cm="1">
        <f t="array" ref="S229">IF(R229&lt;&gt;"NotApplicable",_xlfn.REGEXEXTRACT(R229,"\d+(?=p)"),"NotApplicable")</f>
        <v>NotApplicable</v>
      </c>
      <c r="T229" s="29" t="s">
        <v>1769</v>
      </c>
      <c r="U229" s="29" t="b">
        <f>ISNUMBER(SEARCH(",",E229))</f>
        <v>1</v>
      </c>
    </row>
    <row r="230" spans="1:21" ht="45" x14ac:dyDescent="0.25">
      <c r="A230" s="29" t="str">
        <f>IF(ISBLANK(M230)=TRUE,"Pending","Done")</f>
        <v>Pending</v>
      </c>
      <c r="B230" s="29" t="s">
        <v>1940</v>
      </c>
      <c r="C230" s="29">
        <v>75</v>
      </c>
      <c r="D230" s="29" t="s">
        <v>863</v>
      </c>
      <c r="E230" s="29" t="s">
        <v>1941</v>
      </c>
      <c r="F230" s="29" t="s">
        <v>71</v>
      </c>
      <c r="G230" s="29" t="s">
        <v>2229</v>
      </c>
      <c r="H230" s="29" t="s">
        <v>2229</v>
      </c>
      <c r="I230" s="29">
        <v>4</v>
      </c>
      <c r="J230" s="29" t="s">
        <v>1942</v>
      </c>
      <c r="K230" s="29"/>
      <c r="L230" s="29"/>
      <c r="M230" s="29"/>
      <c r="N230" s="29"/>
      <c r="O230" s="29"/>
      <c r="P230" s="29" t="str" cm="1">
        <f t="array" ref="P230">_xlfn.REGEXEXTRACT(B230,"(?&lt;=//)[^/]+")</f>
        <v>www.kink.com</v>
      </c>
      <c r="Q230" s="29" t="s">
        <v>695</v>
      </c>
      <c r="R230" s="29" t="s">
        <v>1769</v>
      </c>
      <c r="S230" s="29" t="str" cm="1">
        <f t="array" ref="S230">IF(R230&lt;&gt;"NotApplicable",_xlfn.REGEXEXTRACT(R230,"\d+(?=p)"),"NotApplicable")</f>
        <v>NotApplicable</v>
      </c>
      <c r="T230" s="29" t="s">
        <v>1769</v>
      </c>
      <c r="U230" s="29" t="b">
        <f>ISNUMBER(SEARCH(",",E230))</f>
        <v>1</v>
      </c>
    </row>
    <row r="231" spans="1:21" ht="135" x14ac:dyDescent="0.25">
      <c r="A231" s="29" t="str">
        <f>IF(ISBLANK(M231)=TRUE,"Pending","Done")</f>
        <v>Pending</v>
      </c>
      <c r="B231" s="29" t="s">
        <v>1965</v>
      </c>
      <c r="C231" s="29">
        <v>127</v>
      </c>
      <c r="D231" s="29" t="s">
        <v>1591</v>
      </c>
      <c r="E231" s="29" t="s">
        <v>1966</v>
      </c>
      <c r="F231" s="29" t="s">
        <v>71</v>
      </c>
      <c r="G231" s="29" t="s">
        <v>2237</v>
      </c>
      <c r="H231" s="29" t="s">
        <v>2237</v>
      </c>
      <c r="I231" s="29">
        <v>2</v>
      </c>
      <c r="J231" s="29" t="s">
        <v>1967</v>
      </c>
      <c r="K231" s="29"/>
      <c r="L231" s="29"/>
      <c r="M231" s="29"/>
      <c r="N231" s="29"/>
      <c r="O231" s="29"/>
      <c r="P231" s="29" t="str" cm="1">
        <f t="array" ref="P231">_xlfn.REGEXEXTRACT(B231,"(?&lt;=//)[^/]+")</f>
        <v>www.kink.com</v>
      </c>
      <c r="Q231" s="29" t="s">
        <v>695</v>
      </c>
      <c r="R231" s="29" t="s">
        <v>1769</v>
      </c>
      <c r="S231" s="29" t="str" cm="1">
        <f t="array" ref="S231">IF(R231&lt;&gt;"NotApplicable",_xlfn.REGEXEXTRACT(R231,"\d+(?=p)"),"NotApplicable")</f>
        <v>NotApplicable</v>
      </c>
      <c r="T231" s="29" t="s">
        <v>1769</v>
      </c>
      <c r="U231" s="29" t="b">
        <f>ISNUMBER(SEARCH(",",E231))</f>
        <v>1</v>
      </c>
    </row>
    <row r="232" spans="1:21" ht="30" x14ac:dyDescent="0.25">
      <c r="A232" s="29" t="str">
        <f>IF(ISBLANK(M232)=TRUE,"Pending","Done")</f>
        <v>Pending</v>
      </c>
      <c r="B232" s="29" t="s">
        <v>2089</v>
      </c>
      <c r="C232" s="29" t="s">
        <v>1156</v>
      </c>
      <c r="D232" s="29" t="s">
        <v>1681</v>
      </c>
      <c r="E232" s="29" t="s">
        <v>2090</v>
      </c>
      <c r="F232" s="29" t="s">
        <v>71</v>
      </c>
      <c r="G232" s="29" t="s">
        <v>2238</v>
      </c>
      <c r="H232" s="29" t="s">
        <v>2238</v>
      </c>
      <c r="I232" s="29">
        <v>0</v>
      </c>
      <c r="J232" s="29" t="s">
        <v>1156</v>
      </c>
      <c r="K232" s="29" t="s">
        <v>1709</v>
      </c>
      <c r="L232" s="29"/>
      <c r="M232" s="29"/>
      <c r="N232" s="29"/>
      <c r="O232" s="29"/>
      <c r="P232" s="29" t="str" cm="1">
        <f t="array" ref="P232">_xlfn.REGEXEXTRACT(B232,"(?&lt;=//)[^/]+")</f>
        <v>www.twistedfactory.com</v>
      </c>
      <c r="Q232" s="29" t="s">
        <v>695</v>
      </c>
      <c r="R232" s="29" t="s">
        <v>1769</v>
      </c>
      <c r="S232" s="29" t="str" cm="1">
        <f t="array" ref="S232">IF(R232&lt;&gt;"NotApplicable",_xlfn.REGEXEXTRACT(R232,"\d+(?=p)"),"NotApplicable")</f>
        <v>NotApplicable</v>
      </c>
      <c r="T232" s="29" t="s">
        <v>1769</v>
      </c>
      <c r="U232" s="29" t="b">
        <f>ISNUMBER(SEARCH(",",E232))</f>
        <v>1</v>
      </c>
    </row>
    <row r="233" spans="1:21" ht="30" x14ac:dyDescent="0.25">
      <c r="A233" s="29" t="str">
        <f>IF(ISBLANK(M233)=TRUE,"Pending","Done")</f>
        <v>Pending</v>
      </c>
      <c r="B233" s="29" t="s">
        <v>2091</v>
      </c>
      <c r="C233" s="29">
        <v>74</v>
      </c>
      <c r="D233" s="29" t="s">
        <v>866</v>
      </c>
      <c r="E233" s="29" t="s">
        <v>2092</v>
      </c>
      <c r="F233" s="29" t="s">
        <v>71</v>
      </c>
      <c r="G233" s="29" t="s">
        <v>2227</v>
      </c>
      <c r="H233" s="29" t="s">
        <v>2227</v>
      </c>
      <c r="I233" s="29">
        <v>2</v>
      </c>
      <c r="J233" s="29" t="s">
        <v>2093</v>
      </c>
      <c r="K233" s="29"/>
      <c r="L233" s="29"/>
      <c r="M233" s="29"/>
      <c r="N233" s="29"/>
      <c r="O233" s="29"/>
      <c r="P233" s="29" t="str" cm="1">
        <f t="array" ref="P233">_xlfn.REGEXEXTRACT(B233,"(?&lt;=//)[^/]+")</f>
        <v>www.kink.com</v>
      </c>
      <c r="Q233" s="29" t="s">
        <v>695</v>
      </c>
      <c r="R233" s="29" t="s">
        <v>1769</v>
      </c>
      <c r="S233" s="29" t="str" cm="1">
        <f t="array" ref="S233">IF(R233&lt;&gt;"NotApplicable",_xlfn.REGEXEXTRACT(R233,"\d+(?=p)"),"NotApplicable")</f>
        <v>NotApplicable</v>
      </c>
      <c r="T233" s="29" t="s">
        <v>1769</v>
      </c>
      <c r="U233" s="29" t="b">
        <f>ISNUMBER(SEARCH(",",E233))</f>
        <v>1</v>
      </c>
    </row>
    <row r="234" spans="1:21" ht="30" x14ac:dyDescent="0.25">
      <c r="A234" s="29" t="str">
        <f>IF(ISBLANK(M234)=TRUE,"Pending","Done")</f>
        <v>Pending</v>
      </c>
      <c r="B234" s="29" t="s">
        <v>2096</v>
      </c>
      <c r="C234" s="29">
        <v>52</v>
      </c>
      <c r="D234" s="29" t="s">
        <v>863</v>
      </c>
      <c r="E234" s="29" t="s">
        <v>2097</v>
      </c>
      <c r="F234" s="29" t="s">
        <v>71</v>
      </c>
      <c r="G234" s="29" t="s">
        <v>2211</v>
      </c>
      <c r="H234" s="29" t="s">
        <v>2211</v>
      </c>
      <c r="I234" s="29">
        <v>0</v>
      </c>
      <c r="J234" s="29" t="s">
        <v>1720</v>
      </c>
      <c r="K234" s="29"/>
      <c r="L234" s="29"/>
      <c r="M234" s="29"/>
      <c r="N234" s="29"/>
      <c r="O234" s="29"/>
      <c r="P234" s="29" t="str" cm="1">
        <f t="array" ref="P234">_xlfn.REGEXEXTRACT(B234,"(?&lt;=//)[^/]+")</f>
        <v>www.kink.com</v>
      </c>
      <c r="Q234" s="29" t="s">
        <v>695</v>
      </c>
      <c r="R234" s="29" t="s">
        <v>1769</v>
      </c>
      <c r="S234" s="29" t="str" cm="1">
        <f t="array" ref="S234">IF(R234&lt;&gt;"NotApplicable",_xlfn.REGEXEXTRACT(R234,"\d+(?=p)"),"NotApplicable")</f>
        <v>NotApplicable</v>
      </c>
      <c r="T234" s="29" t="s">
        <v>1769</v>
      </c>
      <c r="U234" s="29" t="b">
        <f>ISNUMBER(SEARCH(",",E234))</f>
        <v>1</v>
      </c>
    </row>
    <row r="235" spans="1:21" x14ac:dyDescent="0.25">
      <c r="A235" s="29" t="str">
        <f>IF(ISBLANK(M235)=TRUE,"Pending","Done")</f>
        <v>Pending</v>
      </c>
      <c r="B235" s="29" t="s">
        <v>2113</v>
      </c>
      <c r="C235" s="29">
        <v>44</v>
      </c>
      <c r="D235" s="29" t="s">
        <v>863</v>
      </c>
      <c r="E235" s="29" t="s">
        <v>2114</v>
      </c>
      <c r="F235" s="29" t="s">
        <v>71</v>
      </c>
      <c r="G235" s="29" t="s">
        <v>2202</v>
      </c>
      <c r="H235" s="29" t="s">
        <v>2202</v>
      </c>
      <c r="I235" s="29">
        <v>0</v>
      </c>
      <c r="J235" s="29" t="s">
        <v>1709</v>
      </c>
      <c r="K235" s="29"/>
      <c r="L235" s="29"/>
      <c r="M235" s="29"/>
      <c r="N235" s="29"/>
      <c r="O235" s="29"/>
      <c r="P235" s="29" t="str" cm="1">
        <f t="array" ref="P235">_xlfn.REGEXEXTRACT(B235,"(?&lt;=//)[^/]+")</f>
        <v>www.kink.com</v>
      </c>
      <c r="Q235" s="29" t="s">
        <v>695</v>
      </c>
      <c r="R235" s="29" t="s">
        <v>1769</v>
      </c>
      <c r="S235" s="29" t="str" cm="1">
        <f t="array" ref="S235">IF(R235&lt;&gt;"NotApplicable",_xlfn.REGEXEXTRACT(R235,"\d+(?=p)"),"NotApplicable")</f>
        <v>NotApplicable</v>
      </c>
      <c r="T235" s="29" t="s">
        <v>1769</v>
      </c>
      <c r="U235" s="29" t="b">
        <f>ISNUMBER(SEARCH(",",E235))</f>
        <v>1</v>
      </c>
    </row>
    <row r="236" spans="1:21" ht="30" x14ac:dyDescent="0.25">
      <c r="A236" s="29" t="str">
        <f>IF(ISBLANK(M236)=TRUE,"Pending","Done")</f>
        <v>Pending</v>
      </c>
      <c r="B236" s="29" t="s">
        <v>2142</v>
      </c>
      <c r="C236" s="29">
        <v>77</v>
      </c>
      <c r="D236" s="29" t="s">
        <v>863</v>
      </c>
      <c r="E236" s="29" t="s">
        <v>2143</v>
      </c>
      <c r="F236" s="29" t="s">
        <v>71</v>
      </c>
      <c r="G236" s="29" t="s">
        <v>2231</v>
      </c>
      <c r="H236" s="29" t="s">
        <v>2231</v>
      </c>
      <c r="I236" s="29">
        <v>0</v>
      </c>
      <c r="J236" s="29" t="s">
        <v>1720</v>
      </c>
      <c r="K236" s="29"/>
      <c r="L236" s="29"/>
      <c r="M236" s="29"/>
      <c r="N236" s="29"/>
      <c r="O236" s="29"/>
      <c r="P236" s="29" t="str" cm="1">
        <f t="array" ref="P236">_xlfn.REGEXEXTRACT(B236,"(?&lt;=//)[^/]+")</f>
        <v>www.kink.com</v>
      </c>
      <c r="Q236" s="29" t="s">
        <v>695</v>
      </c>
      <c r="R236" s="29" t="s">
        <v>1769</v>
      </c>
      <c r="S236" s="29" t="str" cm="1">
        <f t="array" ref="S236">IF(R236&lt;&gt;"NotApplicable",_xlfn.REGEXEXTRACT(R236,"\d+(?=p)"),"NotApplicable")</f>
        <v>NotApplicable</v>
      </c>
      <c r="T236" s="29" t="s">
        <v>1769</v>
      </c>
      <c r="U236" s="29" t="b">
        <f>ISNUMBER(SEARCH(",",E236))</f>
        <v>1</v>
      </c>
    </row>
    <row r="237" spans="1:21" x14ac:dyDescent="0.25">
      <c r="A237" s="29" t="str">
        <f>IF(ISBLANK(M237)=TRUE,"Pending","Done")</f>
        <v>Pending</v>
      </c>
      <c r="B237" s="29" t="s">
        <v>2151</v>
      </c>
      <c r="C237" s="29">
        <v>44</v>
      </c>
      <c r="D237" s="29" t="s">
        <v>863</v>
      </c>
      <c r="E237" s="29" t="s">
        <v>85</v>
      </c>
      <c r="F237" s="29" t="s">
        <v>71</v>
      </c>
      <c r="G237" s="29" t="s">
        <v>2204</v>
      </c>
      <c r="H237" s="29" t="s">
        <v>2204</v>
      </c>
      <c r="I237" s="29">
        <v>0</v>
      </c>
      <c r="J237" s="29" t="s">
        <v>1156</v>
      </c>
      <c r="K237" s="29"/>
      <c r="L237" s="29"/>
      <c r="M237" s="29"/>
      <c r="N237" s="29"/>
      <c r="O237" s="29"/>
      <c r="P237" s="29" t="str" cm="1">
        <f t="array" ref="P237">_xlfn.REGEXEXTRACT(B237,"(?&lt;=//)[^/]+")</f>
        <v>www.kink.com</v>
      </c>
      <c r="Q237" s="29" t="s">
        <v>695</v>
      </c>
      <c r="R237" s="29" t="s">
        <v>1769</v>
      </c>
      <c r="S237" s="29" t="str" cm="1">
        <f t="array" ref="S237">IF(R237&lt;&gt;"NotApplicable",_xlfn.REGEXEXTRACT(R237,"\d+(?=p)"),"NotApplicable")</f>
        <v>NotApplicable</v>
      </c>
      <c r="T237" s="29" t="s">
        <v>1769</v>
      </c>
      <c r="U237" s="29" t="b">
        <f>ISNUMBER(SEARCH(",",E237))</f>
        <v>0</v>
      </c>
    </row>
    <row r="238" spans="1:21" ht="30" x14ac:dyDescent="0.25">
      <c r="A238" s="29" t="str">
        <f>IF(ISBLANK(M238)=TRUE,"Pending","Done")</f>
        <v>Pending</v>
      </c>
      <c r="B238" s="29" t="s">
        <v>2031</v>
      </c>
      <c r="C238" s="29">
        <v>20</v>
      </c>
      <c r="D238" s="29" t="s">
        <v>864</v>
      </c>
      <c r="E238" s="29" t="s">
        <v>2032</v>
      </c>
      <c r="F238" s="29" t="s">
        <v>71</v>
      </c>
      <c r="G238" s="29"/>
      <c r="H238" s="29"/>
      <c r="I238" s="29">
        <v>0</v>
      </c>
      <c r="J238" s="29" t="s">
        <v>1156</v>
      </c>
      <c r="K238" s="29"/>
      <c r="L238" s="29"/>
      <c r="M238" s="29"/>
      <c r="N238" s="29"/>
      <c r="O238" s="29"/>
      <c r="P238" s="29" t="str" cm="1">
        <f t="array" ref="P238">_xlfn.REGEXEXTRACT(B238,"(?&lt;=//)[^/]+")</f>
        <v>hcbdsm.com</v>
      </c>
      <c r="Q238" s="29" t="s">
        <v>695</v>
      </c>
      <c r="R238" s="29" t="s">
        <v>1769</v>
      </c>
      <c r="S238" s="29" t="str" cm="1">
        <f t="array" ref="S238">IF(R238&lt;&gt;"NotApplicable",_xlfn.REGEXEXTRACT(R238,"\d+(?=p)"),"NotApplicable")</f>
        <v>NotApplicable</v>
      </c>
      <c r="T238" s="29" t="s">
        <v>1769</v>
      </c>
      <c r="U238" s="29" t="b">
        <f>ISNUMBER(SEARCH(",",E238))</f>
        <v>1</v>
      </c>
    </row>
    <row r="239" spans="1:21" ht="30" x14ac:dyDescent="0.25">
      <c r="A239" s="29" t="str">
        <f>IF(ISBLANK(M239)=TRUE,"Pending","Done")</f>
        <v>Pending</v>
      </c>
      <c r="B239" s="29" t="s">
        <v>1722</v>
      </c>
      <c r="C239" s="29">
        <v>21</v>
      </c>
      <c r="D239" s="29" t="s">
        <v>1465</v>
      </c>
      <c r="E239" s="29" t="s">
        <v>1466</v>
      </c>
      <c r="F239" s="29" t="s">
        <v>71</v>
      </c>
      <c r="G239" s="29"/>
      <c r="H239" s="29"/>
      <c r="I239" s="29" t="s">
        <v>1769</v>
      </c>
      <c r="J239" s="29" t="s">
        <v>1769</v>
      </c>
      <c r="K239" s="29" t="s">
        <v>1709</v>
      </c>
      <c r="L239" s="29"/>
      <c r="M239" s="29"/>
      <c r="N239" s="29"/>
      <c r="O239" s="29"/>
      <c r="P239" s="29" t="str" cm="1">
        <f t="array" ref="P239">_xlfn.REGEXEXTRACT(B239,"(?&lt;=//)[^/]+")</f>
        <v>hcbdsm.com</v>
      </c>
      <c r="Q239" s="29" t="s">
        <v>695</v>
      </c>
      <c r="R239" s="29" t="s">
        <v>1769</v>
      </c>
      <c r="S239" s="29" t="str" cm="1">
        <f t="array" ref="S239">IF(R239&lt;&gt;"NotApplicable",_xlfn.REGEXEXTRACT(R239,"\d+(?=p)"),"NotApplicable")</f>
        <v>NotApplicable</v>
      </c>
      <c r="T239" s="29" t="s">
        <v>1769</v>
      </c>
      <c r="U239" s="29" t="b">
        <f>ISNUMBER(SEARCH(",",E239))</f>
        <v>1</v>
      </c>
    </row>
    <row r="240" spans="1:21" x14ac:dyDescent="0.25">
      <c r="A240" s="29" t="str">
        <f>IF(ISBLANK(M240)=TRUE,"Pending","Done")</f>
        <v>Pending</v>
      </c>
      <c r="B240" s="29" t="s">
        <v>1463</v>
      </c>
      <c r="C240" s="29">
        <v>24</v>
      </c>
      <c r="D240" s="29" t="s">
        <v>93</v>
      </c>
      <c r="E240" s="29" t="s">
        <v>1464</v>
      </c>
      <c r="F240" s="29" t="s">
        <v>71</v>
      </c>
      <c r="G240" s="29"/>
      <c r="H240" s="29"/>
      <c r="I240" s="29" t="s">
        <v>1769</v>
      </c>
      <c r="J240" s="29" t="s">
        <v>1769</v>
      </c>
      <c r="K240" s="29"/>
      <c r="L240" s="29"/>
      <c r="M240" s="29"/>
      <c r="N240" s="29"/>
      <c r="O240" s="29"/>
      <c r="P240" s="29" t="str" cm="1">
        <f t="array" ref="P240">_xlfn.REGEXEXTRACT(B240,"(?&lt;=//)[^/]+")</f>
        <v>queensnake.com</v>
      </c>
      <c r="Q240" s="29" t="s">
        <v>695</v>
      </c>
      <c r="R240" s="29" t="s">
        <v>1769</v>
      </c>
      <c r="S240" s="29" t="str" cm="1">
        <f t="array" ref="S240">IF(R240&lt;&gt;"NotApplicable",_xlfn.REGEXEXTRACT(R240,"\d+(?=p)"),"NotApplicable")</f>
        <v>NotApplicable</v>
      </c>
      <c r="T240" s="29" t="s">
        <v>1769</v>
      </c>
      <c r="U240" s="29" t="b">
        <f>ISNUMBER(SEARCH(",",E240))</f>
        <v>0</v>
      </c>
    </row>
    <row r="241" spans="1:21" ht="45" x14ac:dyDescent="0.25">
      <c r="A241" s="29" t="str">
        <f>IF(ISBLANK(M241)=TRUE,"Pending","Done")</f>
        <v>Pending</v>
      </c>
      <c r="B241" s="29" t="s">
        <v>2075</v>
      </c>
      <c r="C241" s="29">
        <v>25</v>
      </c>
      <c r="D241" s="29" t="s">
        <v>864</v>
      </c>
      <c r="E241" s="29" t="s">
        <v>2076</v>
      </c>
      <c r="F241" s="29" t="s">
        <v>71</v>
      </c>
      <c r="G241" s="29"/>
      <c r="H241" s="29"/>
      <c r="I241" s="29">
        <v>0</v>
      </c>
      <c r="J241" s="29" t="s">
        <v>1709</v>
      </c>
      <c r="K241" s="29"/>
      <c r="L241" s="29"/>
      <c r="M241" s="29"/>
      <c r="N241" s="29"/>
      <c r="O241" s="29"/>
      <c r="P241" s="29" t="str" cm="1">
        <f t="array" ref="P241">_xlfn.REGEXEXTRACT(B241,"(?&lt;=//)[^/]+")</f>
        <v>bdsmstreak.com</v>
      </c>
      <c r="Q241" s="29" t="s">
        <v>695</v>
      </c>
      <c r="R241" s="29" t="s">
        <v>1769</v>
      </c>
      <c r="S241" s="29" t="str" cm="1">
        <f t="array" ref="S241">IF(R241&lt;&gt;"NotApplicable",_xlfn.REGEXEXTRACT(R241,"\d+(?=p)"),"NotApplicable")</f>
        <v>NotApplicable</v>
      </c>
      <c r="T241" s="29" t="s">
        <v>1769</v>
      </c>
      <c r="U241" s="29" t="b">
        <f>ISNUMBER(SEARCH(",",E241))</f>
        <v>1</v>
      </c>
    </row>
    <row r="242" spans="1:21" ht="30" x14ac:dyDescent="0.25">
      <c r="A242" s="29" t="str">
        <f>IF(ISBLANK(M242)=TRUE,"Pending","Done")</f>
        <v>Pending</v>
      </c>
      <c r="B242" s="29" t="s">
        <v>1564</v>
      </c>
      <c r="C242" s="29">
        <v>40</v>
      </c>
      <c r="D242" s="29" t="s">
        <v>868</v>
      </c>
      <c r="E242" s="29" t="s">
        <v>1595</v>
      </c>
      <c r="F242" s="29" t="s">
        <v>71</v>
      </c>
      <c r="G242" s="29"/>
      <c r="H242" s="29"/>
      <c r="I242" s="29" t="s">
        <v>1769</v>
      </c>
      <c r="J242" s="29" t="s">
        <v>1769</v>
      </c>
      <c r="K242" s="29" t="s">
        <v>1710</v>
      </c>
      <c r="L242" s="29"/>
      <c r="M242" s="29"/>
      <c r="N242" s="29"/>
      <c r="O242" s="29" t="s">
        <v>1695</v>
      </c>
      <c r="P242" s="29" t="str" cm="1">
        <f t="array" ref="P242">_xlfn.REGEXEXTRACT(B242,"(?&lt;=//)[^/]+")</f>
        <v>bdsmstreak.com</v>
      </c>
      <c r="Q242" s="29" t="s">
        <v>695</v>
      </c>
      <c r="R242" s="29" t="s">
        <v>1769</v>
      </c>
      <c r="S242" s="29" t="str" cm="1">
        <f t="array" ref="S242">IF(R242&lt;&gt;"NotApplicable",_xlfn.REGEXEXTRACT(R242,"\d+(?=p)"),"NotApplicable")</f>
        <v>NotApplicable</v>
      </c>
      <c r="T242" s="29" t="s">
        <v>1769</v>
      </c>
      <c r="U242" s="29" t="b">
        <f>ISNUMBER(SEARCH(",",E242))</f>
        <v>1</v>
      </c>
    </row>
    <row r="243" spans="1:21" ht="30" x14ac:dyDescent="0.25">
      <c r="A243" s="29" t="str">
        <f>IF(ISBLANK(M243)=TRUE,"Pending","Done")</f>
        <v>Pending</v>
      </c>
      <c r="B243" s="29" t="s">
        <v>1652</v>
      </c>
      <c r="C243" s="29">
        <v>44</v>
      </c>
      <c r="D243" s="29" t="s">
        <v>868</v>
      </c>
      <c r="E243" s="29" t="s">
        <v>1665</v>
      </c>
      <c r="F243" s="29" t="s">
        <v>71</v>
      </c>
      <c r="G243" s="29"/>
      <c r="H243" s="29"/>
      <c r="I243" s="29" t="s">
        <v>1769</v>
      </c>
      <c r="J243" s="29" t="s">
        <v>1769</v>
      </c>
      <c r="K243" s="29" t="s">
        <v>1709</v>
      </c>
      <c r="L243" s="29"/>
      <c r="M243" s="29"/>
      <c r="N243" s="29"/>
      <c r="O243" s="29" t="s">
        <v>1621</v>
      </c>
      <c r="P243" s="29" t="str" cm="1">
        <f t="array" ref="P243">_xlfn.REGEXEXTRACT(B243,"(?&lt;=//)[^/]+")</f>
        <v>hcbdsm.com</v>
      </c>
      <c r="Q243" s="29" t="s">
        <v>695</v>
      </c>
      <c r="R243" s="29" t="s">
        <v>1769</v>
      </c>
      <c r="S243" s="29" t="str" cm="1">
        <f t="array" ref="S243">IF(R243&lt;&gt;"NotApplicable",_xlfn.REGEXEXTRACT(R243,"\d+(?=p)"),"NotApplicable")</f>
        <v>NotApplicable</v>
      </c>
      <c r="T243" s="29" t="s">
        <v>1769</v>
      </c>
      <c r="U243" s="29" t="b">
        <f>ISNUMBER(SEARCH(",",E243))</f>
        <v>1</v>
      </c>
    </row>
    <row r="244" spans="1:21" ht="45" x14ac:dyDescent="0.25">
      <c r="A244" s="29" t="str">
        <f>IF(ISBLANK(M244)=TRUE,"Pending","Done")</f>
        <v>Pending</v>
      </c>
      <c r="B244" s="29" t="s">
        <v>1811</v>
      </c>
      <c r="C244" s="29">
        <v>44</v>
      </c>
      <c r="D244" s="29" t="s">
        <v>862</v>
      </c>
      <c r="E244" s="29" t="s">
        <v>1812</v>
      </c>
      <c r="F244" s="29" t="s">
        <v>71</v>
      </c>
      <c r="G244" s="29"/>
      <c r="H244" s="29"/>
      <c r="I244" s="29">
        <v>6</v>
      </c>
      <c r="J244" s="29" t="s">
        <v>1813</v>
      </c>
      <c r="K244" s="29"/>
      <c r="L244" s="29"/>
      <c r="M244" s="29"/>
      <c r="N244" s="29"/>
      <c r="O244" s="29"/>
      <c r="P244" s="29" t="str" cm="1">
        <f t="array" ref="P244">_xlfn.REGEXEXTRACT(B244,"(?&lt;=//)[^/]+")</f>
        <v>bdsmstreak.com</v>
      </c>
      <c r="Q244" s="29" t="s">
        <v>695</v>
      </c>
      <c r="R244" s="29" t="s">
        <v>1769</v>
      </c>
      <c r="S244" s="29" t="str" cm="1">
        <f t="array" ref="S244">IF(R244&lt;&gt;"NotApplicable",_xlfn.REGEXEXTRACT(R244,"\d+(?=p)"),"NotApplicable")</f>
        <v>NotApplicable</v>
      </c>
      <c r="T244" s="29" t="s">
        <v>1769</v>
      </c>
      <c r="U244" s="29" t="b">
        <f>ISNUMBER(SEARCH(",",E244))</f>
        <v>1</v>
      </c>
    </row>
    <row r="245" spans="1:21" ht="30" x14ac:dyDescent="0.25">
      <c r="A245" s="29" t="str">
        <f>IF(ISBLANK(M245)=TRUE,"Pending","Done")</f>
        <v>Pending</v>
      </c>
      <c r="B245" s="29" t="s">
        <v>1570</v>
      </c>
      <c r="C245" s="29">
        <v>48</v>
      </c>
      <c r="D245" s="29" t="s">
        <v>863</v>
      </c>
      <c r="E245" s="29" t="s">
        <v>1600</v>
      </c>
      <c r="F245" s="29" t="s">
        <v>71</v>
      </c>
      <c r="G245" s="29"/>
      <c r="H245" s="29"/>
      <c r="I245" s="29" t="s">
        <v>1769</v>
      </c>
      <c r="J245" s="29" t="s">
        <v>1769</v>
      </c>
      <c r="K245" s="29" t="s">
        <v>1709</v>
      </c>
      <c r="L245" s="29"/>
      <c r="M245" s="29"/>
      <c r="N245" s="29"/>
      <c r="O245" s="29" t="s">
        <v>1622</v>
      </c>
      <c r="P245" s="29" t="str" cm="1">
        <f t="array" ref="P245">_xlfn.REGEXEXTRACT(B245,"(?&lt;=//)[^/]+")</f>
        <v>hcbdsm.com</v>
      </c>
      <c r="Q245" s="29" t="s">
        <v>695</v>
      </c>
      <c r="R245" s="29" t="s">
        <v>1769</v>
      </c>
      <c r="S245" s="29" t="str" cm="1">
        <f t="array" ref="S245">IF(R245&lt;&gt;"NotApplicable",_xlfn.REGEXEXTRACT(R245,"\d+(?=p)"),"NotApplicable")</f>
        <v>NotApplicable</v>
      </c>
      <c r="T245" s="29" t="s">
        <v>1769</v>
      </c>
      <c r="U245" s="29" t="b">
        <f>ISNUMBER(SEARCH(",",E245))</f>
        <v>1</v>
      </c>
    </row>
    <row r="246" spans="1:21" ht="30" x14ac:dyDescent="0.25">
      <c r="A246" s="29" t="str">
        <f>IF(ISBLANK(M246)=TRUE,"Pending","Done")</f>
        <v>Pending</v>
      </c>
      <c r="B246" s="29" t="s">
        <v>2005</v>
      </c>
      <c r="C246" s="29">
        <v>48</v>
      </c>
      <c r="D246" s="29" t="s">
        <v>862</v>
      </c>
      <c r="E246" s="29" t="s">
        <v>2006</v>
      </c>
      <c r="F246" s="29" t="s">
        <v>71</v>
      </c>
      <c r="G246" s="29"/>
      <c r="H246" s="29"/>
      <c r="I246" s="29">
        <v>0</v>
      </c>
      <c r="J246" s="29" t="s">
        <v>1156</v>
      </c>
      <c r="K246" s="29"/>
      <c r="L246" s="29"/>
      <c r="M246" s="29"/>
      <c r="N246" s="29"/>
      <c r="O246" s="29"/>
      <c r="P246" s="29" t="str" cm="1">
        <f t="array" ref="P246">_xlfn.REGEXEXTRACT(B246,"(?&lt;=//)[^/]+")</f>
        <v>bdsmstreak.com</v>
      </c>
      <c r="Q246" s="29" t="s">
        <v>695</v>
      </c>
      <c r="R246" s="29" t="s">
        <v>1769</v>
      </c>
      <c r="S246" s="29" t="str" cm="1">
        <f t="array" ref="S246">IF(R246&lt;&gt;"NotApplicable",_xlfn.REGEXEXTRACT(R246,"\d+(?=p)"),"NotApplicable")</f>
        <v>NotApplicable</v>
      </c>
      <c r="T246" s="29" t="s">
        <v>1769</v>
      </c>
      <c r="U246" s="29" t="b">
        <f>ISNUMBER(SEARCH(",",E246))</f>
        <v>1</v>
      </c>
    </row>
    <row r="247" spans="1:21" ht="45" x14ac:dyDescent="0.25">
      <c r="A247" s="29" t="str">
        <f>IF(ISBLANK(M247)=TRUE,"Pending","Done")</f>
        <v>Pending</v>
      </c>
      <c r="B247" s="29" t="s">
        <v>1479</v>
      </c>
      <c r="C247" s="29">
        <v>50</v>
      </c>
      <c r="D247" s="29" t="s">
        <v>863</v>
      </c>
      <c r="E247" s="29" t="s">
        <v>1477</v>
      </c>
      <c r="F247" s="29" t="s">
        <v>71</v>
      </c>
      <c r="G247" s="29"/>
      <c r="H247" s="29"/>
      <c r="I247" s="29" t="s">
        <v>1769</v>
      </c>
      <c r="J247" s="29" t="s">
        <v>1769</v>
      </c>
      <c r="K247" s="29" t="s">
        <v>1720</v>
      </c>
      <c r="L247" s="29"/>
      <c r="M247" s="29"/>
      <c r="N247" s="29"/>
      <c r="O247" s="29" t="s">
        <v>1478</v>
      </c>
      <c r="P247" s="29" t="str" cm="1">
        <f t="array" ref="P247">_xlfn.REGEXEXTRACT(B247,"(?&lt;=//)[^/]+")</f>
        <v>bdsmstreak.com</v>
      </c>
      <c r="Q247" s="29" t="s">
        <v>695</v>
      </c>
      <c r="R247" s="29" t="s">
        <v>1769</v>
      </c>
      <c r="S247" s="29" t="str" cm="1">
        <f t="array" ref="S247">IF(R247&lt;&gt;"NotApplicable",_xlfn.REGEXEXTRACT(R247,"\d+(?=p)"),"NotApplicable")</f>
        <v>NotApplicable</v>
      </c>
      <c r="T247" s="29" t="s">
        <v>1769</v>
      </c>
      <c r="U247" s="29" t="b">
        <f>ISNUMBER(SEARCH(",",E247))</f>
        <v>1</v>
      </c>
    </row>
    <row r="248" spans="1:21" ht="45" x14ac:dyDescent="0.25">
      <c r="A248" s="29" t="str">
        <f>IF(ISBLANK(M248)=TRUE,"Pending","Done")</f>
        <v>Pending</v>
      </c>
      <c r="B248" s="29" t="s">
        <v>1575</v>
      </c>
      <c r="C248" s="29">
        <v>51</v>
      </c>
      <c r="D248" s="29" t="s">
        <v>868</v>
      </c>
      <c r="E248" s="29" t="s">
        <v>1602</v>
      </c>
      <c r="F248" s="29" t="s">
        <v>71</v>
      </c>
      <c r="G248" s="29"/>
      <c r="H248" s="29"/>
      <c r="I248" s="29" t="s">
        <v>1769</v>
      </c>
      <c r="J248" s="29" t="s">
        <v>1769</v>
      </c>
      <c r="K248" s="29" t="s">
        <v>1710</v>
      </c>
      <c r="L248" s="29"/>
      <c r="M248" s="29"/>
      <c r="N248" s="29"/>
      <c r="O248" s="29" t="s">
        <v>1624</v>
      </c>
      <c r="P248" s="29" t="str" cm="1">
        <f t="array" ref="P248">_xlfn.REGEXEXTRACT(B248,"(?&lt;=//)[^/]+")</f>
        <v>v3.bdsmstreak.com</v>
      </c>
      <c r="Q248" s="29" t="s">
        <v>695</v>
      </c>
      <c r="R248" s="29" t="s">
        <v>1769</v>
      </c>
      <c r="S248" s="29" t="str" cm="1">
        <f t="array" ref="S248">IF(R248&lt;&gt;"NotApplicable",_xlfn.REGEXEXTRACT(R248,"\d+(?=p)"),"NotApplicable")</f>
        <v>NotApplicable</v>
      </c>
      <c r="T248" s="29" t="s">
        <v>1769</v>
      </c>
      <c r="U248" s="29" t="b">
        <f>ISNUMBER(SEARCH(",",E248))</f>
        <v>1</v>
      </c>
    </row>
    <row r="249" spans="1:21" ht="45" x14ac:dyDescent="0.25">
      <c r="A249" s="29" t="str">
        <f>IF(ISBLANK(M249)=TRUE,"Pending","Done")</f>
        <v>Pending</v>
      </c>
      <c r="B249" s="29" t="s">
        <v>1992</v>
      </c>
      <c r="C249" s="29">
        <v>53</v>
      </c>
      <c r="D249" s="29" t="s">
        <v>868</v>
      </c>
      <c r="E249" s="29" t="s">
        <v>1836</v>
      </c>
      <c r="F249" s="29" t="s">
        <v>71</v>
      </c>
      <c r="G249" s="29"/>
      <c r="H249" s="29"/>
      <c r="I249" s="29">
        <v>8</v>
      </c>
      <c r="J249" s="29" t="s">
        <v>1672</v>
      </c>
      <c r="K249" s="29"/>
      <c r="L249" s="29"/>
      <c r="M249" s="29"/>
      <c r="N249" s="29"/>
      <c r="O249" s="29"/>
      <c r="P249" s="29" t="str" cm="1">
        <f t="array" ref="P249">_xlfn.REGEXEXTRACT(B249,"(?&lt;=//)[^/]+")</f>
        <v>bdsmstreak.com</v>
      </c>
      <c r="Q249" s="29" t="s">
        <v>695</v>
      </c>
      <c r="R249" s="29" t="s">
        <v>1769</v>
      </c>
      <c r="S249" s="29" t="str" cm="1">
        <f t="array" ref="S249">IF(R249&lt;&gt;"NotApplicable",_xlfn.REGEXEXTRACT(R249,"\d+(?=p)"),"NotApplicable")</f>
        <v>NotApplicable</v>
      </c>
      <c r="T249" s="29" t="s">
        <v>1769</v>
      </c>
      <c r="U249" s="29" t="b">
        <f>ISNUMBER(SEARCH(",",E249))</f>
        <v>1</v>
      </c>
    </row>
    <row r="250" spans="1:21" ht="30" x14ac:dyDescent="0.25">
      <c r="A250" s="29" t="str">
        <f>IF(ISBLANK(M250)=TRUE,"Pending","Done")</f>
        <v>Pending</v>
      </c>
      <c r="B250" s="29" t="s">
        <v>1932</v>
      </c>
      <c r="C250" s="29">
        <v>54</v>
      </c>
      <c r="D250" s="29" t="s">
        <v>1866</v>
      </c>
      <c r="E250" s="29" t="s">
        <v>1933</v>
      </c>
      <c r="F250" s="29" t="s">
        <v>71</v>
      </c>
      <c r="G250" s="29"/>
      <c r="H250" s="29"/>
      <c r="I250" s="29">
        <v>3</v>
      </c>
      <c r="J250" s="29" t="s">
        <v>1934</v>
      </c>
      <c r="K250" s="29"/>
      <c r="L250" s="29"/>
      <c r="M250" s="29"/>
      <c r="N250" s="29"/>
      <c r="O250" s="29"/>
      <c r="P250" s="29" t="str" cm="1">
        <f t="array" ref="P250">_xlfn.REGEXEXTRACT(B250,"(?&lt;=//)[^/]+")</f>
        <v>pornzog.com</v>
      </c>
      <c r="Q250" s="29" t="s">
        <v>695</v>
      </c>
      <c r="R250" s="29" t="s">
        <v>1769</v>
      </c>
      <c r="S250" s="29" t="str" cm="1">
        <f t="array" ref="S250">IF(R250&lt;&gt;"NotApplicable",_xlfn.REGEXEXTRACT(R250,"\d+(?=p)"),"NotApplicable")</f>
        <v>NotApplicable</v>
      </c>
      <c r="T250" s="29" t="s">
        <v>1769</v>
      </c>
      <c r="U250" s="29" t="b">
        <f>ISNUMBER(SEARCH(",",E250))</f>
        <v>1</v>
      </c>
    </row>
    <row r="251" spans="1:21" ht="45" x14ac:dyDescent="0.25">
      <c r="A251" s="29" t="str">
        <f>IF(ISBLANK(M251)=TRUE,"Pending","Done")</f>
        <v>Pending</v>
      </c>
      <c r="B251" s="29" t="s">
        <v>2063</v>
      </c>
      <c r="C251" s="29">
        <v>55</v>
      </c>
      <c r="D251" s="29" t="s">
        <v>866</v>
      </c>
      <c r="E251" s="29" t="s">
        <v>2064</v>
      </c>
      <c r="F251" s="29" t="s">
        <v>71</v>
      </c>
      <c r="G251" s="29"/>
      <c r="H251" s="29"/>
      <c r="I251" s="29">
        <v>4</v>
      </c>
      <c r="J251" s="29" t="s">
        <v>2065</v>
      </c>
      <c r="K251" s="29"/>
      <c r="L251" s="29"/>
      <c r="M251" s="29"/>
      <c r="N251" s="29"/>
      <c r="O251" s="29"/>
      <c r="P251" s="29" t="str" cm="1">
        <f t="array" ref="P251">_xlfn.REGEXEXTRACT(B251,"(?&lt;=//)[^/]+")</f>
        <v>bdsmstreak.com</v>
      </c>
      <c r="Q251" s="29" t="s">
        <v>695</v>
      </c>
      <c r="R251" s="29" t="s">
        <v>1769</v>
      </c>
      <c r="S251" s="29" t="str" cm="1">
        <f t="array" ref="S251">IF(R251&lt;&gt;"NotApplicable",_xlfn.REGEXEXTRACT(R251,"\d+(?=p)"),"NotApplicable")</f>
        <v>NotApplicable</v>
      </c>
      <c r="T251" s="29" t="s">
        <v>1769</v>
      </c>
      <c r="U251" s="29" t="b">
        <f>ISNUMBER(SEARCH(",",E251))</f>
        <v>1</v>
      </c>
    </row>
    <row r="252" spans="1:21" ht="30" x14ac:dyDescent="0.25">
      <c r="A252" s="29" t="str">
        <f>IF(ISBLANK(M252)=TRUE,"Pending","Done")</f>
        <v>Pending</v>
      </c>
      <c r="B252" s="29" t="s">
        <v>1641</v>
      </c>
      <c r="C252" s="29">
        <v>56</v>
      </c>
      <c r="D252" s="29" t="s">
        <v>862</v>
      </c>
      <c r="E252" s="29" t="s">
        <v>1657</v>
      </c>
      <c r="F252" s="29" t="s">
        <v>71</v>
      </c>
      <c r="G252" s="29"/>
      <c r="H252" s="29"/>
      <c r="I252" s="29" t="s">
        <v>1769</v>
      </c>
      <c r="J252" s="29" t="s">
        <v>1769</v>
      </c>
      <c r="K252" s="29" t="s">
        <v>1709</v>
      </c>
      <c r="L252" s="29"/>
      <c r="M252" s="29"/>
      <c r="N252" s="29"/>
      <c r="O252" s="29"/>
      <c r="P252" s="29" t="str" cm="1">
        <f t="array" ref="P252">_xlfn.REGEXEXTRACT(B252,"(?&lt;=//)[^/]+")</f>
        <v>bdsmstreak.com</v>
      </c>
      <c r="Q252" s="29" t="s">
        <v>695</v>
      </c>
      <c r="R252" s="29" t="s">
        <v>1769</v>
      </c>
      <c r="S252" s="29" t="str" cm="1">
        <f t="array" ref="S252">IF(R252&lt;&gt;"NotApplicable",_xlfn.REGEXEXTRACT(R252,"\d+(?=p)"),"NotApplicable")</f>
        <v>NotApplicable</v>
      </c>
      <c r="T252" s="29" t="s">
        <v>1769</v>
      </c>
      <c r="U252" s="29" t="b">
        <f>ISNUMBER(SEARCH(",",E252))</f>
        <v>1</v>
      </c>
    </row>
    <row r="253" spans="1:21" ht="30" x14ac:dyDescent="0.25">
      <c r="A253" s="29" t="str">
        <f>IF(ISBLANK(M253)=TRUE,"Pending","Done")</f>
        <v>Pending</v>
      </c>
      <c r="B253" s="29" t="s">
        <v>1765</v>
      </c>
      <c r="C253" s="29">
        <v>57</v>
      </c>
      <c r="D253" s="29" t="s">
        <v>866</v>
      </c>
      <c r="E253" s="29" t="s">
        <v>347</v>
      </c>
      <c r="F253" s="29" t="s">
        <v>71</v>
      </c>
      <c r="G253" s="29"/>
      <c r="H253" s="29"/>
      <c r="I253" s="29" t="s">
        <v>1769</v>
      </c>
      <c r="J253" s="29" t="s">
        <v>1769</v>
      </c>
      <c r="K253" s="29"/>
      <c r="L253" s="29"/>
      <c r="M253" s="29"/>
      <c r="N253" s="29"/>
      <c r="O253" s="29"/>
      <c r="P253" s="29" t="str" cm="1">
        <f t="array" ref="P253">_xlfn.REGEXEXTRACT(B253,"(?&lt;=//)[^/]+")</f>
        <v>heavyfetish.com</v>
      </c>
      <c r="Q253" s="29" t="s">
        <v>695</v>
      </c>
      <c r="R253" s="29" t="s">
        <v>1769</v>
      </c>
      <c r="S253" s="29" t="str" cm="1">
        <f t="array" ref="S253">IF(R253&lt;&gt;"NotApplicable",_xlfn.REGEXEXTRACT(R253,"\d+(?=p)"),"NotApplicable")</f>
        <v>NotApplicable</v>
      </c>
      <c r="T253" s="29" t="s">
        <v>1769</v>
      </c>
      <c r="U253" s="29" t="b">
        <f>ISNUMBER(SEARCH(",",E253))</f>
        <v>1</v>
      </c>
    </row>
    <row r="254" spans="1:21" ht="30" x14ac:dyDescent="0.25">
      <c r="A254" s="29" t="str">
        <f>IF(ISBLANK(M254)=TRUE,"Pending","Done")</f>
        <v>Pending</v>
      </c>
      <c r="B254" s="29" t="s">
        <v>1797</v>
      </c>
      <c r="C254" s="29">
        <v>57</v>
      </c>
      <c r="D254" s="29" t="s">
        <v>868</v>
      </c>
      <c r="E254" s="29" t="s">
        <v>1798</v>
      </c>
      <c r="F254" s="29" t="s">
        <v>71</v>
      </c>
      <c r="G254" s="29"/>
      <c r="H254" s="29"/>
      <c r="I254" s="29">
        <v>8</v>
      </c>
      <c r="J254" s="29" t="s">
        <v>1799</v>
      </c>
      <c r="K254" s="29"/>
      <c r="L254" s="29"/>
      <c r="M254" s="29"/>
      <c r="N254" s="29"/>
      <c r="O254" s="29"/>
      <c r="P254" s="29" t="str" cm="1">
        <f t="array" ref="P254">_xlfn.REGEXEXTRACT(B254,"(?&lt;=//)[^/]+")</f>
        <v>hcbdsm.com</v>
      </c>
      <c r="Q254" s="29" t="s">
        <v>695</v>
      </c>
      <c r="R254" s="29" t="s">
        <v>1769</v>
      </c>
      <c r="S254" s="29" t="str" cm="1">
        <f t="array" ref="S254">IF(R254&lt;&gt;"NotApplicable",_xlfn.REGEXEXTRACT(R254,"\d+(?=p)"),"NotApplicable")</f>
        <v>NotApplicable</v>
      </c>
      <c r="T254" s="29" t="s">
        <v>1769</v>
      </c>
      <c r="U254" s="29" t="b">
        <f>ISNUMBER(SEARCH(",",E254))</f>
        <v>1</v>
      </c>
    </row>
    <row r="255" spans="1:21" ht="45" x14ac:dyDescent="0.25">
      <c r="A255" s="29" t="str">
        <f>IF(ISBLANK(M255)=TRUE,"Pending","Done")</f>
        <v>Pending</v>
      </c>
      <c r="B255" s="29" t="s">
        <v>1986</v>
      </c>
      <c r="C255" s="29">
        <v>61</v>
      </c>
      <c r="D255" s="29" t="s">
        <v>863</v>
      </c>
      <c r="E255" s="29" t="s">
        <v>1987</v>
      </c>
      <c r="F255" s="29" t="s">
        <v>71</v>
      </c>
      <c r="G255" s="29"/>
      <c r="H255" s="29"/>
      <c r="I255" s="29">
        <v>6</v>
      </c>
      <c r="J255" s="29" t="s">
        <v>1984</v>
      </c>
      <c r="K255" s="29"/>
      <c r="L255" s="29"/>
      <c r="M255" s="29"/>
      <c r="N255" s="29"/>
      <c r="O255" s="29"/>
      <c r="P255" s="29" t="str" cm="1">
        <f t="array" ref="P255">_xlfn.REGEXEXTRACT(B255,"(?&lt;=//)[^/]+")</f>
        <v>bdsmstreak.com</v>
      </c>
      <c r="Q255" s="29" t="s">
        <v>695</v>
      </c>
      <c r="R255" s="29" t="s">
        <v>1769</v>
      </c>
      <c r="S255" s="29" t="str" cm="1">
        <f t="array" ref="S255">IF(R255&lt;&gt;"NotApplicable",_xlfn.REGEXEXTRACT(R255,"\d+(?=p)"),"NotApplicable")</f>
        <v>NotApplicable</v>
      </c>
      <c r="T255" s="29" t="s">
        <v>1769</v>
      </c>
      <c r="U255" s="29" t="b">
        <f>ISNUMBER(SEARCH(",",E255))</f>
        <v>1</v>
      </c>
    </row>
    <row r="256" spans="1:21" x14ac:dyDescent="0.25">
      <c r="A256" s="29" t="str">
        <f>IF(ISBLANK(M256)=TRUE,"Pending","Done")</f>
        <v>Pending</v>
      </c>
      <c r="B256" s="29" t="s">
        <v>2152</v>
      </c>
      <c r="C256" s="29">
        <v>61</v>
      </c>
      <c r="D256" s="29" t="s">
        <v>862</v>
      </c>
      <c r="E256" s="29" t="s">
        <v>2153</v>
      </c>
      <c r="F256" s="29" t="s">
        <v>71</v>
      </c>
      <c r="G256" s="29"/>
      <c r="H256" s="29"/>
      <c r="I256" s="29">
        <v>5</v>
      </c>
      <c r="J256" s="29" t="s">
        <v>1950</v>
      </c>
      <c r="K256" s="29"/>
      <c r="L256" s="29"/>
      <c r="M256" s="29"/>
      <c r="N256" s="29"/>
      <c r="O256" s="29"/>
      <c r="P256" s="29" t="str" cm="1">
        <f t="array" ref="P256">_xlfn.REGEXEXTRACT(B256,"(?&lt;=//)[^/]+")</f>
        <v>bdsmstreak.com</v>
      </c>
      <c r="Q256" s="29" t="s">
        <v>695</v>
      </c>
      <c r="R256" s="29" t="s">
        <v>1769</v>
      </c>
      <c r="S256" s="29" t="str" cm="1">
        <f t="array" ref="S256">IF(R256&lt;&gt;"NotApplicable",_xlfn.REGEXEXTRACT(R256,"\d+(?=p)"),"NotApplicable")</f>
        <v>NotApplicable</v>
      </c>
      <c r="T256" s="29" t="s">
        <v>1769</v>
      </c>
      <c r="U256" s="29" t="b">
        <f>ISNUMBER(SEARCH(",",E256))</f>
        <v>1</v>
      </c>
    </row>
    <row r="257" spans="1:21" ht="30" x14ac:dyDescent="0.25">
      <c r="A257" s="29" t="str">
        <f>IF(ISBLANK(M257)=TRUE,"Pending","Done")</f>
        <v>Pending</v>
      </c>
      <c r="B257" s="29" t="s">
        <v>1794</v>
      </c>
      <c r="C257" s="29">
        <v>61</v>
      </c>
      <c r="D257" s="29" t="s">
        <v>868</v>
      </c>
      <c r="E257" s="29" t="s">
        <v>1795</v>
      </c>
      <c r="F257" s="29" t="s">
        <v>71</v>
      </c>
      <c r="G257" s="29"/>
      <c r="H257" s="29"/>
      <c r="I257" s="29">
        <v>4</v>
      </c>
      <c r="J257" s="29" t="s">
        <v>1796</v>
      </c>
      <c r="K257" s="29"/>
      <c r="L257" s="29"/>
      <c r="M257" s="29"/>
      <c r="N257" s="29"/>
      <c r="O257" s="29"/>
      <c r="P257" s="29" t="str" cm="1">
        <f t="array" ref="P257">_xlfn.REGEXEXTRACT(B257,"(?&lt;=//)[^/]+")</f>
        <v>bdsmstreak.com</v>
      </c>
      <c r="Q257" s="29" t="s">
        <v>695</v>
      </c>
      <c r="R257" s="29" t="s">
        <v>1769</v>
      </c>
      <c r="S257" s="29" t="str" cm="1">
        <f t="array" ref="S257">IF(R257&lt;&gt;"NotApplicable",_xlfn.REGEXEXTRACT(R257,"\d+(?=p)"),"NotApplicable")</f>
        <v>NotApplicable</v>
      </c>
      <c r="T257" s="29" t="s">
        <v>1769</v>
      </c>
      <c r="U257" s="29" t="b">
        <f>ISNUMBER(SEARCH(",",E257))</f>
        <v>1</v>
      </c>
    </row>
    <row r="258" spans="1:21" ht="30" x14ac:dyDescent="0.25">
      <c r="A258" s="29" t="str">
        <f>IF(ISBLANK(M258)=TRUE,"Pending","Done")</f>
        <v>Pending</v>
      </c>
      <c r="B258" s="29" t="s">
        <v>2007</v>
      </c>
      <c r="C258" s="29">
        <v>61</v>
      </c>
      <c r="D258" s="29" t="s">
        <v>863</v>
      </c>
      <c r="E258" s="29" t="s">
        <v>2008</v>
      </c>
      <c r="F258" s="29" t="s">
        <v>71</v>
      </c>
      <c r="G258" s="29"/>
      <c r="H258" s="29"/>
      <c r="I258" s="29">
        <v>1</v>
      </c>
      <c r="J258" s="29" t="s">
        <v>1628</v>
      </c>
      <c r="K258" s="29"/>
      <c r="L258" s="29"/>
      <c r="M258" s="29"/>
      <c r="N258" s="29"/>
      <c r="O258" s="29"/>
      <c r="P258" s="29" t="str" cm="1">
        <f t="array" ref="P258">_xlfn.REGEXEXTRACT(B258,"(?&lt;=//)[^/]+")</f>
        <v>hcbdsm.com</v>
      </c>
      <c r="Q258" s="29" t="s">
        <v>695</v>
      </c>
      <c r="R258" s="29" t="s">
        <v>1769</v>
      </c>
      <c r="S258" s="29" t="str" cm="1">
        <f t="array" ref="S258">IF(R258&lt;&gt;"NotApplicable",_xlfn.REGEXEXTRACT(R258,"\d+(?=p)"),"NotApplicable")</f>
        <v>NotApplicable</v>
      </c>
      <c r="T258" s="29" t="s">
        <v>1769</v>
      </c>
      <c r="U258" s="29" t="b">
        <f>ISNUMBER(SEARCH(",",E258))</f>
        <v>1</v>
      </c>
    </row>
    <row r="259" spans="1:21" ht="30" x14ac:dyDescent="0.25">
      <c r="A259" s="29" t="str">
        <f>IF(ISBLANK(M259)=TRUE,"Pending","Done")</f>
        <v>Pending</v>
      </c>
      <c r="B259" s="29" t="s">
        <v>2140</v>
      </c>
      <c r="C259" s="29">
        <v>61</v>
      </c>
      <c r="D259" s="29" t="s">
        <v>864</v>
      </c>
      <c r="E259" s="29" t="s">
        <v>2141</v>
      </c>
      <c r="F259" s="29" t="s">
        <v>71</v>
      </c>
      <c r="G259" s="29"/>
      <c r="H259" s="29"/>
      <c r="I259" s="29">
        <v>0</v>
      </c>
      <c r="J259" s="29" t="s">
        <v>1709</v>
      </c>
      <c r="K259" s="29"/>
      <c r="L259" s="29"/>
      <c r="M259" s="29"/>
      <c r="N259" s="29"/>
      <c r="O259" s="29"/>
      <c r="P259" s="29" t="str" cm="1">
        <f t="array" ref="P259">_xlfn.REGEXEXTRACT(B259,"(?&lt;=//)[^/]+")</f>
        <v>bdsmstreak.com</v>
      </c>
      <c r="Q259" s="29" t="s">
        <v>695</v>
      </c>
      <c r="R259" s="29" t="s">
        <v>1769</v>
      </c>
      <c r="S259" s="29" t="str" cm="1">
        <f t="array" ref="S259">IF(R259&lt;&gt;"NotApplicable",_xlfn.REGEXEXTRACT(R259,"\d+(?=p)"),"NotApplicable")</f>
        <v>NotApplicable</v>
      </c>
      <c r="T259" s="29" t="s">
        <v>1769</v>
      </c>
      <c r="U259" s="29" t="b">
        <f>ISNUMBER(SEARCH(",",E259))</f>
        <v>1</v>
      </c>
    </row>
    <row r="260" spans="1:21" ht="45" x14ac:dyDescent="0.25">
      <c r="A260" s="29" t="str">
        <f>IF(ISBLANK(M260)=TRUE,"Pending","Done")</f>
        <v>Pending</v>
      </c>
      <c r="B260" s="29" t="s">
        <v>1481</v>
      </c>
      <c r="C260" s="29">
        <v>62</v>
      </c>
      <c r="D260" s="29" t="s">
        <v>863</v>
      </c>
      <c r="E260" s="29" t="s">
        <v>1480</v>
      </c>
      <c r="F260" s="29" t="s">
        <v>71</v>
      </c>
      <c r="G260" s="29"/>
      <c r="H260" s="29"/>
      <c r="I260" s="29" t="s">
        <v>1769</v>
      </c>
      <c r="J260" s="29" t="s">
        <v>1769</v>
      </c>
      <c r="K260" s="29" t="s">
        <v>1709</v>
      </c>
      <c r="L260" s="29"/>
      <c r="M260" s="29"/>
      <c r="N260" s="29"/>
      <c r="O260" s="29"/>
      <c r="P260" s="29" t="str" cm="1">
        <f t="array" ref="P260">_xlfn.REGEXEXTRACT(B260,"(?&lt;=//)[^/]+")</f>
        <v>bdsmstreak.com</v>
      </c>
      <c r="Q260" s="29" t="s">
        <v>695</v>
      </c>
      <c r="R260" s="29" t="s">
        <v>1769</v>
      </c>
      <c r="S260" s="29" t="str" cm="1">
        <f t="array" ref="S260">IF(R260&lt;&gt;"NotApplicable",_xlfn.REGEXEXTRACT(R260,"\d+(?=p)"),"NotApplicable")</f>
        <v>NotApplicable</v>
      </c>
      <c r="T260" s="29" t="s">
        <v>1769</v>
      </c>
      <c r="U260" s="29" t="b">
        <f>ISNUMBER(SEARCH(",",E260))</f>
        <v>1</v>
      </c>
    </row>
    <row r="261" spans="1:21" ht="45" x14ac:dyDescent="0.25">
      <c r="A261" s="29" t="str">
        <f>IF(ISBLANK(M261)=TRUE,"Pending","Done")</f>
        <v>Pending</v>
      </c>
      <c r="B261" s="29" t="s">
        <v>1982</v>
      </c>
      <c r="C261" s="29">
        <v>62</v>
      </c>
      <c r="D261" s="29" t="s">
        <v>1465</v>
      </c>
      <c r="E261" s="29" t="s">
        <v>1983</v>
      </c>
      <c r="F261" s="29" t="s">
        <v>71</v>
      </c>
      <c r="G261" s="29"/>
      <c r="H261" s="29"/>
      <c r="I261" s="29">
        <v>8</v>
      </c>
      <c r="J261" s="29" t="s">
        <v>1984</v>
      </c>
      <c r="K261" s="29"/>
      <c r="L261" s="29"/>
      <c r="M261" s="29"/>
      <c r="N261" s="29"/>
      <c r="O261" s="29"/>
      <c r="P261" s="29" t="str" cm="1">
        <f t="array" ref="P261">_xlfn.REGEXEXTRACT(B261,"(?&lt;=//)[^/]+")</f>
        <v>bdsmstreak.com</v>
      </c>
      <c r="Q261" s="29" t="s">
        <v>695</v>
      </c>
      <c r="R261" s="29" t="s">
        <v>1769</v>
      </c>
      <c r="S261" s="29" t="str" cm="1">
        <f t="array" ref="S261">IF(R261&lt;&gt;"NotApplicable",_xlfn.REGEXEXTRACT(R261,"\d+(?=p)"),"NotApplicable")</f>
        <v>NotApplicable</v>
      </c>
      <c r="T261" s="29" t="s">
        <v>1769</v>
      </c>
      <c r="U261" s="29" t="b">
        <f>ISNUMBER(SEARCH(",",E261))</f>
        <v>1</v>
      </c>
    </row>
    <row r="262" spans="1:21" ht="30" x14ac:dyDescent="0.25">
      <c r="A262" s="29" t="str">
        <f>IF(ISBLANK(M262)=TRUE,"Pending","Done")</f>
        <v>Pending</v>
      </c>
      <c r="B262" s="29" t="s">
        <v>1579</v>
      </c>
      <c r="C262" s="29">
        <v>63</v>
      </c>
      <c r="D262" s="29" t="s">
        <v>862</v>
      </c>
      <c r="E262" s="29" t="s">
        <v>1605</v>
      </c>
      <c r="F262" s="29" t="s">
        <v>71</v>
      </c>
      <c r="G262" s="29"/>
      <c r="H262" s="29"/>
      <c r="I262" s="29" t="s">
        <v>1769</v>
      </c>
      <c r="J262" s="29" t="s">
        <v>1769</v>
      </c>
      <c r="K262" s="29" t="s">
        <v>1709</v>
      </c>
      <c r="L262" s="29"/>
      <c r="M262" s="29"/>
      <c r="N262" s="29"/>
      <c r="O262" s="29" t="s">
        <v>1478</v>
      </c>
      <c r="P262" s="29" t="str" cm="1">
        <f t="array" ref="P262">_xlfn.REGEXEXTRACT(B262,"(?&lt;=//)[^/]+")</f>
        <v>heavyfetish.com</v>
      </c>
      <c r="Q262" s="29" t="s">
        <v>695</v>
      </c>
      <c r="R262" s="29" t="s">
        <v>1769</v>
      </c>
      <c r="S262" s="29" t="str" cm="1">
        <f t="array" ref="S262">IF(R262&lt;&gt;"NotApplicable",_xlfn.REGEXEXTRACT(R262,"\d+(?=p)"),"NotApplicable")</f>
        <v>NotApplicable</v>
      </c>
      <c r="T262" s="29" t="s">
        <v>1769</v>
      </c>
      <c r="U262" s="29" t="b">
        <f>ISNUMBER(SEARCH(",",E262))</f>
        <v>1</v>
      </c>
    </row>
    <row r="263" spans="1:21" ht="45" x14ac:dyDescent="0.25">
      <c r="A263" s="29" t="str">
        <f>IF(ISBLANK(M263)=TRUE,"Pending","Done")</f>
        <v>Pending</v>
      </c>
      <c r="B263" s="29" t="s">
        <v>1488</v>
      </c>
      <c r="C263" s="29">
        <v>63</v>
      </c>
      <c r="D263" s="29" t="s">
        <v>862</v>
      </c>
      <c r="E263" s="29" t="s">
        <v>1629</v>
      </c>
      <c r="F263" s="29" t="s">
        <v>71</v>
      </c>
      <c r="G263" s="29"/>
      <c r="H263" s="29"/>
      <c r="I263" s="29" t="s">
        <v>1769</v>
      </c>
      <c r="J263" s="29" t="s">
        <v>1769</v>
      </c>
      <c r="K263" s="29" t="s">
        <v>1720</v>
      </c>
      <c r="L263" s="29"/>
      <c r="M263" s="29"/>
      <c r="N263" s="29"/>
      <c r="O263" s="29"/>
      <c r="P263" s="29" t="str" cm="1">
        <f t="array" ref="P263">_xlfn.REGEXEXTRACT(B263,"(?&lt;=//)[^/]+")</f>
        <v>bdsmstreak.com</v>
      </c>
      <c r="Q263" s="29" t="s">
        <v>695</v>
      </c>
      <c r="R263" s="29" t="s">
        <v>1769</v>
      </c>
      <c r="S263" s="29" t="str" cm="1">
        <f t="array" ref="S263">IF(R263&lt;&gt;"NotApplicable",_xlfn.REGEXEXTRACT(R263,"\d+(?=p)"),"NotApplicable")</f>
        <v>NotApplicable</v>
      </c>
      <c r="T263" s="29" t="s">
        <v>1769</v>
      </c>
      <c r="U263" s="29" t="b">
        <f>ISNUMBER(SEARCH(",",E263))</f>
        <v>1</v>
      </c>
    </row>
    <row r="264" spans="1:21" ht="45" x14ac:dyDescent="0.25">
      <c r="A264" s="29" t="str">
        <f>IF(ISBLANK(M264)=TRUE,"Pending","Done")</f>
        <v>Pending</v>
      </c>
      <c r="B264" s="29" t="s">
        <v>1860</v>
      </c>
      <c r="C264" s="29">
        <v>63</v>
      </c>
      <c r="D264" s="29" t="s">
        <v>862</v>
      </c>
      <c r="E264" s="29" t="s">
        <v>1861</v>
      </c>
      <c r="F264" s="29" t="s">
        <v>71</v>
      </c>
      <c r="G264" s="29"/>
      <c r="H264" s="29"/>
      <c r="I264" s="29">
        <v>4</v>
      </c>
      <c r="J264" s="29" t="s">
        <v>1862</v>
      </c>
      <c r="K264" s="29"/>
      <c r="L264" s="29"/>
      <c r="M264" s="29"/>
      <c r="N264" s="29"/>
      <c r="O264" s="29"/>
      <c r="P264" s="29" t="str" cm="1">
        <f t="array" ref="P264">_xlfn.REGEXEXTRACT(B264,"(?&lt;=//)[^/]+")</f>
        <v>bdsmstreak.com</v>
      </c>
      <c r="Q264" s="29" t="s">
        <v>695</v>
      </c>
      <c r="R264" s="29" t="s">
        <v>1769</v>
      </c>
      <c r="S264" s="29" t="str" cm="1">
        <f t="array" ref="S264">IF(R264&lt;&gt;"NotApplicable",_xlfn.REGEXEXTRACT(R264,"\d+(?=p)"),"NotApplicable")</f>
        <v>NotApplicable</v>
      </c>
      <c r="T264" s="29" t="s">
        <v>1769</v>
      </c>
      <c r="U264" s="29" t="b">
        <f>ISNUMBER(SEARCH(",",E264))</f>
        <v>1</v>
      </c>
    </row>
    <row r="265" spans="1:21" ht="30" x14ac:dyDescent="0.25">
      <c r="A265" s="29" t="str">
        <f>IF(ISBLANK(M265)=TRUE,"Pending","Done")</f>
        <v>Pending</v>
      </c>
      <c r="B265" s="29" t="s">
        <v>2133</v>
      </c>
      <c r="C265" s="29">
        <v>63</v>
      </c>
      <c r="D265" s="29" t="s">
        <v>863</v>
      </c>
      <c r="E265" s="29" t="s">
        <v>2134</v>
      </c>
      <c r="F265" s="29" t="s">
        <v>71</v>
      </c>
      <c r="G265" s="29"/>
      <c r="H265" s="29"/>
      <c r="I265" s="29">
        <v>0</v>
      </c>
      <c r="J265" s="29" t="s">
        <v>1709</v>
      </c>
      <c r="K265" s="29"/>
      <c r="L265" s="29"/>
      <c r="M265" s="29"/>
      <c r="N265" s="29"/>
      <c r="O265" s="29"/>
      <c r="P265" s="29" t="str" cm="1">
        <f t="array" ref="P265">_xlfn.REGEXEXTRACT(B265,"(?&lt;=//)[^/]+")</f>
        <v>bdsmstreak.com</v>
      </c>
      <c r="Q265" s="29" t="s">
        <v>695</v>
      </c>
      <c r="R265" s="29" t="s">
        <v>1769</v>
      </c>
      <c r="S265" s="29" t="str" cm="1">
        <f t="array" ref="S265">IF(R265&lt;&gt;"NotApplicable",_xlfn.REGEXEXTRACT(R265,"\d+(?=p)"),"NotApplicable")</f>
        <v>NotApplicable</v>
      </c>
      <c r="T265" s="29" t="s">
        <v>1769</v>
      </c>
      <c r="U265" s="29" t="b">
        <f>ISNUMBER(SEARCH(",",E265))</f>
        <v>1</v>
      </c>
    </row>
    <row r="266" spans="1:21" ht="45" x14ac:dyDescent="0.25">
      <c r="A266" s="29" t="str">
        <f>IF(ISBLANK(M266)=TRUE,"Pending","Done")</f>
        <v>Pending</v>
      </c>
      <c r="B266" s="29" t="s">
        <v>1456</v>
      </c>
      <c r="C266" s="29">
        <v>65</v>
      </c>
      <c r="D266" s="29" t="s">
        <v>862</v>
      </c>
      <c r="E266" s="29" t="s">
        <v>1455</v>
      </c>
      <c r="F266" s="29" t="s">
        <v>71</v>
      </c>
      <c r="G266" s="29"/>
      <c r="H266" s="29"/>
      <c r="I266" s="29" t="s">
        <v>1769</v>
      </c>
      <c r="J266" s="29" t="s">
        <v>1769</v>
      </c>
      <c r="K266" s="29" t="s">
        <v>1709</v>
      </c>
      <c r="L266" s="29"/>
      <c r="M266" s="29"/>
      <c r="N266" s="29"/>
      <c r="O266" s="29"/>
      <c r="P266" s="29" t="str" cm="1">
        <f t="array" ref="P266">_xlfn.REGEXEXTRACT(B266,"(?&lt;=//)[^/]+")</f>
        <v>bdsmmansion.com</v>
      </c>
      <c r="Q266" s="29" t="s">
        <v>695</v>
      </c>
      <c r="R266" s="29" t="s">
        <v>1769</v>
      </c>
      <c r="S266" s="29" t="str" cm="1">
        <f t="array" ref="S266">IF(R266&lt;&gt;"NotApplicable",_xlfn.REGEXEXTRACT(R266,"\d+(?=p)"),"NotApplicable")</f>
        <v>NotApplicable</v>
      </c>
      <c r="T266" s="29" t="s">
        <v>1769</v>
      </c>
      <c r="U266" s="29" t="b">
        <f>ISNUMBER(SEARCH(",",E266))</f>
        <v>1</v>
      </c>
    </row>
    <row r="267" spans="1:21" ht="30" x14ac:dyDescent="0.25">
      <c r="A267" s="29" t="str">
        <f>IF(ISBLANK(M267)=TRUE,"Pending","Done")</f>
        <v>Pending</v>
      </c>
      <c r="B267" s="29" t="s">
        <v>1944</v>
      </c>
      <c r="C267" s="29">
        <v>66</v>
      </c>
      <c r="D267" s="29" t="s">
        <v>862</v>
      </c>
      <c r="E267" s="29" t="s">
        <v>1945</v>
      </c>
      <c r="F267" s="29" t="s">
        <v>71</v>
      </c>
      <c r="G267" s="29"/>
      <c r="H267" s="29"/>
      <c r="I267" s="29">
        <v>0</v>
      </c>
      <c r="J267" s="29" t="s">
        <v>1156</v>
      </c>
      <c r="K267" s="29"/>
      <c r="L267" s="29"/>
      <c r="M267" s="29"/>
      <c r="N267" s="29"/>
      <c r="O267" s="29"/>
      <c r="P267" s="29" t="str" cm="1">
        <f t="array" ref="P267">_xlfn.REGEXEXTRACT(B267,"(?&lt;=//)[^/]+")</f>
        <v>bdsmmansion.com</v>
      </c>
      <c r="Q267" s="29" t="s">
        <v>695</v>
      </c>
      <c r="R267" s="29" t="s">
        <v>1769</v>
      </c>
      <c r="S267" s="29" t="str" cm="1">
        <f t="array" ref="S267">IF(R267&lt;&gt;"NotApplicable",_xlfn.REGEXEXTRACT(R267,"\d+(?=p)"),"NotApplicable")</f>
        <v>NotApplicable</v>
      </c>
      <c r="T267" s="29" t="s">
        <v>1769</v>
      </c>
      <c r="U267" s="29" t="b">
        <f>ISNUMBER(SEARCH(",",E267))</f>
        <v>1</v>
      </c>
    </row>
    <row r="268" spans="1:21" x14ac:dyDescent="0.25">
      <c r="A268" s="29" t="str">
        <f>IF(ISBLANK(M268)=TRUE,"Pending","Done")</f>
        <v>Pending</v>
      </c>
      <c r="B268" s="29" t="s">
        <v>2094</v>
      </c>
      <c r="C268" s="29">
        <v>67</v>
      </c>
      <c r="D268" s="29" t="s">
        <v>1465</v>
      </c>
      <c r="E268" s="29" t="s">
        <v>2095</v>
      </c>
      <c r="F268" s="29" t="s">
        <v>71</v>
      </c>
      <c r="G268" s="29"/>
      <c r="H268" s="29"/>
      <c r="I268" s="29">
        <v>0</v>
      </c>
      <c r="J268" s="29" t="s">
        <v>1156</v>
      </c>
      <c r="K268" s="29"/>
      <c r="L268" s="29"/>
      <c r="M268" s="29"/>
      <c r="N268" s="29"/>
      <c r="O268" s="29"/>
      <c r="P268" s="29" t="str" cm="1">
        <f t="array" ref="P268">_xlfn.REGEXEXTRACT(B268,"(?&lt;=//)[^/]+")</f>
        <v>bdsmstreak.com</v>
      </c>
      <c r="Q268" s="29" t="s">
        <v>695</v>
      </c>
      <c r="R268" s="29" t="s">
        <v>1769</v>
      </c>
      <c r="S268" s="29" t="str" cm="1">
        <f t="array" ref="S268">IF(R268&lt;&gt;"NotApplicable",_xlfn.REGEXEXTRACT(R268,"\d+(?=p)"),"NotApplicable")</f>
        <v>NotApplicable</v>
      </c>
      <c r="T268" s="29" t="s">
        <v>1769</v>
      </c>
      <c r="U268" s="29" t="b">
        <f>ISNUMBER(SEARCH(",",E268))</f>
        <v>1</v>
      </c>
    </row>
    <row r="269" spans="1:21" ht="45" x14ac:dyDescent="0.25">
      <c r="A269" s="29" t="str">
        <f>IF(ISBLANK(M269)=TRUE,"Pending","Done")</f>
        <v>Pending</v>
      </c>
      <c r="B269" s="29" t="s">
        <v>1843</v>
      </c>
      <c r="C269" s="29">
        <v>70</v>
      </c>
      <c r="D269" s="29" t="s">
        <v>1781</v>
      </c>
      <c r="E269" s="29" t="s">
        <v>1844</v>
      </c>
      <c r="F269" s="29" t="s">
        <v>71</v>
      </c>
      <c r="G269" s="29"/>
      <c r="H269" s="29"/>
      <c r="I269" s="29">
        <v>0</v>
      </c>
      <c r="J269" s="29" t="s">
        <v>1156</v>
      </c>
      <c r="K269" s="29"/>
      <c r="L269" s="29"/>
      <c r="M269" s="29"/>
      <c r="N269" s="29"/>
      <c r="O269" s="29"/>
      <c r="P269" s="29" t="str" cm="1">
        <f t="array" ref="P269">_xlfn.REGEXEXTRACT(B269,"(?&lt;=//)[^/]+")</f>
        <v>bdsmstreak.com</v>
      </c>
      <c r="Q269" s="29" t="s">
        <v>695</v>
      </c>
      <c r="R269" s="29" t="s">
        <v>1769</v>
      </c>
      <c r="S269" s="29" t="str" cm="1">
        <f t="array" ref="S269">IF(R269&lt;&gt;"NotApplicable",_xlfn.REGEXEXTRACT(R269,"\d+(?=p)"),"NotApplicable")</f>
        <v>NotApplicable</v>
      </c>
      <c r="T269" s="29" t="s">
        <v>1769</v>
      </c>
      <c r="U269" s="29" t="b">
        <f>ISNUMBER(SEARCH(",",E269))</f>
        <v>1</v>
      </c>
    </row>
    <row r="270" spans="1:21" ht="30" x14ac:dyDescent="0.25">
      <c r="A270" s="29" t="str">
        <f>IF(ISBLANK(M270)=TRUE,"Pending","Done")</f>
        <v>Pending</v>
      </c>
      <c r="B270" s="29" t="s">
        <v>1646</v>
      </c>
      <c r="C270" s="29">
        <v>71</v>
      </c>
      <c r="D270" s="29" t="s">
        <v>862</v>
      </c>
      <c r="E270" s="29" t="s">
        <v>1661</v>
      </c>
      <c r="F270" s="29" t="s">
        <v>71</v>
      </c>
      <c r="G270" s="29"/>
      <c r="H270" s="29"/>
      <c r="I270" s="29" t="s">
        <v>1769</v>
      </c>
      <c r="J270" s="29" t="s">
        <v>1769</v>
      </c>
      <c r="K270" s="29" t="s">
        <v>1720</v>
      </c>
      <c r="L270" s="29"/>
      <c r="M270" s="29"/>
      <c r="N270" s="29"/>
      <c r="O270" s="29"/>
      <c r="P270" s="29" t="str" cm="1">
        <f t="array" ref="P270">_xlfn.REGEXEXTRACT(B270,"(?&lt;=//)[^/]+")</f>
        <v>hcbdsm.com</v>
      </c>
      <c r="Q270" s="29" t="s">
        <v>695</v>
      </c>
      <c r="R270" s="29" t="s">
        <v>1769</v>
      </c>
      <c r="S270" s="29" t="str" cm="1">
        <f t="array" ref="S270">IF(R270&lt;&gt;"NotApplicable",_xlfn.REGEXEXTRACT(R270,"\d+(?=p)"),"NotApplicable")</f>
        <v>NotApplicable</v>
      </c>
      <c r="T270" s="29" t="s">
        <v>1769</v>
      </c>
      <c r="U270" s="29" t="b">
        <f>ISNUMBER(SEARCH(",",E270))</f>
        <v>1</v>
      </c>
    </row>
    <row r="271" spans="1:21" ht="30" x14ac:dyDescent="0.25">
      <c r="A271" s="29" t="str">
        <f>IF(ISBLANK(M271)=TRUE,"Pending","Done")</f>
        <v>Pending</v>
      </c>
      <c r="B271" s="29" t="s">
        <v>2086</v>
      </c>
      <c r="C271" s="29">
        <v>71</v>
      </c>
      <c r="D271" s="29" t="s">
        <v>1465</v>
      </c>
      <c r="E271" s="29" t="s">
        <v>2087</v>
      </c>
      <c r="F271" s="29" t="s">
        <v>71</v>
      </c>
      <c r="G271" s="29"/>
      <c r="H271" s="29"/>
      <c r="I271" s="29">
        <v>3</v>
      </c>
      <c r="J271" s="29" t="s">
        <v>2088</v>
      </c>
      <c r="K271" s="29"/>
      <c r="L271" s="29"/>
      <c r="M271" s="29"/>
      <c r="N271" s="29"/>
      <c r="O271" s="29"/>
      <c r="P271" s="29" t="str" cm="1">
        <f t="array" ref="P271">_xlfn.REGEXEXTRACT(B271,"(?&lt;=//)[^/]+")</f>
        <v>hcbdsm.com</v>
      </c>
      <c r="Q271" s="29" t="s">
        <v>695</v>
      </c>
      <c r="R271" s="29" t="s">
        <v>1769</v>
      </c>
      <c r="S271" s="29" t="str" cm="1">
        <f t="array" ref="S271">IF(R271&lt;&gt;"NotApplicable",_xlfn.REGEXEXTRACT(R271,"\d+(?=p)"),"NotApplicable")</f>
        <v>NotApplicable</v>
      </c>
      <c r="T271" s="29" t="s">
        <v>1769</v>
      </c>
      <c r="U271" s="29" t="b">
        <f>ISNUMBER(SEARCH(",",E271))</f>
        <v>1</v>
      </c>
    </row>
    <row r="272" spans="1:21" ht="30" x14ac:dyDescent="0.25">
      <c r="A272" s="29" t="str">
        <f>IF(ISBLANK(M272)=TRUE,"Pending","Done")</f>
        <v>Pending</v>
      </c>
      <c r="B272" s="29" t="s">
        <v>1789</v>
      </c>
      <c r="C272" s="29">
        <v>71</v>
      </c>
      <c r="D272" s="29" t="s">
        <v>862</v>
      </c>
      <c r="E272" s="29" t="s">
        <v>1790</v>
      </c>
      <c r="F272" s="29" t="s">
        <v>71</v>
      </c>
      <c r="G272" s="29"/>
      <c r="H272" s="29"/>
      <c r="I272" s="29">
        <v>0</v>
      </c>
      <c r="J272" s="29" t="s">
        <v>1156</v>
      </c>
      <c r="K272" s="29"/>
      <c r="L272" s="29"/>
      <c r="M272" s="29"/>
      <c r="N272" s="29"/>
      <c r="O272" s="29"/>
      <c r="P272" s="29" t="str" cm="1">
        <f t="array" ref="P272">_xlfn.REGEXEXTRACT(B272,"(?&lt;=//)[^/]+")</f>
        <v>bdsmstreak.com</v>
      </c>
      <c r="Q272" s="29" t="s">
        <v>695</v>
      </c>
      <c r="R272" s="29" t="s">
        <v>1769</v>
      </c>
      <c r="S272" s="29" t="str" cm="1">
        <f t="array" ref="S272">IF(R272&lt;&gt;"NotApplicable",_xlfn.REGEXEXTRACT(R272,"\d+(?=p)"),"NotApplicable")</f>
        <v>NotApplicable</v>
      </c>
      <c r="T272" s="29" t="s">
        <v>1769</v>
      </c>
      <c r="U272" s="29" t="b">
        <f>ISNUMBER(SEARCH(",",E272))</f>
        <v>1</v>
      </c>
    </row>
    <row r="273" spans="1:21" ht="30" x14ac:dyDescent="0.25">
      <c r="A273" s="29" t="str">
        <f>IF(ISBLANK(M273)=TRUE,"Pending","Done")</f>
        <v>Pending</v>
      </c>
      <c r="B273" s="29" t="s">
        <v>1791</v>
      </c>
      <c r="C273" s="29">
        <v>72</v>
      </c>
      <c r="D273" s="29" t="s">
        <v>1792</v>
      </c>
      <c r="E273" s="29" t="s">
        <v>1793</v>
      </c>
      <c r="F273" s="29" t="s">
        <v>71</v>
      </c>
      <c r="G273" s="29"/>
      <c r="H273" s="29"/>
      <c r="I273" s="29">
        <v>0</v>
      </c>
      <c r="J273" s="29" t="s">
        <v>1156</v>
      </c>
      <c r="K273" s="29"/>
      <c r="L273" s="29"/>
      <c r="M273" s="29"/>
      <c r="N273" s="29"/>
      <c r="O273" s="29"/>
      <c r="P273" s="29" t="str" cm="1">
        <f t="array" ref="P273">_xlfn.REGEXEXTRACT(B273,"(?&lt;=//)[^/]+")</f>
        <v>bdsmstreak.com</v>
      </c>
      <c r="Q273" s="29" t="s">
        <v>695</v>
      </c>
      <c r="R273" s="29" t="s">
        <v>1769</v>
      </c>
      <c r="S273" s="29" t="str" cm="1">
        <f t="array" ref="S273">IF(R273&lt;&gt;"NotApplicable",_xlfn.REGEXEXTRACT(R273,"\d+(?=p)"),"NotApplicable")</f>
        <v>NotApplicable</v>
      </c>
      <c r="T273" s="29" t="s">
        <v>1769</v>
      </c>
      <c r="U273" s="29" t="b">
        <f>ISNUMBER(SEARCH(",",E273))</f>
        <v>1</v>
      </c>
    </row>
    <row r="274" spans="1:21" ht="45" x14ac:dyDescent="0.25">
      <c r="A274" s="29" t="str">
        <f>IF(ISBLANK(M274)=TRUE,"Pending","Done")</f>
        <v>Pending</v>
      </c>
      <c r="B274" s="29" t="s">
        <v>1494</v>
      </c>
      <c r="C274" s="29">
        <v>74</v>
      </c>
      <c r="D274" s="29" t="s">
        <v>862</v>
      </c>
      <c r="E274" s="29" t="s">
        <v>1491</v>
      </c>
      <c r="F274" s="29" t="s">
        <v>71</v>
      </c>
      <c r="G274" s="29"/>
      <c r="H274" s="29"/>
      <c r="I274" s="29" t="s">
        <v>1769</v>
      </c>
      <c r="J274" s="29" t="s">
        <v>1769</v>
      </c>
      <c r="K274" s="29" t="s">
        <v>1709</v>
      </c>
      <c r="L274" s="29"/>
      <c r="M274" s="29"/>
      <c r="N274" s="29"/>
      <c r="O274" s="29" t="s">
        <v>747</v>
      </c>
      <c r="P274" s="29" t="str" cm="1">
        <f t="array" ref="P274">_xlfn.REGEXEXTRACT(B274,"(?&lt;=//)[^/]+")</f>
        <v>bdsmmansion.com</v>
      </c>
      <c r="Q274" s="29" t="s">
        <v>695</v>
      </c>
      <c r="R274" s="29" t="s">
        <v>1769</v>
      </c>
      <c r="S274" s="29" t="str" cm="1">
        <f t="array" ref="S274">IF(R274&lt;&gt;"NotApplicable",_xlfn.REGEXEXTRACT(R274,"\d+(?=p)"),"NotApplicable")</f>
        <v>NotApplicable</v>
      </c>
      <c r="T274" s="29" t="s">
        <v>1769</v>
      </c>
      <c r="U274" s="29" t="b">
        <f>ISNUMBER(SEARCH(",",E274))</f>
        <v>1</v>
      </c>
    </row>
    <row r="275" spans="1:21" ht="45" x14ac:dyDescent="0.25">
      <c r="A275" s="29" t="str">
        <f>IF(ISBLANK(M275)=TRUE,"Pending","Done")</f>
        <v>Pending</v>
      </c>
      <c r="B275" s="29" t="s">
        <v>1961</v>
      </c>
      <c r="C275" s="29">
        <v>74</v>
      </c>
      <c r="D275" s="29" t="s">
        <v>868</v>
      </c>
      <c r="E275" s="29" t="s">
        <v>1962</v>
      </c>
      <c r="F275" s="29" t="s">
        <v>71</v>
      </c>
      <c r="G275" s="29"/>
      <c r="H275" s="29"/>
      <c r="I275" s="29">
        <v>8</v>
      </c>
      <c r="J275" s="29" t="s">
        <v>1963</v>
      </c>
      <c r="K275" s="29" t="s">
        <v>2157</v>
      </c>
      <c r="L275" s="29"/>
      <c r="M275" s="29"/>
      <c r="N275" s="29"/>
      <c r="O275" s="29"/>
      <c r="P275" s="29" t="str" cm="1">
        <f t="array" ref="P275">_xlfn.REGEXEXTRACT(B275,"(?&lt;=//)[^/]+")</f>
        <v>hcbdsm.com</v>
      </c>
      <c r="Q275" s="29" t="s">
        <v>695</v>
      </c>
      <c r="R275" s="29" t="s">
        <v>1769</v>
      </c>
      <c r="S275" s="29" t="str" cm="1">
        <f t="array" ref="S275">IF(R275&lt;&gt;"NotApplicable",_xlfn.REGEXEXTRACT(R275,"\d+(?=p)"),"NotApplicable")</f>
        <v>NotApplicable</v>
      </c>
      <c r="T275" s="29" t="s">
        <v>1769</v>
      </c>
      <c r="U275" s="29" t="b">
        <f>ISNUMBER(SEARCH(",",E275))</f>
        <v>1</v>
      </c>
    </row>
    <row r="276" spans="1:21" ht="45" x14ac:dyDescent="0.25">
      <c r="A276" s="29" t="str">
        <f>IF(ISBLANK(M276)=TRUE,"Pending","Done")</f>
        <v>Pending</v>
      </c>
      <c r="B276" s="29" t="s">
        <v>1823</v>
      </c>
      <c r="C276" s="29">
        <v>74</v>
      </c>
      <c r="D276" s="29" t="s">
        <v>862</v>
      </c>
      <c r="E276" s="29" t="s">
        <v>1824</v>
      </c>
      <c r="F276" s="29" t="s">
        <v>71</v>
      </c>
      <c r="G276" s="29"/>
      <c r="H276" s="29"/>
      <c r="I276" s="29">
        <v>6</v>
      </c>
      <c r="J276" s="29" t="s">
        <v>1825</v>
      </c>
      <c r="K276" s="29"/>
      <c r="L276" s="29"/>
      <c r="M276" s="29"/>
      <c r="N276" s="29"/>
      <c r="O276" s="29"/>
      <c r="P276" s="29" t="str" cm="1">
        <f t="array" ref="P276">_xlfn.REGEXEXTRACT(B276,"(?&lt;=//)[^/]+")</f>
        <v>hcbdsm.com</v>
      </c>
      <c r="Q276" s="29" t="s">
        <v>695</v>
      </c>
      <c r="R276" s="29" t="s">
        <v>1769</v>
      </c>
      <c r="S276" s="29" t="str" cm="1">
        <f t="array" ref="S276">IF(R276&lt;&gt;"NotApplicable",_xlfn.REGEXEXTRACT(R276,"\d+(?=p)"),"NotApplicable")</f>
        <v>NotApplicable</v>
      </c>
      <c r="T276" s="29" t="s">
        <v>1769</v>
      </c>
      <c r="U276" s="29" t="b">
        <f>ISNUMBER(SEARCH(",",E276))</f>
        <v>1</v>
      </c>
    </row>
    <row r="277" spans="1:21" ht="30" x14ac:dyDescent="0.25">
      <c r="A277" s="29" t="str">
        <f>IF(ISBLANK(M277)=TRUE,"Pending","Done")</f>
        <v>Pending</v>
      </c>
      <c r="B277" s="29" t="s">
        <v>1918</v>
      </c>
      <c r="C277" s="29">
        <v>74</v>
      </c>
      <c r="D277" s="29" t="s">
        <v>862</v>
      </c>
      <c r="E277" s="29" t="s">
        <v>1919</v>
      </c>
      <c r="F277" s="29" t="s">
        <v>71</v>
      </c>
      <c r="G277" s="29"/>
      <c r="H277" s="29"/>
      <c r="I277" s="29">
        <v>2</v>
      </c>
      <c r="J277" s="29" t="s">
        <v>1920</v>
      </c>
      <c r="K277" s="29"/>
      <c r="L277" s="29"/>
      <c r="M277" s="29"/>
      <c r="N277" s="29"/>
      <c r="O277" s="29"/>
      <c r="P277" s="29" t="str" cm="1">
        <f t="array" ref="P277">_xlfn.REGEXEXTRACT(B277,"(?&lt;=//)[^/]+")</f>
        <v>hcbdsm.com</v>
      </c>
      <c r="Q277" s="29" t="s">
        <v>695</v>
      </c>
      <c r="R277" s="29" t="s">
        <v>1769</v>
      </c>
      <c r="S277" s="29" t="str" cm="1">
        <f t="array" ref="S277">IF(R277&lt;&gt;"NotApplicable",_xlfn.REGEXEXTRACT(R277,"\d+(?=p)"),"NotApplicable")</f>
        <v>NotApplicable</v>
      </c>
      <c r="T277" s="29" t="s">
        <v>1769</v>
      </c>
      <c r="U277" s="29" t="b">
        <f>ISNUMBER(SEARCH(",",E277))</f>
        <v>1</v>
      </c>
    </row>
    <row r="278" spans="1:21" ht="30" x14ac:dyDescent="0.25">
      <c r="A278" s="29" t="str">
        <f>IF(ISBLANK(M278)=TRUE,"Pending","Done")</f>
        <v>Pending</v>
      </c>
      <c r="B278" s="29" t="s">
        <v>1581</v>
      </c>
      <c r="C278" s="29">
        <v>75</v>
      </c>
      <c r="D278" s="29" t="s">
        <v>863</v>
      </c>
      <c r="E278" s="29" t="s">
        <v>1607</v>
      </c>
      <c r="F278" s="29" t="s">
        <v>71</v>
      </c>
      <c r="G278" s="29"/>
      <c r="H278" s="29"/>
      <c r="I278" s="29" t="s">
        <v>1769</v>
      </c>
      <c r="J278" s="29" t="s">
        <v>1769</v>
      </c>
      <c r="K278" s="29" t="s">
        <v>1709</v>
      </c>
      <c r="L278" s="29"/>
      <c r="M278" s="29"/>
      <c r="N278" s="29"/>
      <c r="O278" s="29" t="s">
        <v>1159</v>
      </c>
      <c r="P278" s="29" t="str" cm="1">
        <f t="array" ref="P278">_xlfn.REGEXEXTRACT(B278,"(?&lt;=//)[^/]+")</f>
        <v>www.porntry.com</v>
      </c>
      <c r="Q278" s="29" t="s">
        <v>695</v>
      </c>
      <c r="R278" s="29" t="s">
        <v>1769</v>
      </c>
      <c r="S278" s="29" t="str" cm="1">
        <f t="array" ref="S278">IF(R278&lt;&gt;"NotApplicable",_xlfn.REGEXEXTRACT(R278,"\d+(?=p)"),"NotApplicable")</f>
        <v>NotApplicable</v>
      </c>
      <c r="T278" s="29" t="s">
        <v>1769</v>
      </c>
      <c r="U278" s="29" t="b">
        <f>ISNUMBER(SEARCH(",",E278))</f>
        <v>1</v>
      </c>
    </row>
    <row r="279" spans="1:21" x14ac:dyDescent="0.25">
      <c r="A279" s="29" t="str">
        <f>IF(ISBLANK(M279)=TRUE,"Pending","Done")</f>
        <v>Pending</v>
      </c>
      <c r="B279" s="29" t="s">
        <v>1968</v>
      </c>
      <c r="C279" s="29">
        <v>76</v>
      </c>
      <c r="D279" s="29" t="s">
        <v>868</v>
      </c>
      <c r="E279" s="29" t="s">
        <v>1969</v>
      </c>
      <c r="F279" s="29" t="s">
        <v>71</v>
      </c>
      <c r="G279" s="29"/>
      <c r="H279" s="29"/>
      <c r="I279" s="29">
        <v>3</v>
      </c>
      <c r="J279" s="29" t="s">
        <v>1958</v>
      </c>
      <c r="K279" s="29"/>
      <c r="L279" s="29"/>
      <c r="M279" s="29"/>
      <c r="N279" s="29"/>
      <c r="O279" s="29"/>
      <c r="P279" s="29" t="str" cm="1">
        <f t="array" ref="P279">_xlfn.REGEXEXTRACT(B279,"(?&lt;=//)[^/]+")</f>
        <v>bdsmstreak.com</v>
      </c>
      <c r="Q279" s="29" t="s">
        <v>695</v>
      </c>
      <c r="R279" s="29" t="s">
        <v>1769</v>
      </c>
      <c r="S279" s="29" t="str" cm="1">
        <f t="array" ref="S279">IF(R279&lt;&gt;"NotApplicable",_xlfn.REGEXEXTRACT(R279,"\d+(?=p)"),"NotApplicable")</f>
        <v>NotApplicable</v>
      </c>
      <c r="T279" s="29" t="s">
        <v>1769</v>
      </c>
      <c r="U279" s="29" t="b">
        <f>ISNUMBER(SEARCH(",",E279))</f>
        <v>1</v>
      </c>
    </row>
    <row r="280" spans="1:21" ht="30" x14ac:dyDescent="0.25">
      <c r="A280" s="29" t="str">
        <f>IF(ISBLANK(M280)=TRUE,"Pending","Done")</f>
        <v>Pending</v>
      </c>
      <c r="B280" s="29" t="s">
        <v>1640</v>
      </c>
      <c r="C280" s="29">
        <v>77</v>
      </c>
      <c r="D280" s="29" t="s">
        <v>1465</v>
      </c>
      <c r="E280" s="29" t="s">
        <v>1656</v>
      </c>
      <c r="F280" s="29" t="s">
        <v>71</v>
      </c>
      <c r="G280" s="29"/>
      <c r="H280" s="29"/>
      <c r="I280" s="29" t="s">
        <v>1769</v>
      </c>
      <c r="J280" s="29" t="s">
        <v>1769</v>
      </c>
      <c r="K280" s="29" t="s">
        <v>1709</v>
      </c>
      <c r="L280" s="29"/>
      <c r="M280" s="29"/>
      <c r="N280" s="29"/>
      <c r="O280" s="29"/>
      <c r="P280" s="29" t="str" cm="1">
        <f t="array" ref="P280">_xlfn.REGEXEXTRACT(B280,"(?&lt;=//)[^/]+")</f>
        <v>bdsmstreak.com</v>
      </c>
      <c r="Q280" s="29" t="s">
        <v>695</v>
      </c>
      <c r="R280" s="29" t="s">
        <v>1769</v>
      </c>
      <c r="S280" s="29" t="str" cm="1">
        <f t="array" ref="S280">IF(R280&lt;&gt;"NotApplicable",_xlfn.REGEXEXTRACT(R280,"\d+(?=p)"),"NotApplicable")</f>
        <v>NotApplicable</v>
      </c>
      <c r="T280" s="29" t="s">
        <v>1769</v>
      </c>
      <c r="U280" s="29" t="b">
        <f>ISNUMBER(SEARCH(",",E280))</f>
        <v>1</v>
      </c>
    </row>
    <row r="281" spans="1:21" ht="45" x14ac:dyDescent="0.25">
      <c r="A281" s="29" t="str">
        <f>IF(ISBLANK(M281)=TRUE,"Pending","Done")</f>
        <v>Pending</v>
      </c>
      <c r="B281" s="29" t="s">
        <v>1583</v>
      </c>
      <c r="C281" s="29">
        <v>77</v>
      </c>
      <c r="D281" s="29" t="s">
        <v>866</v>
      </c>
      <c r="E281" s="29" t="s">
        <v>1609</v>
      </c>
      <c r="F281" s="29" t="s">
        <v>71</v>
      </c>
      <c r="G281" s="29"/>
      <c r="H281" s="29"/>
      <c r="I281" s="29" t="s">
        <v>1769</v>
      </c>
      <c r="J281" s="29" t="s">
        <v>1769</v>
      </c>
      <c r="K281" s="29" t="s">
        <v>1708</v>
      </c>
      <c r="L281" s="29"/>
      <c r="M281" s="29"/>
      <c r="N281" s="29"/>
      <c r="O281" s="29" t="s">
        <v>1621</v>
      </c>
      <c r="P281" s="29" t="str" cm="1">
        <f t="array" ref="P281">_xlfn.REGEXEXTRACT(B281,"(?&lt;=//)[^/]+")</f>
        <v>hcbdsm.com</v>
      </c>
      <c r="Q281" s="29" t="s">
        <v>695</v>
      </c>
      <c r="R281" s="29" t="s">
        <v>1769</v>
      </c>
      <c r="S281" s="29" t="str" cm="1">
        <f t="array" ref="S281">IF(R281&lt;&gt;"NotApplicable",_xlfn.REGEXEXTRACT(R281,"\d+(?=p)"),"NotApplicable")</f>
        <v>NotApplicable</v>
      </c>
      <c r="T281" s="29" t="s">
        <v>1769</v>
      </c>
      <c r="U281" s="29" t="b">
        <f>ISNUMBER(SEARCH(",",E281))</f>
        <v>1</v>
      </c>
    </row>
    <row r="282" spans="1:21" ht="30" x14ac:dyDescent="0.25">
      <c r="A282" s="29" t="str">
        <f>IF(ISBLANK(M282)=TRUE,"Pending","Done")</f>
        <v>Pending</v>
      </c>
      <c r="B282" s="29" t="s">
        <v>1807</v>
      </c>
      <c r="C282" s="29">
        <v>78</v>
      </c>
      <c r="D282" s="29" t="s">
        <v>866</v>
      </c>
      <c r="E282" s="29" t="s">
        <v>1808</v>
      </c>
      <c r="F282" s="29" t="s">
        <v>71</v>
      </c>
      <c r="G282" s="29"/>
      <c r="H282" s="29"/>
      <c r="I282" s="29">
        <v>3</v>
      </c>
      <c r="J282" s="29" t="s">
        <v>1620</v>
      </c>
      <c r="K282" s="29"/>
      <c r="L282" s="29"/>
      <c r="M282" s="29"/>
      <c r="N282" s="29"/>
      <c r="O282" s="29"/>
      <c r="P282" s="29" t="str" cm="1">
        <f t="array" ref="P282">_xlfn.REGEXEXTRACT(B282,"(?&lt;=//)[^/]+")</f>
        <v>bdsmstreak.com</v>
      </c>
      <c r="Q282" s="29" t="s">
        <v>695</v>
      </c>
      <c r="R282" s="29" t="s">
        <v>1769</v>
      </c>
      <c r="S282" s="29" t="str" cm="1">
        <f t="array" ref="S282">IF(R282&lt;&gt;"NotApplicable",_xlfn.REGEXEXTRACT(R282,"\d+(?=p)"),"NotApplicable")</f>
        <v>NotApplicable</v>
      </c>
      <c r="T282" s="29" t="s">
        <v>1769</v>
      </c>
      <c r="U282" s="29" t="b">
        <f>ISNUMBER(SEARCH(",",E282))</f>
        <v>1</v>
      </c>
    </row>
    <row r="283" spans="1:21" ht="45" x14ac:dyDescent="0.25">
      <c r="A283" s="29" t="str">
        <f>IF(ISBLANK(M283)=TRUE,"Pending","Done")</f>
        <v>Pending</v>
      </c>
      <c r="B283" s="29" t="s">
        <v>1737</v>
      </c>
      <c r="C283" s="29">
        <v>80</v>
      </c>
      <c r="D283" s="29" t="s">
        <v>862</v>
      </c>
      <c r="E283" s="29" t="s">
        <v>1611</v>
      </c>
      <c r="F283" s="29" t="s">
        <v>71</v>
      </c>
      <c r="G283" s="29"/>
      <c r="H283" s="29"/>
      <c r="I283" s="29" t="s">
        <v>1769</v>
      </c>
      <c r="J283" s="29" t="s">
        <v>1769</v>
      </c>
      <c r="K283" s="29" t="s">
        <v>1720</v>
      </c>
      <c r="L283" s="29"/>
      <c r="M283" s="29"/>
      <c r="N283" s="29"/>
      <c r="O283" s="29"/>
      <c r="P283" s="29" t="str" cm="1">
        <f t="array" ref="P283">_xlfn.REGEXEXTRACT(B283,"(?&lt;=//)[^/]+")</f>
        <v>bdsmmansion.com</v>
      </c>
      <c r="Q283" s="29" t="s">
        <v>695</v>
      </c>
      <c r="R283" s="29" t="s">
        <v>1769</v>
      </c>
      <c r="S283" s="29" t="str" cm="1">
        <f t="array" ref="S283">IF(R283&lt;&gt;"NotApplicable",_xlfn.REGEXEXTRACT(R283,"\d+(?=p)"),"NotApplicable")</f>
        <v>NotApplicable</v>
      </c>
      <c r="T283" s="29" t="s">
        <v>1769</v>
      </c>
      <c r="U283" s="29" t="b">
        <f>ISNUMBER(SEARCH(",",E283))</f>
        <v>1</v>
      </c>
    </row>
    <row r="284" spans="1:21" ht="30" x14ac:dyDescent="0.25">
      <c r="A284" s="29" t="str">
        <f>IF(ISBLANK(M284)=TRUE,"Pending","Done")</f>
        <v>Pending</v>
      </c>
      <c r="B284" s="29" t="s">
        <v>2019</v>
      </c>
      <c r="C284" s="29">
        <v>80</v>
      </c>
      <c r="D284" s="29" t="s">
        <v>863</v>
      </c>
      <c r="E284" s="29" t="s">
        <v>2020</v>
      </c>
      <c r="F284" s="29" t="s">
        <v>71</v>
      </c>
      <c r="G284" s="29"/>
      <c r="H284" s="29"/>
      <c r="I284" s="29">
        <v>5</v>
      </c>
      <c r="J284" s="29" t="s">
        <v>2021</v>
      </c>
      <c r="K284" s="29"/>
      <c r="L284" s="29"/>
      <c r="M284" s="29"/>
      <c r="N284" s="29"/>
      <c r="O284" s="29"/>
      <c r="P284" s="29" t="str" cm="1">
        <f t="array" ref="P284">_xlfn.REGEXEXTRACT(B284,"(?&lt;=//)[^/]+")</f>
        <v>bdsmstreak.com</v>
      </c>
      <c r="Q284" s="29" t="s">
        <v>695</v>
      </c>
      <c r="R284" s="29" t="s">
        <v>1769</v>
      </c>
      <c r="S284" s="29" t="str" cm="1">
        <f t="array" ref="S284">IF(R284&lt;&gt;"NotApplicable",_xlfn.REGEXEXTRACT(R284,"\d+(?=p)"),"NotApplicable")</f>
        <v>NotApplicable</v>
      </c>
      <c r="T284" s="29" t="s">
        <v>1769</v>
      </c>
      <c r="U284" s="29" t="b">
        <f>ISNUMBER(SEARCH(",",E284))</f>
        <v>1</v>
      </c>
    </row>
    <row r="285" spans="1:21" ht="30" x14ac:dyDescent="0.25">
      <c r="A285" s="29" t="str">
        <f>IF(ISBLANK(M285)=TRUE,"Pending","Done")</f>
        <v>Pending</v>
      </c>
      <c r="B285" s="29" t="s">
        <v>1964</v>
      </c>
      <c r="C285" s="29">
        <v>81</v>
      </c>
      <c r="D285" s="29" t="s">
        <v>868</v>
      </c>
      <c r="E285" s="29" t="s">
        <v>1962</v>
      </c>
      <c r="F285" s="29" t="s">
        <v>71</v>
      </c>
      <c r="G285" s="29"/>
      <c r="H285" s="29"/>
      <c r="I285" s="29">
        <v>2</v>
      </c>
      <c r="J285" s="29" t="s">
        <v>1625</v>
      </c>
      <c r="K285" s="29"/>
      <c r="L285" s="29"/>
      <c r="M285" s="29"/>
      <c r="N285" s="29"/>
      <c r="O285" s="29"/>
      <c r="P285" s="29" t="str" cm="1">
        <f t="array" ref="P285">_xlfn.REGEXEXTRACT(B285,"(?&lt;=//)[^/]+")</f>
        <v>bdsmstreak.com</v>
      </c>
      <c r="Q285" s="29" t="s">
        <v>695</v>
      </c>
      <c r="R285" s="29" t="s">
        <v>1769</v>
      </c>
      <c r="S285" s="29" t="str" cm="1">
        <f t="array" ref="S285">IF(R285&lt;&gt;"NotApplicable",_xlfn.REGEXEXTRACT(R285,"\d+(?=p)"),"NotApplicable")</f>
        <v>NotApplicable</v>
      </c>
      <c r="T285" s="29" t="s">
        <v>1769</v>
      </c>
      <c r="U285" s="29" t="b">
        <f>ISNUMBER(SEARCH(",",E285))</f>
        <v>1</v>
      </c>
    </row>
    <row r="286" spans="1:21" ht="45" x14ac:dyDescent="0.25">
      <c r="A286" s="29" t="str">
        <f>IF(ISBLANK(M286)=TRUE,"Pending","Done")</f>
        <v>Pending</v>
      </c>
      <c r="B286" s="29" t="s">
        <v>1896</v>
      </c>
      <c r="C286" s="29">
        <v>81</v>
      </c>
      <c r="D286" s="29" t="s">
        <v>868</v>
      </c>
      <c r="E286" s="29" t="s">
        <v>1897</v>
      </c>
      <c r="F286" s="29" t="s">
        <v>71</v>
      </c>
      <c r="G286" s="29"/>
      <c r="H286" s="29"/>
      <c r="I286" s="29">
        <v>0</v>
      </c>
      <c r="J286" s="29" t="s">
        <v>1156</v>
      </c>
      <c r="K286" s="29"/>
      <c r="L286" s="29"/>
      <c r="M286" s="29"/>
      <c r="N286" s="29"/>
      <c r="O286" s="29"/>
      <c r="P286" s="29" t="str" cm="1">
        <f t="array" ref="P286">_xlfn.REGEXEXTRACT(B286,"(?&lt;=//)[^/]+")</f>
        <v>bdsmstreak.com</v>
      </c>
      <c r="Q286" s="29" t="s">
        <v>695</v>
      </c>
      <c r="R286" s="29" t="s">
        <v>1769</v>
      </c>
      <c r="S286" s="29" t="str" cm="1">
        <f t="array" ref="S286">IF(R286&lt;&gt;"NotApplicable",_xlfn.REGEXEXTRACT(R286,"\d+(?=p)"),"NotApplicable")</f>
        <v>NotApplicable</v>
      </c>
      <c r="T286" s="29" t="s">
        <v>1769</v>
      </c>
      <c r="U286" s="29" t="b">
        <f>ISNUMBER(SEARCH(",",E286))</f>
        <v>1</v>
      </c>
    </row>
    <row r="287" spans="1:21" ht="30" x14ac:dyDescent="0.25">
      <c r="A287" s="29" t="str">
        <f>IF(ISBLANK(M287)=TRUE,"Pending","Done")</f>
        <v>Pending</v>
      </c>
      <c r="B287" s="29" t="s">
        <v>1977</v>
      </c>
      <c r="C287" s="29">
        <v>84</v>
      </c>
      <c r="D287" s="29" t="s">
        <v>868</v>
      </c>
      <c r="E287" s="29" t="s">
        <v>1978</v>
      </c>
      <c r="F287" s="29" t="s">
        <v>71</v>
      </c>
      <c r="G287" s="29"/>
      <c r="H287" s="29"/>
      <c r="I287" s="29">
        <v>8</v>
      </c>
      <c r="J287" s="29" t="s">
        <v>1979</v>
      </c>
      <c r="K287" s="29"/>
      <c r="L287" s="29"/>
      <c r="M287" s="29"/>
      <c r="N287" s="29"/>
      <c r="O287" s="29"/>
      <c r="P287" s="29" t="str" cm="1">
        <f t="array" ref="P287">_xlfn.REGEXEXTRACT(B287,"(?&lt;=//)[^/]+")</f>
        <v>bdsmstreak.com</v>
      </c>
      <c r="Q287" s="29" t="s">
        <v>695</v>
      </c>
      <c r="R287" s="29" t="s">
        <v>1769</v>
      </c>
      <c r="S287" s="29" t="str" cm="1">
        <f t="array" ref="S287">IF(R287&lt;&gt;"NotApplicable",_xlfn.REGEXEXTRACT(R287,"\d+(?=p)"),"NotApplicable")</f>
        <v>NotApplicable</v>
      </c>
      <c r="T287" s="29" t="s">
        <v>1769</v>
      </c>
      <c r="U287" s="29" t="b">
        <f>ISNUMBER(SEARCH(",",E287))</f>
        <v>1</v>
      </c>
    </row>
    <row r="288" spans="1:21" ht="30" x14ac:dyDescent="0.25">
      <c r="A288" s="29" t="str">
        <f>IF(ISBLANK(M288)=TRUE,"Pending","Done")</f>
        <v>Pending</v>
      </c>
      <c r="B288" s="29" t="s">
        <v>1730</v>
      </c>
      <c r="C288" s="29">
        <v>85</v>
      </c>
      <c r="D288" s="29" t="s">
        <v>866</v>
      </c>
      <c r="E288" s="29" t="s">
        <v>1612</v>
      </c>
      <c r="F288" s="29" t="s">
        <v>71</v>
      </c>
      <c r="G288" s="29"/>
      <c r="H288" s="29"/>
      <c r="I288" s="29" t="s">
        <v>1769</v>
      </c>
      <c r="J288" s="29" t="s">
        <v>1769</v>
      </c>
      <c r="K288" s="29" t="s">
        <v>1708</v>
      </c>
      <c r="L288" s="29"/>
      <c r="M288" s="29"/>
      <c r="N288" s="29"/>
      <c r="O288" s="29" t="s">
        <v>1628</v>
      </c>
      <c r="P288" s="29" t="str" cm="1">
        <f t="array" ref="P288">_xlfn.REGEXEXTRACT(B288,"(?&lt;=//)[^/]+")</f>
        <v>bdsmstreak.com</v>
      </c>
      <c r="Q288" s="29" t="s">
        <v>695</v>
      </c>
      <c r="R288" s="29" t="s">
        <v>1769</v>
      </c>
      <c r="S288" s="29" t="str" cm="1">
        <f t="array" ref="S288">IF(R288&lt;&gt;"NotApplicable",_xlfn.REGEXEXTRACT(R288,"\d+(?=p)"),"NotApplicable")</f>
        <v>NotApplicable</v>
      </c>
      <c r="T288" s="29" t="s">
        <v>1769</v>
      </c>
      <c r="U288" s="29" t="b">
        <f>ISNUMBER(SEARCH(",",E288))</f>
        <v>1</v>
      </c>
    </row>
    <row r="289" spans="1:21" ht="30" x14ac:dyDescent="0.25">
      <c r="A289" s="29" t="str">
        <f>IF(ISBLANK(M289)=TRUE,"Pending","Done")</f>
        <v>Pending</v>
      </c>
      <c r="B289" s="29" t="s">
        <v>1586</v>
      </c>
      <c r="C289" s="29">
        <v>90</v>
      </c>
      <c r="D289" s="29" t="s">
        <v>866</v>
      </c>
      <c r="E289" s="29" t="s">
        <v>1614</v>
      </c>
      <c r="F289" s="29" t="s">
        <v>71</v>
      </c>
      <c r="G289" s="29"/>
      <c r="H289" s="29"/>
      <c r="I289" s="29" t="s">
        <v>1769</v>
      </c>
      <c r="J289" s="29" t="s">
        <v>1769</v>
      </c>
      <c r="K289" s="29" t="s">
        <v>1709</v>
      </c>
      <c r="L289" s="29"/>
      <c r="M289" s="29"/>
      <c r="N289" s="29"/>
      <c r="O289" s="29" t="s">
        <v>1620</v>
      </c>
      <c r="P289" s="29" t="str" cm="1">
        <f t="array" ref="P289">_xlfn.REGEXEXTRACT(B289,"(?&lt;=//)[^/]+")</f>
        <v>hcbdsm.com</v>
      </c>
      <c r="Q289" s="29" t="s">
        <v>695</v>
      </c>
      <c r="R289" s="29" t="s">
        <v>1769</v>
      </c>
      <c r="S289" s="29" t="str" cm="1">
        <f t="array" ref="S289">IF(R289&lt;&gt;"NotApplicable",_xlfn.REGEXEXTRACT(R289,"\d+(?=p)"),"NotApplicable")</f>
        <v>NotApplicable</v>
      </c>
      <c r="T289" s="29" t="s">
        <v>1769</v>
      </c>
      <c r="U289" s="29" t="b">
        <f>ISNUMBER(SEARCH(",",E289))</f>
        <v>1</v>
      </c>
    </row>
    <row r="290" spans="1:21" ht="45" x14ac:dyDescent="0.25">
      <c r="A290" s="29" t="str">
        <f>IF(ISBLANK(M290)=TRUE,"Pending","Done")</f>
        <v>Pending</v>
      </c>
      <c r="B290" s="29" t="s">
        <v>1723</v>
      </c>
      <c r="C290" s="29">
        <v>90</v>
      </c>
      <c r="D290" s="29" t="s">
        <v>866</v>
      </c>
      <c r="E290" s="29" t="s">
        <v>1613</v>
      </c>
      <c r="F290" s="29" t="s">
        <v>71</v>
      </c>
      <c r="G290" s="29"/>
      <c r="H290" s="29"/>
      <c r="I290" s="29" t="s">
        <v>1769</v>
      </c>
      <c r="J290" s="29" t="s">
        <v>1769</v>
      </c>
      <c r="K290" s="29" t="s">
        <v>1720</v>
      </c>
      <c r="L290" s="29"/>
      <c r="M290" s="29"/>
      <c r="N290" s="29"/>
      <c r="O290" s="29" t="s">
        <v>1628</v>
      </c>
      <c r="P290" s="29" t="str" cm="1">
        <f t="array" ref="P290">_xlfn.REGEXEXTRACT(B290,"(?&lt;=//)[^/]+")</f>
        <v>hcbdsm.com</v>
      </c>
      <c r="Q290" s="29" t="s">
        <v>695</v>
      </c>
      <c r="R290" s="29" t="s">
        <v>1769</v>
      </c>
      <c r="S290" s="29" t="str" cm="1">
        <f t="array" ref="S290">IF(R290&lt;&gt;"NotApplicable",_xlfn.REGEXEXTRACT(R290,"\d+(?=p)"),"NotApplicable")</f>
        <v>NotApplicable</v>
      </c>
      <c r="T290" s="29" t="s">
        <v>1769</v>
      </c>
      <c r="U290" s="29" t="b">
        <f>ISNUMBER(SEARCH(",",E290))</f>
        <v>1</v>
      </c>
    </row>
    <row r="291" spans="1:21" ht="45" x14ac:dyDescent="0.25">
      <c r="A291" s="29" t="str">
        <f>IF(ISBLANK(M291)=TRUE,"Pending","Done")</f>
        <v>Pending</v>
      </c>
      <c r="B291" s="29" t="s">
        <v>1495</v>
      </c>
      <c r="C291" s="29">
        <v>91</v>
      </c>
      <c r="D291" s="29" t="s">
        <v>862</v>
      </c>
      <c r="E291" s="29" t="s">
        <v>1490</v>
      </c>
      <c r="F291" s="29" t="s">
        <v>71</v>
      </c>
      <c r="G291" s="29"/>
      <c r="H291" s="29"/>
      <c r="I291" s="29" t="s">
        <v>1769</v>
      </c>
      <c r="J291" s="29" t="s">
        <v>1769</v>
      </c>
      <c r="K291" s="29" t="s">
        <v>1709</v>
      </c>
      <c r="L291" s="29"/>
      <c r="M291" s="29"/>
      <c r="N291" s="29"/>
      <c r="O291" s="29"/>
      <c r="P291" s="29" t="str" cm="1">
        <f t="array" ref="P291">_xlfn.REGEXEXTRACT(B291,"(?&lt;=//)[^/]+")</f>
        <v>bdsmmansion.com</v>
      </c>
      <c r="Q291" s="29" t="s">
        <v>695</v>
      </c>
      <c r="R291" s="29" t="s">
        <v>1769</v>
      </c>
      <c r="S291" s="29" t="str" cm="1">
        <f t="array" ref="S291">IF(R291&lt;&gt;"NotApplicable",_xlfn.REGEXEXTRACT(R291,"\d+(?=p)"),"NotApplicable")</f>
        <v>NotApplicable</v>
      </c>
      <c r="T291" s="29" t="s">
        <v>1769</v>
      </c>
      <c r="U291" s="29" t="b">
        <f>ISNUMBER(SEARCH(",",E291))</f>
        <v>1</v>
      </c>
    </row>
    <row r="292" spans="1:21" x14ac:dyDescent="0.25">
      <c r="A292" s="29" t="str">
        <f>IF(ISBLANK(M292)=TRUE,"Pending","Done")</f>
        <v>Pending</v>
      </c>
      <c r="B292" s="29" t="s">
        <v>1869</v>
      </c>
      <c r="C292" s="29">
        <v>91</v>
      </c>
      <c r="D292" s="29" t="s">
        <v>868</v>
      </c>
      <c r="E292" s="29" t="s">
        <v>1870</v>
      </c>
      <c r="F292" s="29" t="s">
        <v>71</v>
      </c>
      <c r="G292" s="29"/>
      <c r="H292" s="29"/>
      <c r="I292" s="29">
        <v>0</v>
      </c>
      <c r="J292" s="29" t="s">
        <v>1156</v>
      </c>
      <c r="K292" s="29"/>
      <c r="L292" s="29"/>
      <c r="M292" s="29"/>
      <c r="N292" s="29"/>
      <c r="O292" s="29"/>
      <c r="P292" s="29" t="str" cm="1">
        <f t="array" ref="P292">_xlfn.REGEXEXTRACT(B292,"(?&lt;=//)[^/]+")</f>
        <v>bdsmstreak.com</v>
      </c>
      <c r="Q292" s="29" t="s">
        <v>695</v>
      </c>
      <c r="R292" s="29" t="s">
        <v>1769</v>
      </c>
      <c r="S292" s="29" t="str" cm="1">
        <f t="array" ref="S292">IF(R292&lt;&gt;"NotApplicable",_xlfn.REGEXEXTRACT(R292,"\d+(?=p)"),"NotApplicable")</f>
        <v>NotApplicable</v>
      </c>
      <c r="T292" s="29" t="s">
        <v>1769</v>
      </c>
      <c r="U292" s="29" t="b">
        <f>ISNUMBER(SEARCH(",",E292))</f>
        <v>1</v>
      </c>
    </row>
    <row r="293" spans="1:21" ht="30" x14ac:dyDescent="0.25">
      <c r="A293" s="29" t="str">
        <f>IF(ISBLANK(M293)=TRUE,"Pending","Done")</f>
        <v>Pending</v>
      </c>
      <c r="B293" s="29" t="s">
        <v>1588</v>
      </c>
      <c r="C293" s="29">
        <v>94</v>
      </c>
      <c r="D293" s="29" t="s">
        <v>866</v>
      </c>
      <c r="E293" s="29" t="s">
        <v>1616</v>
      </c>
      <c r="F293" s="29" t="s">
        <v>71</v>
      </c>
      <c r="G293" s="29"/>
      <c r="H293" s="29"/>
      <c r="I293" s="29" t="s">
        <v>1769</v>
      </c>
      <c r="J293" s="29" t="s">
        <v>1769</v>
      </c>
      <c r="K293" s="29" t="s">
        <v>1709</v>
      </c>
      <c r="L293" s="29"/>
      <c r="M293" s="29"/>
      <c r="N293" s="29"/>
      <c r="O293" s="29" t="s">
        <v>1628</v>
      </c>
      <c r="P293" s="29" t="str" cm="1">
        <f t="array" ref="P293">_xlfn.REGEXEXTRACT(B293,"(?&lt;=//)[^/]+")</f>
        <v>bdsmstreak.com</v>
      </c>
      <c r="Q293" s="29" t="s">
        <v>695</v>
      </c>
      <c r="R293" s="29" t="s">
        <v>1769</v>
      </c>
      <c r="S293" s="29" t="str" cm="1">
        <f t="array" ref="S293">IF(R293&lt;&gt;"NotApplicable",_xlfn.REGEXEXTRACT(R293,"\d+(?=p)"),"NotApplicable")</f>
        <v>NotApplicable</v>
      </c>
      <c r="T293" s="29" t="s">
        <v>1769</v>
      </c>
      <c r="U293" s="29" t="b">
        <f>ISNUMBER(SEARCH(",",E293))</f>
        <v>1</v>
      </c>
    </row>
    <row r="294" spans="1:21" ht="30" x14ac:dyDescent="0.25">
      <c r="A294" s="29" t="str">
        <f>IF(ISBLANK(M294)=TRUE,"Pending","Done")</f>
        <v>Pending</v>
      </c>
      <c r="B294" s="29" t="s">
        <v>1956</v>
      </c>
      <c r="C294" s="29">
        <v>95</v>
      </c>
      <c r="D294" s="29" t="s">
        <v>868</v>
      </c>
      <c r="E294" s="29" t="s">
        <v>1957</v>
      </c>
      <c r="F294" s="29" t="s">
        <v>71</v>
      </c>
      <c r="G294" s="29"/>
      <c r="H294" s="29"/>
      <c r="I294" s="29">
        <v>6</v>
      </c>
      <c r="J294" s="29" t="s">
        <v>1958</v>
      </c>
      <c r="K294" s="29"/>
      <c r="L294" s="29"/>
      <c r="M294" s="29"/>
      <c r="N294" s="29"/>
      <c r="O294" s="29"/>
      <c r="P294" s="29" t="str" cm="1">
        <f t="array" ref="P294">_xlfn.REGEXEXTRACT(B294,"(?&lt;=//)[^/]+")</f>
        <v>bdsmstreak.com</v>
      </c>
      <c r="Q294" s="29" t="s">
        <v>695</v>
      </c>
      <c r="R294" s="29" t="s">
        <v>1769</v>
      </c>
      <c r="S294" s="29" t="str" cm="1">
        <f t="array" ref="S294">IF(R294&lt;&gt;"NotApplicable",_xlfn.REGEXEXTRACT(R294,"\d+(?=p)"),"NotApplicable")</f>
        <v>NotApplicable</v>
      </c>
      <c r="T294" s="29" t="s">
        <v>1769</v>
      </c>
      <c r="U294" s="29" t="b">
        <f>ISNUMBER(SEARCH(",",E294))</f>
        <v>1</v>
      </c>
    </row>
    <row r="295" spans="1:21" ht="30" x14ac:dyDescent="0.25">
      <c r="A295" s="29" t="str">
        <f>IF(ISBLANK(M295)=TRUE,"Pending","Done")</f>
        <v>Pending</v>
      </c>
      <c r="B295" s="29" t="s">
        <v>1707</v>
      </c>
      <c r="C295" s="29">
        <v>97</v>
      </c>
      <c r="D295" s="29" t="s">
        <v>868</v>
      </c>
      <c r="E295" s="29" t="s">
        <v>1617</v>
      </c>
      <c r="F295" s="29" t="s">
        <v>71</v>
      </c>
      <c r="G295" s="29"/>
      <c r="H295" s="29"/>
      <c r="I295" s="29" t="s">
        <v>1769</v>
      </c>
      <c r="J295" s="29" t="s">
        <v>1769</v>
      </c>
      <c r="K295" s="29" t="s">
        <v>1708</v>
      </c>
      <c r="L295" s="29"/>
      <c r="M295" s="29"/>
      <c r="N295" s="29"/>
      <c r="O295" s="29"/>
      <c r="P295" s="29" t="str" cm="1">
        <f t="array" ref="P295">_xlfn.REGEXEXTRACT(B295,"(?&lt;=//)[^/]+")</f>
        <v>bdsmstreak.com</v>
      </c>
      <c r="Q295" s="29" t="s">
        <v>695</v>
      </c>
      <c r="R295" s="29" t="s">
        <v>1769</v>
      </c>
      <c r="S295" s="29" t="str" cm="1">
        <f t="array" ref="S295">IF(R295&lt;&gt;"NotApplicable",_xlfn.REGEXEXTRACT(R295,"\d+(?=p)"),"NotApplicable")</f>
        <v>NotApplicable</v>
      </c>
      <c r="T295" s="29" t="s">
        <v>1769</v>
      </c>
      <c r="U295" s="29" t="b">
        <f>ISNUMBER(SEARCH(",",E295))</f>
        <v>1</v>
      </c>
    </row>
    <row r="296" spans="1:21" ht="30" x14ac:dyDescent="0.25">
      <c r="A296" s="29" t="str">
        <f>IF(ISBLANK(M296)=TRUE,"Pending","Done")</f>
        <v>Pending</v>
      </c>
      <c r="B296" s="29" t="s">
        <v>1717</v>
      </c>
      <c r="C296" s="29">
        <v>104</v>
      </c>
      <c r="D296" s="29" t="s">
        <v>866</v>
      </c>
      <c r="E296" s="29" t="s">
        <v>1618</v>
      </c>
      <c r="F296" s="29" t="s">
        <v>71</v>
      </c>
      <c r="G296" s="29"/>
      <c r="H296" s="29"/>
      <c r="I296" s="29" t="s">
        <v>1769</v>
      </c>
      <c r="J296" s="29" t="s">
        <v>1769</v>
      </c>
      <c r="K296" s="29" t="s">
        <v>1709</v>
      </c>
      <c r="L296" s="29"/>
      <c r="M296" s="29"/>
      <c r="N296" s="29"/>
      <c r="O296" s="29" t="s">
        <v>1628</v>
      </c>
      <c r="P296" s="29" t="str" cm="1">
        <f t="array" ref="P296">_xlfn.REGEXEXTRACT(B296,"(?&lt;=//)[^/]+")</f>
        <v>bdsmstreak.com</v>
      </c>
      <c r="Q296" s="29" t="s">
        <v>695</v>
      </c>
      <c r="R296" s="29" t="s">
        <v>1769</v>
      </c>
      <c r="S296" s="29" t="str" cm="1">
        <f t="array" ref="S296">IF(R296&lt;&gt;"NotApplicable",_xlfn.REGEXEXTRACT(R296,"\d+(?=p)"),"NotApplicable")</f>
        <v>NotApplicable</v>
      </c>
      <c r="T296" s="29" t="s">
        <v>1769</v>
      </c>
      <c r="U296" s="29" t="b">
        <f>ISNUMBER(SEARCH(",",E296))</f>
        <v>1</v>
      </c>
    </row>
    <row r="297" spans="1:21" ht="45" x14ac:dyDescent="0.25">
      <c r="A297" s="29" t="str">
        <f>IF(ISBLANK(M297)=TRUE,"Pending","Done")</f>
        <v>Pending</v>
      </c>
      <c r="B297" s="29" t="s">
        <v>1486</v>
      </c>
      <c r="C297" s="29">
        <v>20</v>
      </c>
      <c r="D297" s="29" t="s">
        <v>864</v>
      </c>
      <c r="E297" s="29" t="s">
        <v>1487</v>
      </c>
      <c r="F297" s="29" t="s">
        <v>70</v>
      </c>
      <c r="G297" s="29" t="s">
        <v>2196</v>
      </c>
      <c r="H297" s="29" t="s">
        <v>2196</v>
      </c>
      <c r="I297" s="29" t="s">
        <v>1769</v>
      </c>
      <c r="J297" s="29" t="s">
        <v>1769</v>
      </c>
      <c r="K297" s="29"/>
      <c r="L297" s="29"/>
      <c r="M297" s="29"/>
      <c r="N297" s="29"/>
      <c r="O297" s="29" t="s">
        <v>1159</v>
      </c>
      <c r="P297" s="29" t="str" cm="1">
        <f t="array" ref="P297">_xlfn.REGEXEXTRACT(B297,"(?&lt;=//)[^/]+")</f>
        <v>www.kink.com</v>
      </c>
      <c r="Q297" s="29" t="s">
        <v>695</v>
      </c>
      <c r="R297" s="29" t="s">
        <v>1769</v>
      </c>
      <c r="S297" s="29" t="str" cm="1">
        <f t="array" ref="S297">IF(R297&lt;&gt;"NotApplicable",_xlfn.REGEXEXTRACT(R297,"\d+(?=p)"),"NotApplicable")</f>
        <v>NotApplicable</v>
      </c>
      <c r="T297" s="29" t="s">
        <v>1769</v>
      </c>
      <c r="U297" s="29" t="b">
        <f>ISNUMBER(SEARCH(",",E297))</f>
        <v>0</v>
      </c>
    </row>
    <row r="298" spans="1:21" ht="30" x14ac:dyDescent="0.25">
      <c r="A298" s="29" t="str">
        <f>IF(ISBLANK(M298)=TRUE,"Pending","Done")</f>
        <v>Pending</v>
      </c>
      <c r="B298" s="29" t="s">
        <v>1587</v>
      </c>
      <c r="C298" s="29">
        <v>93</v>
      </c>
      <c r="D298" s="29" t="s">
        <v>1591</v>
      </c>
      <c r="E298" s="29" t="s">
        <v>1615</v>
      </c>
      <c r="F298" s="29" t="s">
        <v>70</v>
      </c>
      <c r="G298" s="29" t="s">
        <v>2236</v>
      </c>
      <c r="H298" s="29" t="s">
        <v>2236</v>
      </c>
      <c r="I298" s="29" t="s">
        <v>1769</v>
      </c>
      <c r="J298" s="29" t="s">
        <v>1769</v>
      </c>
      <c r="K298" s="29" t="s">
        <v>1696</v>
      </c>
      <c r="L298" s="29"/>
      <c r="M298" s="29"/>
      <c r="N298" s="29"/>
      <c r="O298" s="29"/>
      <c r="P298" s="29" t="str" cm="1">
        <f t="array" ref="P298">_xlfn.REGEXEXTRACT(B298,"(?&lt;=//)[^/]+")</f>
        <v>www.kink.com</v>
      </c>
      <c r="Q298" s="29" t="s">
        <v>695</v>
      </c>
      <c r="R298" s="29" t="s">
        <v>1769</v>
      </c>
      <c r="S298" s="29" t="str" cm="1">
        <f t="array" ref="S298">IF(R298&lt;&gt;"NotApplicable",_xlfn.REGEXEXTRACT(R298,"\d+(?=p)"),"NotApplicable")</f>
        <v>NotApplicable</v>
      </c>
      <c r="T298" s="29" t="s">
        <v>1769</v>
      </c>
      <c r="U298" s="29" t="b">
        <f>ISNUMBER(SEARCH(",",E298))</f>
        <v>1</v>
      </c>
    </row>
    <row r="299" spans="1:21" ht="30" x14ac:dyDescent="0.25">
      <c r="A299" s="29" t="str">
        <f>IF(ISBLANK(M299)=TRUE,"Pending","Done")</f>
        <v>Pending</v>
      </c>
      <c r="B299" s="29" t="s">
        <v>1778</v>
      </c>
      <c r="C299" s="29">
        <v>54</v>
      </c>
      <c r="D299" s="29" t="s">
        <v>864</v>
      </c>
      <c r="E299" s="29" t="s">
        <v>1779</v>
      </c>
      <c r="F299" s="29" t="s">
        <v>70</v>
      </c>
      <c r="G299" s="29" t="s">
        <v>2214</v>
      </c>
      <c r="H299" s="29" t="s">
        <v>2214</v>
      </c>
      <c r="I299" s="29">
        <v>0</v>
      </c>
      <c r="J299" s="29" t="s">
        <v>1156</v>
      </c>
      <c r="K299" s="29"/>
      <c r="L299" s="29"/>
      <c r="M299" s="29"/>
      <c r="N299" s="29"/>
      <c r="O299" s="29"/>
      <c r="P299" s="29" t="str" cm="1">
        <f t="array" ref="P299">_xlfn.REGEXEXTRACT(B299,"(?&lt;=//)[^/]+")</f>
        <v>www.kink.com</v>
      </c>
      <c r="Q299" s="29" t="s">
        <v>695</v>
      </c>
      <c r="R299" s="29" t="s">
        <v>1769</v>
      </c>
      <c r="S299" s="29" t="str" cm="1">
        <f t="array" ref="S299">IF(R299&lt;&gt;"NotApplicable",_xlfn.REGEXEXTRACT(R299,"\d+(?=p)"),"NotApplicable")</f>
        <v>NotApplicable</v>
      </c>
      <c r="T299" s="29" t="s">
        <v>1769</v>
      </c>
      <c r="U299" s="29" t="b">
        <f>ISNUMBER(SEARCH(",",E299))</f>
        <v>0</v>
      </c>
    </row>
    <row r="300" spans="1:21" ht="30" x14ac:dyDescent="0.25">
      <c r="A300" s="29" t="str">
        <f>IF(ISBLANK(M300)=TRUE,"Pending","Done")</f>
        <v>Pending</v>
      </c>
      <c r="B300" s="29" t="s">
        <v>1576</v>
      </c>
      <c r="C300" s="29">
        <v>53</v>
      </c>
      <c r="D300" s="29" t="s">
        <v>1590</v>
      </c>
      <c r="E300" s="29" t="s">
        <v>1603</v>
      </c>
      <c r="F300" s="29" t="s">
        <v>70</v>
      </c>
      <c r="G300" s="29" t="s">
        <v>2212</v>
      </c>
      <c r="H300" s="29" t="s">
        <v>2212</v>
      </c>
      <c r="I300" s="29" t="s">
        <v>1769</v>
      </c>
      <c r="J300" s="29" t="s">
        <v>1769</v>
      </c>
      <c r="K300" s="29" t="s">
        <v>1746</v>
      </c>
      <c r="L300" s="29"/>
      <c r="M300" s="29"/>
      <c r="N300" s="29"/>
      <c r="O300" s="29"/>
      <c r="P300" s="29" t="str" cm="1">
        <f t="array" ref="P300">_xlfn.REGEXEXTRACT(B300,"(?&lt;=//)[^/]+")</f>
        <v>www.kink.com</v>
      </c>
      <c r="Q300" s="29" t="s">
        <v>695</v>
      </c>
      <c r="R300" s="29" t="s">
        <v>1769</v>
      </c>
      <c r="S300" s="29" t="str" cm="1">
        <f t="array" ref="S300">IF(R300&lt;&gt;"NotApplicable",_xlfn.REGEXEXTRACT(R300,"\d+(?=p)"),"NotApplicable")</f>
        <v>NotApplicable</v>
      </c>
      <c r="T300" s="29" t="s">
        <v>1769</v>
      </c>
      <c r="U300" s="29" t="b">
        <f>ISNUMBER(SEARCH(",",E300))</f>
        <v>1</v>
      </c>
    </row>
    <row r="301" spans="1:21" ht="30" x14ac:dyDescent="0.25">
      <c r="A301" s="29" t="str">
        <f>IF(ISBLANK(M301)=TRUE,"Pending","Done")</f>
        <v>Pending</v>
      </c>
      <c r="B301" s="29" t="s">
        <v>1580</v>
      </c>
      <c r="C301" s="29">
        <v>65</v>
      </c>
      <c r="D301" s="29" t="s">
        <v>864</v>
      </c>
      <c r="E301" s="29" t="s">
        <v>1606</v>
      </c>
      <c r="F301" s="29" t="s">
        <v>70</v>
      </c>
      <c r="G301" s="29" t="s">
        <v>2223</v>
      </c>
      <c r="H301" s="29" t="s">
        <v>2223</v>
      </c>
      <c r="I301" s="29" t="s">
        <v>1769</v>
      </c>
      <c r="J301" s="29" t="s">
        <v>1769</v>
      </c>
      <c r="K301" s="29"/>
      <c r="L301" s="29"/>
      <c r="M301" s="29"/>
      <c r="N301" s="29"/>
      <c r="O301" s="29" t="s">
        <v>1627</v>
      </c>
      <c r="P301" s="29" t="str" cm="1">
        <f t="array" ref="P301">_xlfn.REGEXEXTRACT(B301,"(?&lt;=//)[^/]+")</f>
        <v>www.kink.com</v>
      </c>
      <c r="Q301" s="29" t="s">
        <v>695</v>
      </c>
      <c r="R301" s="29" t="s">
        <v>1769</v>
      </c>
      <c r="S301" s="29" t="str" cm="1">
        <f t="array" ref="S301">IF(R301&lt;&gt;"NotApplicable",_xlfn.REGEXEXTRACT(R301,"\d+(?=p)"),"NotApplicable")</f>
        <v>NotApplicable</v>
      </c>
      <c r="T301" s="29" t="s">
        <v>1769</v>
      </c>
      <c r="U301" s="29" t="b">
        <f>ISNUMBER(SEARCH(",",E301))</f>
        <v>0</v>
      </c>
    </row>
    <row r="302" spans="1:21" ht="30" x14ac:dyDescent="0.25">
      <c r="A302" s="29" t="str">
        <f>IF(ISBLANK(M302)=TRUE,"Pending","Done")</f>
        <v>Pending</v>
      </c>
      <c r="B302" s="29" t="s">
        <v>1782</v>
      </c>
      <c r="C302" s="29">
        <v>46</v>
      </c>
      <c r="D302" s="29" t="s">
        <v>1681</v>
      </c>
      <c r="E302" s="29" t="s">
        <v>183</v>
      </c>
      <c r="F302" s="29" t="s">
        <v>70</v>
      </c>
      <c r="G302" s="29" t="s">
        <v>2207</v>
      </c>
      <c r="H302" s="29" t="s">
        <v>2207</v>
      </c>
      <c r="I302" s="29">
        <v>0</v>
      </c>
      <c r="J302" s="29" t="s">
        <v>1156</v>
      </c>
      <c r="K302" s="29"/>
      <c r="L302" s="29"/>
      <c r="M302" s="29"/>
      <c r="N302" s="29"/>
      <c r="O302" s="29"/>
      <c r="P302" s="29" t="str" cm="1">
        <f t="array" ref="P302">_xlfn.REGEXEXTRACT(B302,"(?&lt;=//)[^/]+")</f>
        <v>www.twistedfactory.com</v>
      </c>
      <c r="Q302" s="29" t="s">
        <v>695</v>
      </c>
      <c r="R302" s="29" t="s">
        <v>1769</v>
      </c>
      <c r="S302" s="29" t="str" cm="1">
        <f t="array" ref="S302">IF(R302&lt;&gt;"NotApplicable",_xlfn.REGEXEXTRACT(R302,"\d+(?=p)"),"NotApplicable")</f>
        <v>NotApplicable</v>
      </c>
      <c r="T302" s="29" t="s">
        <v>1769</v>
      </c>
      <c r="U302" s="29" t="b">
        <f>ISNUMBER(SEARCH(",",E302))</f>
        <v>0</v>
      </c>
    </row>
    <row r="303" spans="1:21" ht="30" x14ac:dyDescent="0.25">
      <c r="A303" s="29" t="str">
        <f>IF(ISBLANK(M303)=TRUE,"Pending","Done")</f>
        <v>Pending</v>
      </c>
      <c r="B303" s="29" t="s">
        <v>1783</v>
      </c>
      <c r="C303" s="29">
        <v>90</v>
      </c>
      <c r="D303" s="29" t="s">
        <v>1681</v>
      </c>
      <c r="E303" s="29" t="s">
        <v>1784</v>
      </c>
      <c r="F303" s="29" t="s">
        <v>70</v>
      </c>
      <c r="G303" s="29" t="s">
        <v>2235</v>
      </c>
      <c r="H303" s="29" t="s">
        <v>2235</v>
      </c>
      <c r="I303" s="29">
        <v>1</v>
      </c>
      <c r="J303" s="29" t="s">
        <v>1785</v>
      </c>
      <c r="K303" s="29"/>
      <c r="L303" s="29"/>
      <c r="M303" s="29"/>
      <c r="N303" s="29"/>
      <c r="O303" s="29"/>
      <c r="P303" s="29" t="str" cm="1">
        <f t="array" ref="P303">_xlfn.REGEXEXTRACT(B303,"(?&lt;=//)[^/]+")</f>
        <v>www.twistedfactory.com</v>
      </c>
      <c r="Q303" s="29" t="s">
        <v>695</v>
      </c>
      <c r="R303" s="29" t="s">
        <v>1769</v>
      </c>
      <c r="S303" s="29" t="str" cm="1">
        <f t="array" ref="S303">IF(R303&lt;&gt;"NotApplicable",_xlfn.REGEXEXTRACT(R303,"\d+(?=p)"),"NotApplicable")</f>
        <v>NotApplicable</v>
      </c>
      <c r="T303" s="29" t="s">
        <v>1769</v>
      </c>
      <c r="U303" s="29" t="b">
        <f>ISNUMBER(SEARCH(",",E303))</f>
        <v>0</v>
      </c>
    </row>
    <row r="304" spans="1:21" ht="30" x14ac:dyDescent="0.25">
      <c r="A304" s="29" t="str">
        <f>IF(ISBLANK(M304)=TRUE,"Pending","Done")</f>
        <v>Pending</v>
      </c>
      <c r="B304" s="29" t="s">
        <v>1826</v>
      </c>
      <c r="C304" s="29">
        <v>54</v>
      </c>
      <c r="D304" s="29" t="s">
        <v>1681</v>
      </c>
      <c r="E304" s="29" t="s">
        <v>1827</v>
      </c>
      <c r="F304" s="29" t="s">
        <v>70</v>
      </c>
      <c r="G304" s="29" t="s">
        <v>2215</v>
      </c>
      <c r="H304" s="29" t="s">
        <v>2215</v>
      </c>
      <c r="I304" s="29">
        <v>0</v>
      </c>
      <c r="J304" s="29" t="s">
        <v>1828</v>
      </c>
      <c r="K304" s="29"/>
      <c r="L304" s="29"/>
      <c r="M304" s="29"/>
      <c r="N304" s="29"/>
      <c r="O304" s="29"/>
      <c r="P304" s="29" t="str" cm="1">
        <f t="array" ref="P304">_xlfn.REGEXEXTRACT(B304,"(?&lt;=//)[^/]+")</f>
        <v>www.twistedfactory.com</v>
      </c>
      <c r="Q304" s="29" t="s">
        <v>695</v>
      </c>
      <c r="R304" s="29" t="s">
        <v>1769</v>
      </c>
      <c r="S304" s="29" t="str" cm="1">
        <f t="array" ref="S304">IF(R304&lt;&gt;"NotApplicable",_xlfn.REGEXEXTRACT(R304,"\d+(?=p)"),"NotApplicable")</f>
        <v>NotApplicable</v>
      </c>
      <c r="T304" s="29" t="s">
        <v>1769</v>
      </c>
      <c r="U304" s="29" t="b">
        <f>ISNUMBER(SEARCH(",",E304))</f>
        <v>0</v>
      </c>
    </row>
    <row r="305" spans="1:21" ht="30" x14ac:dyDescent="0.25">
      <c r="A305" s="29" t="str">
        <f>IF(ISBLANK(M305)=TRUE,"Pending","Done")</f>
        <v>Pending</v>
      </c>
      <c r="B305" s="29" t="s">
        <v>1832</v>
      </c>
      <c r="C305" s="29">
        <v>45</v>
      </c>
      <c r="D305" s="29" t="s">
        <v>1681</v>
      </c>
      <c r="E305" s="29" t="s">
        <v>1833</v>
      </c>
      <c r="F305" s="29" t="s">
        <v>70</v>
      </c>
      <c r="G305" s="29" t="s">
        <v>2205</v>
      </c>
      <c r="H305" s="29" t="s">
        <v>2205</v>
      </c>
      <c r="I305" s="29">
        <v>0</v>
      </c>
      <c r="J305" s="29" t="s">
        <v>1156</v>
      </c>
      <c r="K305" s="29"/>
      <c r="L305" s="29"/>
      <c r="M305" s="29"/>
      <c r="N305" s="29"/>
      <c r="O305" s="29"/>
      <c r="P305" s="29" t="str" cm="1">
        <f t="array" ref="P305">_xlfn.REGEXEXTRACT(B305,"(?&lt;=//)[^/]+")</f>
        <v>www.twistedfactory.com</v>
      </c>
      <c r="Q305" s="29" t="s">
        <v>695</v>
      </c>
      <c r="R305" s="29" t="s">
        <v>1769</v>
      </c>
      <c r="S305" s="29" t="str" cm="1">
        <f t="array" ref="S305">IF(R305&lt;&gt;"NotApplicable",_xlfn.REGEXEXTRACT(R305,"\d+(?=p)"),"NotApplicable")</f>
        <v>NotApplicable</v>
      </c>
      <c r="T305" s="29" t="s">
        <v>1769</v>
      </c>
      <c r="U305" s="29" t="b">
        <f>ISNUMBER(SEARCH(",",E305))</f>
        <v>1</v>
      </c>
    </row>
    <row r="306" spans="1:21" ht="45" x14ac:dyDescent="0.25">
      <c r="A306" s="29" t="str">
        <f>IF(ISBLANK(M306)=TRUE,"Pending","Done")</f>
        <v>Pending</v>
      </c>
      <c r="B306" s="29" t="s">
        <v>2059</v>
      </c>
      <c r="C306" s="29">
        <v>66</v>
      </c>
      <c r="D306" s="29" t="s">
        <v>868</v>
      </c>
      <c r="E306" s="29" t="s">
        <v>196</v>
      </c>
      <c r="F306" s="29" t="s">
        <v>70</v>
      </c>
      <c r="G306" s="29" t="s">
        <v>2224</v>
      </c>
      <c r="H306" s="29" t="s">
        <v>2224</v>
      </c>
      <c r="I306" s="29">
        <v>2</v>
      </c>
      <c r="J306" s="29" t="s">
        <v>2060</v>
      </c>
      <c r="K306" s="29"/>
      <c r="L306" s="29"/>
      <c r="M306" s="29"/>
      <c r="N306" s="29"/>
      <c r="O306" s="29"/>
      <c r="P306" s="29" t="str" cm="1">
        <f t="array" ref="P306">_xlfn.REGEXEXTRACT(B306,"(?&lt;=//)[^/]+")</f>
        <v>www.kink.com</v>
      </c>
      <c r="Q306" s="29" t="s">
        <v>695</v>
      </c>
      <c r="R306" s="29" t="s">
        <v>1769</v>
      </c>
      <c r="S306" s="29" t="str" cm="1">
        <f t="array" ref="S306">IF(R306&lt;&gt;"NotApplicable",_xlfn.REGEXEXTRACT(R306,"\d+(?=p)"),"NotApplicable")</f>
        <v>NotApplicable</v>
      </c>
      <c r="T306" s="29" t="s">
        <v>1769</v>
      </c>
      <c r="U306" s="29" t="b">
        <f>ISNUMBER(SEARCH(",",E306))</f>
        <v>0</v>
      </c>
    </row>
    <row r="307" spans="1:21" ht="30" x14ac:dyDescent="0.25">
      <c r="A307" s="29" t="str">
        <f>IF(ISBLANK(M307)=TRUE,"Pending","Done")</f>
        <v>Pending</v>
      </c>
      <c r="B307" s="29" t="s">
        <v>1884</v>
      </c>
      <c r="C307" s="29">
        <v>70</v>
      </c>
      <c r="D307" s="29" t="s">
        <v>1681</v>
      </c>
      <c r="E307" s="29" t="s">
        <v>1885</v>
      </c>
      <c r="F307" s="29" t="s">
        <v>70</v>
      </c>
      <c r="G307" s="29" t="s">
        <v>2226</v>
      </c>
      <c r="H307" s="29" t="s">
        <v>2226</v>
      </c>
      <c r="I307" s="29">
        <v>3</v>
      </c>
      <c r="J307" s="29" t="s">
        <v>1886</v>
      </c>
      <c r="K307" s="29"/>
      <c r="L307" s="29"/>
      <c r="M307" s="29"/>
      <c r="N307" s="29"/>
      <c r="O307" s="29"/>
      <c r="P307" s="29" t="str" cm="1">
        <f t="array" ref="P307">_xlfn.REGEXEXTRACT(B307,"(?&lt;=//)[^/]+")</f>
        <v>www.twistedfactory.com</v>
      </c>
      <c r="Q307" s="29" t="s">
        <v>695</v>
      </c>
      <c r="R307" s="29" t="s">
        <v>1769</v>
      </c>
      <c r="S307" s="29" t="str" cm="1">
        <f t="array" ref="S307">IF(R307&lt;&gt;"NotApplicable",_xlfn.REGEXEXTRACT(R307,"\d+(?=p)"),"NotApplicable")</f>
        <v>NotApplicable</v>
      </c>
      <c r="T307" s="29" t="s">
        <v>1769</v>
      </c>
      <c r="U307" s="29" t="b">
        <f>ISNUMBER(SEARCH(",",E307))</f>
        <v>0</v>
      </c>
    </row>
    <row r="308" spans="1:21" ht="30" x14ac:dyDescent="0.25">
      <c r="A308" s="29" t="str">
        <f>IF(ISBLANK(M308)=TRUE,"Pending","Done")</f>
        <v>Pending</v>
      </c>
      <c r="B308" s="29" t="s">
        <v>1631</v>
      </c>
      <c r="C308" s="29">
        <v>77</v>
      </c>
      <c r="D308" s="29" t="s">
        <v>868</v>
      </c>
      <c r="E308" s="29" t="s">
        <v>1633</v>
      </c>
      <c r="F308" s="29" t="s">
        <v>70</v>
      </c>
      <c r="G308" s="29" t="s">
        <v>2230</v>
      </c>
      <c r="H308" s="29" t="s">
        <v>2230</v>
      </c>
      <c r="I308" s="29" t="s">
        <v>1769</v>
      </c>
      <c r="J308" s="29" t="s">
        <v>1769</v>
      </c>
      <c r="K308" s="29"/>
      <c r="L308" s="29"/>
      <c r="M308" s="29"/>
      <c r="N308" s="29"/>
      <c r="O308" s="29" t="s">
        <v>1634</v>
      </c>
      <c r="P308" s="29" t="str" cm="1">
        <f t="array" ref="P308">_xlfn.REGEXEXTRACT(B308,"(?&lt;=//)[^/]+")</f>
        <v>www.kink.com</v>
      </c>
      <c r="Q308" s="29" t="s">
        <v>695</v>
      </c>
      <c r="R308" s="29" t="s">
        <v>1769</v>
      </c>
      <c r="S308" s="29" t="str" cm="1">
        <f t="array" ref="S308">IF(R308&lt;&gt;"NotApplicable",_xlfn.REGEXEXTRACT(R308,"\d+(?=p)"),"NotApplicable")</f>
        <v>NotApplicable</v>
      </c>
      <c r="T308" s="29" t="s">
        <v>1769</v>
      </c>
      <c r="U308" s="29" t="b">
        <f>ISNUMBER(SEARCH(",",E308))</f>
        <v>0</v>
      </c>
    </row>
    <row r="309" spans="1:21" ht="30" x14ac:dyDescent="0.25">
      <c r="A309" s="29" t="str">
        <f>IF(ISBLANK(M309)=TRUE,"Pending","Done")</f>
        <v>Pending</v>
      </c>
      <c r="B309" s="29" t="s">
        <v>1670</v>
      </c>
      <c r="C309" s="29">
        <v>14</v>
      </c>
      <c r="D309" s="29" t="s">
        <v>864</v>
      </c>
      <c r="E309" s="29" t="s">
        <v>1671</v>
      </c>
      <c r="F309" s="29" t="s">
        <v>70</v>
      </c>
      <c r="G309" s="29" t="s">
        <v>2176</v>
      </c>
      <c r="H309" s="29" t="s">
        <v>2176</v>
      </c>
      <c r="I309" s="29" t="s">
        <v>1769</v>
      </c>
      <c r="J309" s="29" t="s">
        <v>1769</v>
      </c>
      <c r="K309" s="29"/>
      <c r="L309" s="29"/>
      <c r="M309" s="29"/>
      <c r="N309" s="29"/>
      <c r="O309" s="29" t="s">
        <v>1672</v>
      </c>
      <c r="P309" s="29" t="str" cm="1">
        <f t="array" ref="P309">_xlfn.REGEXEXTRACT(B309,"(?&lt;=//)[^/]+")</f>
        <v>www.kink.com</v>
      </c>
      <c r="Q309" s="29" t="s">
        <v>695</v>
      </c>
      <c r="R309" s="29" t="s">
        <v>1769</v>
      </c>
      <c r="S309" s="29" t="str" cm="1">
        <f t="array" ref="S309">IF(R309&lt;&gt;"NotApplicable",_xlfn.REGEXEXTRACT(R309,"\d+(?=p)"),"NotApplicable")</f>
        <v>NotApplicable</v>
      </c>
      <c r="T309" s="29" t="s">
        <v>1769</v>
      </c>
      <c r="U309" s="29" t="b">
        <f>ISNUMBER(SEARCH(",",E309))</f>
        <v>0</v>
      </c>
    </row>
    <row r="310" spans="1:21" ht="45" x14ac:dyDescent="0.25">
      <c r="A310" s="29" t="str">
        <f>IF(ISBLANK(M310)=TRUE,"Pending","Done")</f>
        <v>Pending</v>
      </c>
      <c r="B310" s="29" t="s">
        <v>2464</v>
      </c>
      <c r="C310" s="29">
        <v>16</v>
      </c>
      <c r="D310" s="29" t="s">
        <v>864</v>
      </c>
      <c r="E310" s="29" t="s">
        <v>2461</v>
      </c>
      <c r="F310" s="29" t="s">
        <v>70</v>
      </c>
      <c r="G310" s="29" t="s">
        <v>2462</v>
      </c>
      <c r="H310" s="29" t="s">
        <v>2463</v>
      </c>
      <c r="I310" s="29">
        <v>0</v>
      </c>
      <c r="J310" s="29" t="s">
        <v>1156</v>
      </c>
      <c r="K310" s="29"/>
      <c r="L310" s="29"/>
      <c r="M310" s="29"/>
      <c r="N310" s="29"/>
      <c r="O310" s="29"/>
      <c r="P310" s="29" t="str" cm="1">
        <f t="array" ref="P310">_xlfn.REGEXEXTRACT(B310,"(?&lt;=//)[^/]+")</f>
        <v>hcbdsm.com</v>
      </c>
      <c r="Q310" s="29" t="s">
        <v>695</v>
      </c>
      <c r="R310" s="29" t="s">
        <v>1769</v>
      </c>
      <c r="S310" s="29" t="str" cm="1">
        <f t="array" ref="S310">IF(R310&lt;&gt;"NotApplicable",_xlfn.REGEXEXTRACT(R310,"\d+(?=p)"),"NotApplicable")</f>
        <v>NotApplicable</v>
      </c>
      <c r="T310" s="29" t="s">
        <v>1769</v>
      </c>
      <c r="U310" s="29" t="b">
        <f>ISNUMBER(SEARCH(",",E310))</f>
        <v>0</v>
      </c>
    </row>
    <row r="311" spans="1:21" ht="30" x14ac:dyDescent="0.25">
      <c r="A311" s="29" t="str">
        <f>IF(ISBLANK(M311)=TRUE,"Pending","Done")</f>
        <v>Pending</v>
      </c>
      <c r="B311" s="29" t="s">
        <v>1894</v>
      </c>
      <c r="C311" s="29">
        <v>43</v>
      </c>
      <c r="D311" s="29" t="s">
        <v>864</v>
      </c>
      <c r="E311" s="29" t="s">
        <v>232</v>
      </c>
      <c r="F311" s="29" t="s">
        <v>70</v>
      </c>
      <c r="G311" s="29" t="s">
        <v>2201</v>
      </c>
      <c r="H311" s="29" t="s">
        <v>2201</v>
      </c>
      <c r="I311" s="29">
        <v>5</v>
      </c>
      <c r="J311" s="29" t="s">
        <v>1895</v>
      </c>
      <c r="K311" s="29"/>
      <c r="L311" s="29"/>
      <c r="M311" s="29"/>
      <c r="N311" s="29"/>
      <c r="O311" s="29"/>
      <c r="P311" s="29" t="str" cm="1">
        <f t="array" ref="P311">_xlfn.REGEXEXTRACT(B311,"(?&lt;=//)[^/]+")</f>
        <v>www.kink.com</v>
      </c>
      <c r="Q311" s="29" t="s">
        <v>695</v>
      </c>
      <c r="R311" s="29" t="s">
        <v>1769</v>
      </c>
      <c r="S311" s="29" t="str" cm="1">
        <f t="array" ref="S311">IF(R311&lt;&gt;"NotApplicable",_xlfn.REGEXEXTRACT(R311,"\d+(?=p)"),"NotApplicable")</f>
        <v>NotApplicable</v>
      </c>
      <c r="T311" s="29" t="s">
        <v>1769</v>
      </c>
      <c r="U311" s="29" t="b">
        <f>ISNUMBER(SEARCH(",",E311))</f>
        <v>0</v>
      </c>
    </row>
    <row r="312" spans="1:21" ht="30" x14ac:dyDescent="0.25">
      <c r="A312" s="29" t="str">
        <f>IF(ISBLANK(M312)=TRUE,"Pending","Done")</f>
        <v>Pending</v>
      </c>
      <c r="B312" s="29" t="s">
        <v>1927</v>
      </c>
      <c r="C312" s="29">
        <v>63</v>
      </c>
      <c r="D312" s="29" t="s">
        <v>860</v>
      </c>
      <c r="E312" s="29" t="s">
        <v>1928</v>
      </c>
      <c r="F312" s="29" t="s">
        <v>70</v>
      </c>
      <c r="G312" s="29" t="s">
        <v>2219</v>
      </c>
      <c r="H312" s="29" t="s">
        <v>2219</v>
      </c>
      <c r="I312" s="29">
        <v>3</v>
      </c>
      <c r="J312" s="29" t="s">
        <v>1929</v>
      </c>
      <c r="K312" s="29"/>
      <c r="L312" s="29"/>
      <c r="M312" s="29"/>
      <c r="N312" s="29"/>
      <c r="O312" s="29"/>
      <c r="P312" s="29" t="str" cm="1">
        <f t="array" ref="P312">_xlfn.REGEXEXTRACT(B312,"(?&lt;=//)[^/]+")</f>
        <v>www.kink.com</v>
      </c>
      <c r="Q312" s="29" t="s">
        <v>695</v>
      </c>
      <c r="R312" s="29" t="s">
        <v>1769</v>
      </c>
      <c r="S312" s="29" t="str" cm="1">
        <f t="array" ref="S312">IF(R312&lt;&gt;"NotApplicable",_xlfn.REGEXEXTRACT(R312,"\d+(?=p)"),"NotApplicable")</f>
        <v>NotApplicable</v>
      </c>
      <c r="T312" s="29" t="s">
        <v>1769</v>
      </c>
      <c r="U312" s="29" t="b">
        <f>ISNUMBER(SEARCH(",",E312))</f>
        <v>0</v>
      </c>
    </row>
    <row r="313" spans="1:21" ht="45" x14ac:dyDescent="0.25">
      <c r="A313" s="29" t="str">
        <f>IF(ISBLANK(M313)=TRUE,"Pending","Done")</f>
        <v>Pending</v>
      </c>
      <c r="B313" s="29" t="s">
        <v>1921</v>
      </c>
      <c r="C313" s="29">
        <v>62</v>
      </c>
      <c r="D313" s="29" t="s">
        <v>1681</v>
      </c>
      <c r="E313" s="29" t="s">
        <v>172</v>
      </c>
      <c r="F313" s="29" t="s">
        <v>70</v>
      </c>
      <c r="G313" s="29" t="s">
        <v>2220</v>
      </c>
      <c r="H313" s="29" t="s">
        <v>2220</v>
      </c>
      <c r="I313" s="29">
        <v>0</v>
      </c>
      <c r="J313" s="29" t="s">
        <v>1156</v>
      </c>
      <c r="K313" s="29"/>
      <c r="L313" s="29"/>
      <c r="M313" s="29"/>
      <c r="N313" s="29"/>
      <c r="O313" s="29"/>
      <c r="P313" s="29" t="str" cm="1">
        <f t="array" ref="P313">_xlfn.REGEXEXTRACT(B313,"(?&lt;=//)[^/]+")</f>
        <v>www.twistedfactory.com</v>
      </c>
      <c r="Q313" s="29" t="s">
        <v>695</v>
      </c>
      <c r="R313" s="29" t="s">
        <v>1769</v>
      </c>
      <c r="S313" s="29" t="str" cm="1">
        <f t="array" ref="S313">IF(R313&lt;&gt;"NotApplicable",_xlfn.REGEXEXTRACT(R313,"\d+(?=p)"),"NotApplicable")</f>
        <v>NotApplicable</v>
      </c>
      <c r="T313" s="29" t="s">
        <v>1769</v>
      </c>
      <c r="U313" s="29" t="b">
        <f>ISNUMBER(SEARCH(",",E313))</f>
        <v>0</v>
      </c>
    </row>
    <row r="314" spans="1:21" ht="30" x14ac:dyDescent="0.25">
      <c r="A314" s="29" t="str">
        <f>IF(ISBLANK(M314)=TRUE,"Pending","Done")</f>
        <v>Pending</v>
      </c>
      <c r="B314" s="29" t="s">
        <v>1943</v>
      </c>
      <c r="C314" s="29">
        <v>63</v>
      </c>
      <c r="D314" s="29" t="s">
        <v>1681</v>
      </c>
      <c r="E314" s="29" t="s">
        <v>1906</v>
      </c>
      <c r="F314" s="29" t="s">
        <v>70</v>
      </c>
      <c r="G314" s="29" t="s">
        <v>2222</v>
      </c>
      <c r="H314" s="29" t="s">
        <v>2222</v>
      </c>
      <c r="I314" s="29">
        <v>0</v>
      </c>
      <c r="J314" s="29" t="s">
        <v>1156</v>
      </c>
      <c r="K314" s="29"/>
      <c r="L314" s="29"/>
      <c r="M314" s="29"/>
      <c r="N314" s="29"/>
      <c r="O314" s="29"/>
      <c r="P314" s="29" t="str" cm="1">
        <f t="array" ref="P314">_xlfn.REGEXEXTRACT(B314,"(?&lt;=//)[^/]+")</f>
        <v>www.twistedfactory.com</v>
      </c>
      <c r="Q314" s="29" t="s">
        <v>695</v>
      </c>
      <c r="R314" s="29" t="s">
        <v>1769</v>
      </c>
      <c r="S314" s="29" t="str" cm="1">
        <f t="array" ref="S314">IF(R314&lt;&gt;"NotApplicable",_xlfn.REGEXEXTRACT(R314,"\d+(?=p)"),"NotApplicable")</f>
        <v>NotApplicable</v>
      </c>
      <c r="T314" s="29" t="s">
        <v>1769</v>
      </c>
      <c r="U314" s="29" t="b">
        <f>ISNUMBER(SEARCH(",",E314))</f>
        <v>0</v>
      </c>
    </row>
    <row r="315" spans="1:21" ht="45" x14ac:dyDescent="0.25">
      <c r="A315" s="29" t="str">
        <f>IF(ISBLANK(M315)=TRUE,"Pending","Done")</f>
        <v>Pending</v>
      </c>
      <c r="B315" s="29" t="s">
        <v>1997</v>
      </c>
      <c r="C315" s="29">
        <v>20</v>
      </c>
      <c r="D315" s="29" t="s">
        <v>864</v>
      </c>
      <c r="E315" s="29" t="s">
        <v>1471</v>
      </c>
      <c r="F315" s="29" t="s">
        <v>70</v>
      </c>
      <c r="G315" s="29" t="s">
        <v>2197</v>
      </c>
      <c r="H315" s="29" t="s">
        <v>2197</v>
      </c>
      <c r="I315" s="29">
        <v>0</v>
      </c>
      <c r="J315" s="29" t="s">
        <v>1156</v>
      </c>
      <c r="K315" s="29"/>
      <c r="L315" s="29"/>
      <c r="M315" s="29"/>
      <c r="N315" s="29"/>
      <c r="O315" s="29"/>
      <c r="P315" s="29" t="str" cm="1">
        <f t="array" ref="P315">_xlfn.REGEXEXTRACT(B315,"(?&lt;=//)[^/]+")</f>
        <v>www.kink.com</v>
      </c>
      <c r="Q315" s="29" t="s">
        <v>695</v>
      </c>
      <c r="R315" s="29" t="s">
        <v>1769</v>
      </c>
      <c r="S315" s="29" t="str" cm="1">
        <f t="array" ref="S315">IF(R315&lt;&gt;"NotApplicable",_xlfn.REGEXEXTRACT(R315,"\d+(?=p)"),"NotApplicable")</f>
        <v>NotApplicable</v>
      </c>
      <c r="T315" s="29" t="s">
        <v>1769</v>
      </c>
      <c r="U315" s="29" t="b">
        <f>ISNUMBER(SEARCH(",",E315))</f>
        <v>0</v>
      </c>
    </row>
    <row r="316" spans="1:21" ht="30" x14ac:dyDescent="0.25">
      <c r="A316" s="29" t="str">
        <f>IF(ISBLANK(M316)=TRUE,"Pending","Done")</f>
        <v>Pending</v>
      </c>
      <c r="B316" s="29" t="s">
        <v>1995</v>
      </c>
      <c r="C316" s="29">
        <v>45</v>
      </c>
      <c r="D316" s="29" t="s">
        <v>1815</v>
      </c>
      <c r="E316" s="29" t="s">
        <v>1996</v>
      </c>
      <c r="F316" s="29" t="s">
        <v>70</v>
      </c>
      <c r="G316" s="29" t="s">
        <v>2206</v>
      </c>
      <c r="H316" s="29" t="s">
        <v>2206</v>
      </c>
      <c r="I316" s="29">
        <v>0</v>
      </c>
      <c r="J316" s="29" t="s">
        <v>1156</v>
      </c>
      <c r="K316" s="29"/>
      <c r="L316" s="29"/>
      <c r="M316" s="29"/>
      <c r="N316" s="29"/>
      <c r="O316" s="29"/>
      <c r="P316" s="29" t="str" cm="1">
        <f t="array" ref="P316">_xlfn.REGEXEXTRACT(B316,"(?&lt;=//)[^/]+")</f>
        <v>www.twistedfactory.com</v>
      </c>
      <c r="Q316" s="29" t="s">
        <v>695</v>
      </c>
      <c r="R316" s="29" t="s">
        <v>1769</v>
      </c>
      <c r="S316" s="29" t="str" cm="1">
        <f t="array" ref="S316">IF(R316&lt;&gt;"NotApplicable",_xlfn.REGEXEXTRACT(R316,"\d+(?=p)"),"NotApplicable")</f>
        <v>NotApplicable</v>
      </c>
      <c r="T316" s="29" t="s">
        <v>1769</v>
      </c>
      <c r="U316" s="29" t="b">
        <f>ISNUMBER(SEARCH(",",E316))</f>
        <v>0</v>
      </c>
    </row>
    <row r="317" spans="1:21" ht="30" x14ac:dyDescent="0.25">
      <c r="A317" s="29" t="str">
        <f>IF(ISBLANK(M317)=TRUE,"Pending","Done")</f>
        <v>Pending</v>
      </c>
      <c r="B317" s="29" t="s">
        <v>2003</v>
      </c>
      <c r="C317" s="29">
        <v>58</v>
      </c>
      <c r="D317" s="29" t="s">
        <v>1681</v>
      </c>
      <c r="E317" s="29" t="s">
        <v>2004</v>
      </c>
      <c r="F317" s="29" t="s">
        <v>70</v>
      </c>
      <c r="G317" s="29" t="s">
        <v>2217</v>
      </c>
      <c r="H317" s="29" t="s">
        <v>2217</v>
      </c>
      <c r="I317" s="29">
        <v>0</v>
      </c>
      <c r="J317" s="29" t="s">
        <v>1156</v>
      </c>
      <c r="K317" s="29"/>
      <c r="L317" s="29"/>
      <c r="M317" s="29"/>
      <c r="N317" s="29"/>
      <c r="O317" s="29"/>
      <c r="P317" s="29" t="str" cm="1">
        <f t="array" ref="P317">_xlfn.REGEXEXTRACT(B317,"(?&lt;=//)[^/]+")</f>
        <v>www.twistedfactory.com</v>
      </c>
      <c r="Q317" s="29" t="s">
        <v>695</v>
      </c>
      <c r="R317" s="29" t="s">
        <v>1769</v>
      </c>
      <c r="S317" s="29" t="str" cm="1">
        <f t="array" ref="S317">IF(R317&lt;&gt;"NotApplicable",_xlfn.REGEXEXTRACT(R317,"\d+(?=p)"),"NotApplicable")</f>
        <v>NotApplicable</v>
      </c>
      <c r="T317" s="29" t="s">
        <v>1769</v>
      </c>
      <c r="U317" s="29" t="b">
        <f>ISNUMBER(SEARCH(",",E317))</f>
        <v>0</v>
      </c>
    </row>
    <row r="318" spans="1:21" ht="30" x14ac:dyDescent="0.25">
      <c r="A318" s="29" t="str">
        <f>IF(ISBLANK(M318)=TRUE,"Pending","Done")</f>
        <v>Pending</v>
      </c>
      <c r="B318" s="29" t="s">
        <v>2009</v>
      </c>
      <c r="C318" s="29">
        <v>80</v>
      </c>
      <c r="D318" s="29" t="s">
        <v>1590</v>
      </c>
      <c r="E318" s="29" t="s">
        <v>2010</v>
      </c>
      <c r="F318" s="29" t="s">
        <v>70</v>
      </c>
      <c r="G318" s="29" t="s">
        <v>2232</v>
      </c>
      <c r="H318" s="29" t="s">
        <v>2232</v>
      </c>
      <c r="I318" s="29">
        <v>3</v>
      </c>
      <c r="J318" s="29" t="s">
        <v>1734</v>
      </c>
      <c r="K318" s="29"/>
      <c r="L318" s="29"/>
      <c r="M318" s="29"/>
      <c r="N318" s="29"/>
      <c r="O318" s="29"/>
      <c r="P318" s="29" t="str" cm="1">
        <f t="array" ref="P318">_xlfn.REGEXEXTRACT(B318,"(?&lt;=//)[^/]+")</f>
        <v>www.kink.com</v>
      </c>
      <c r="Q318" s="29" t="s">
        <v>695</v>
      </c>
      <c r="R318" s="29" t="s">
        <v>1769</v>
      </c>
      <c r="S318" s="29" t="str" cm="1">
        <f t="array" ref="S318">IF(R318&lt;&gt;"NotApplicable",_xlfn.REGEXEXTRACT(R318,"\d+(?=p)"),"NotApplicable")</f>
        <v>NotApplicable</v>
      </c>
      <c r="T318" s="29" t="s">
        <v>1769</v>
      </c>
      <c r="U318" s="29" t="b">
        <f>ISNUMBER(SEARCH(",",E318))</f>
        <v>1</v>
      </c>
    </row>
    <row r="319" spans="1:21" ht="30" x14ac:dyDescent="0.25">
      <c r="A319" s="29" t="str">
        <f>IF(ISBLANK(M319)=TRUE,"Pending","Done")</f>
        <v>Pending</v>
      </c>
      <c r="B319" s="29" t="s">
        <v>2035</v>
      </c>
      <c r="C319" s="29">
        <v>60</v>
      </c>
      <c r="D319" s="29" t="s">
        <v>864</v>
      </c>
      <c r="E319" s="29" t="s">
        <v>2036</v>
      </c>
      <c r="F319" s="29" t="s">
        <v>70</v>
      </c>
      <c r="G319" s="29" t="s">
        <v>2218</v>
      </c>
      <c r="H319" s="29" t="s">
        <v>2218</v>
      </c>
      <c r="I319" s="29">
        <v>6</v>
      </c>
      <c r="J319" s="29" t="s">
        <v>2037</v>
      </c>
      <c r="K319" s="29"/>
      <c r="L319" s="29"/>
      <c r="M319" s="29"/>
      <c r="N319" s="29"/>
      <c r="O319" s="29"/>
      <c r="P319" s="29" t="str" cm="1">
        <f t="array" ref="P319">_xlfn.REGEXEXTRACT(B319,"(?&lt;=//)[^/]+")</f>
        <v>www.kink.com</v>
      </c>
      <c r="Q319" s="29" t="s">
        <v>695</v>
      </c>
      <c r="R319" s="29" t="s">
        <v>1769</v>
      </c>
      <c r="S319" s="29" t="str" cm="1">
        <f t="array" ref="S319">IF(R319&lt;&gt;"NotApplicable",_xlfn.REGEXEXTRACT(R319,"\d+(?=p)"),"NotApplicable")</f>
        <v>NotApplicable</v>
      </c>
      <c r="T319" s="29" t="s">
        <v>1769</v>
      </c>
      <c r="U319" s="29" t="b">
        <f>ISNUMBER(SEARCH(",",E319))</f>
        <v>0</v>
      </c>
    </row>
    <row r="320" spans="1:21" ht="30" x14ac:dyDescent="0.25">
      <c r="A320" s="29" t="str">
        <f>IF(ISBLANK(M320)=TRUE,"Pending","Done")</f>
        <v>Pending</v>
      </c>
      <c r="B320" s="29" t="s">
        <v>2044</v>
      </c>
      <c r="C320" s="29">
        <v>40</v>
      </c>
      <c r="D320" s="29" t="s">
        <v>864</v>
      </c>
      <c r="E320" s="29" t="s">
        <v>2045</v>
      </c>
      <c r="F320" s="29" t="s">
        <v>70</v>
      </c>
      <c r="G320" s="29" t="s">
        <v>2200</v>
      </c>
      <c r="H320" s="29" t="s">
        <v>2200</v>
      </c>
      <c r="I320" s="29">
        <v>5</v>
      </c>
      <c r="J320" s="29" t="s">
        <v>2046</v>
      </c>
      <c r="K320" s="29"/>
      <c r="L320" s="29"/>
      <c r="M320" s="29"/>
      <c r="N320" s="29"/>
      <c r="O320" s="29"/>
      <c r="P320" s="29" t="str" cm="1">
        <f t="array" ref="P320">_xlfn.REGEXEXTRACT(B320,"(?&lt;=//)[^/]+")</f>
        <v>www.kink.com</v>
      </c>
      <c r="Q320" s="29" t="s">
        <v>695</v>
      </c>
      <c r="R320" s="29" t="s">
        <v>1769</v>
      </c>
      <c r="S320" s="29" t="str" cm="1">
        <f t="array" ref="S320">IF(R320&lt;&gt;"NotApplicable",_xlfn.REGEXEXTRACT(R320,"\d+(?=p)"),"NotApplicable")</f>
        <v>NotApplicable</v>
      </c>
      <c r="T320" s="29" t="s">
        <v>1769</v>
      </c>
      <c r="U320" s="29" t="b">
        <f>ISNUMBER(SEARCH(",",E320))</f>
        <v>0</v>
      </c>
    </row>
    <row r="321" spans="1:21" ht="30" x14ac:dyDescent="0.25">
      <c r="A321" s="29" t="str">
        <f>IF(ISBLANK(M321)=TRUE,"Pending","Done")</f>
        <v>Pending</v>
      </c>
      <c r="B321" s="29" t="s">
        <v>2049</v>
      </c>
      <c r="C321" s="29">
        <v>68</v>
      </c>
      <c r="D321" s="29" t="s">
        <v>1681</v>
      </c>
      <c r="E321" s="29" t="s">
        <v>1771</v>
      </c>
      <c r="F321" s="29" t="s">
        <v>70</v>
      </c>
      <c r="G321" s="29" t="s">
        <v>2225</v>
      </c>
      <c r="H321" s="29" t="s">
        <v>2225</v>
      </c>
      <c r="I321" s="29">
        <v>1</v>
      </c>
      <c r="J321" s="29" t="s">
        <v>1625</v>
      </c>
      <c r="K321" s="29"/>
      <c r="L321" s="29"/>
      <c r="M321" s="29"/>
      <c r="N321" s="29"/>
      <c r="O321" s="29"/>
      <c r="P321" s="29" t="str" cm="1">
        <f t="array" ref="P321">_xlfn.REGEXEXTRACT(B321,"(?&lt;=//)[^/]+")</f>
        <v>www.twistedfactory.com</v>
      </c>
      <c r="Q321" s="29" t="s">
        <v>695</v>
      </c>
      <c r="R321" s="29" t="s">
        <v>1769</v>
      </c>
      <c r="S321" s="29" t="str" cm="1">
        <f t="array" ref="S321">IF(R321&lt;&gt;"NotApplicable",_xlfn.REGEXEXTRACT(R321,"\d+(?=p)"),"NotApplicable")</f>
        <v>NotApplicable</v>
      </c>
      <c r="T321" s="29" t="s">
        <v>1769</v>
      </c>
      <c r="U321" s="29" t="b">
        <f>ISNUMBER(SEARCH(",",E321))</f>
        <v>0</v>
      </c>
    </row>
    <row r="322" spans="1:21" ht="30" x14ac:dyDescent="0.25">
      <c r="A322" s="29" t="str">
        <f>IF(ISBLANK(M322)=TRUE,"Pending","Done")</f>
        <v>Pending</v>
      </c>
      <c r="B322" s="29" t="s">
        <v>2446</v>
      </c>
      <c r="C322" s="29">
        <v>47</v>
      </c>
      <c r="D322" s="29" t="s">
        <v>860</v>
      </c>
      <c r="E322" s="29" t="s">
        <v>143</v>
      </c>
      <c r="F322" s="29" t="s">
        <v>70</v>
      </c>
      <c r="G322" s="29" t="s">
        <v>2445</v>
      </c>
      <c r="H322" s="29" t="s">
        <v>2447</v>
      </c>
      <c r="I322" s="29" t="s">
        <v>1769</v>
      </c>
      <c r="J322" s="29" t="s">
        <v>1769</v>
      </c>
      <c r="K322" s="29" t="s">
        <v>551</v>
      </c>
      <c r="L322" s="29" t="s">
        <v>398</v>
      </c>
      <c r="M322" s="29"/>
      <c r="N322" s="29"/>
      <c r="O322" s="29" t="s">
        <v>831</v>
      </c>
      <c r="P322" s="29" t="str" cm="1">
        <f t="array" ref="P322">_xlfn.REGEXEXTRACT(B322,"(?&lt;=//)[^/]+")</f>
        <v>bdsmstreak.com</v>
      </c>
      <c r="Q322" s="29" t="s">
        <v>695</v>
      </c>
      <c r="R322" s="29" t="s">
        <v>1769</v>
      </c>
      <c r="S322" s="29" t="str" cm="1">
        <f t="array" ref="S322">IF(R322&lt;&gt;"NotApplicable",_xlfn.REGEXEXTRACT(R322,"\d+(?=p)"),"NotApplicable")</f>
        <v>NotApplicable</v>
      </c>
      <c r="T322" s="29" t="s">
        <v>1769</v>
      </c>
      <c r="U322" s="29" t="b">
        <f>ISNUMBER(SEARCH(",",E322))</f>
        <v>0</v>
      </c>
    </row>
    <row r="323" spans="1:21" ht="30" x14ac:dyDescent="0.25">
      <c r="A323" s="29" t="str">
        <f>IF(ISBLANK(M323)=TRUE,"Pending","Done")</f>
        <v>Pending</v>
      </c>
      <c r="B323" s="29" t="s">
        <v>2073</v>
      </c>
      <c r="C323" s="29">
        <v>84</v>
      </c>
      <c r="D323" s="29" t="s">
        <v>864</v>
      </c>
      <c r="E323" s="29" t="s">
        <v>2074</v>
      </c>
      <c r="F323" s="29" t="s">
        <v>70</v>
      </c>
      <c r="G323" s="29" t="s">
        <v>2234</v>
      </c>
      <c r="H323" s="29" t="s">
        <v>2234</v>
      </c>
      <c r="I323" s="29">
        <v>0</v>
      </c>
      <c r="J323" s="29" t="s">
        <v>1696</v>
      </c>
      <c r="K323" s="29"/>
      <c r="L323" s="29"/>
      <c r="M323" s="29"/>
      <c r="N323" s="29"/>
      <c r="O323" s="29"/>
      <c r="P323" s="29" t="str" cm="1">
        <f t="array" ref="P323">_xlfn.REGEXEXTRACT(B323,"(?&lt;=//)[^/]+")</f>
        <v>www.kink.com</v>
      </c>
      <c r="Q323" s="29" t="s">
        <v>695</v>
      </c>
      <c r="R323" s="29" t="s">
        <v>1769</v>
      </c>
      <c r="S323" s="29" t="str" cm="1">
        <f t="array" ref="S323">IF(R323&lt;&gt;"NotApplicable",_xlfn.REGEXEXTRACT(R323,"\d+(?=p)"),"NotApplicable")</f>
        <v>NotApplicable</v>
      </c>
      <c r="T323" s="29" t="s">
        <v>1769</v>
      </c>
      <c r="U323" s="29" t="b">
        <f>ISNUMBER(SEARCH(",",E323))</f>
        <v>1</v>
      </c>
    </row>
    <row r="324" spans="1:21" ht="30" x14ac:dyDescent="0.25">
      <c r="A324" s="29" t="str">
        <f>IF(ISBLANK(M324)=TRUE,"Pending","Done")</f>
        <v>Pending</v>
      </c>
      <c r="B324" s="29" t="s">
        <v>2082</v>
      </c>
      <c r="C324" s="29">
        <v>56</v>
      </c>
      <c r="D324" s="29" t="s">
        <v>1681</v>
      </c>
      <c r="E324" s="29" t="s">
        <v>2083</v>
      </c>
      <c r="F324" s="29" t="s">
        <v>70</v>
      </c>
      <c r="G324" s="29" t="s">
        <v>2216</v>
      </c>
      <c r="H324" s="29" t="s">
        <v>2216</v>
      </c>
      <c r="I324" s="29">
        <v>0</v>
      </c>
      <c r="J324" s="29" t="s">
        <v>1156</v>
      </c>
      <c r="K324" s="29"/>
      <c r="L324" s="29"/>
      <c r="M324" s="29"/>
      <c r="N324" s="29"/>
      <c r="O324" s="29"/>
      <c r="P324" s="29" t="str" cm="1">
        <f t="array" ref="P324">_xlfn.REGEXEXTRACT(B324,"(?&lt;=//)[^/]+")</f>
        <v>www.twistedfactory.com</v>
      </c>
      <c r="Q324" s="29" t="s">
        <v>695</v>
      </c>
      <c r="R324" s="29" t="s">
        <v>1769</v>
      </c>
      <c r="S324" s="29" t="str" cm="1">
        <f t="array" ref="S324">IF(R324&lt;&gt;"NotApplicable",_xlfn.REGEXEXTRACT(R324,"\d+(?=p)"),"NotApplicable")</f>
        <v>NotApplicable</v>
      </c>
      <c r="T324" s="29" t="s">
        <v>1769</v>
      </c>
      <c r="U324" s="29" t="b">
        <f>ISNUMBER(SEARCH(",",E324))</f>
        <v>0</v>
      </c>
    </row>
    <row r="325" spans="1:21" ht="30" x14ac:dyDescent="0.25">
      <c r="A325" s="29" t="str">
        <f>IF(ISBLANK(M325)=TRUE,"Pending","Done")</f>
        <v>Pending</v>
      </c>
      <c r="B325" s="29" t="s">
        <v>2127</v>
      </c>
      <c r="C325" s="29">
        <v>63</v>
      </c>
      <c r="D325" s="29" t="s">
        <v>1681</v>
      </c>
      <c r="E325" s="29" t="s">
        <v>2128</v>
      </c>
      <c r="F325" s="29" t="s">
        <v>70</v>
      </c>
      <c r="G325" s="29" t="s">
        <v>2221</v>
      </c>
      <c r="H325" s="29" t="s">
        <v>2221</v>
      </c>
      <c r="I325" s="29">
        <v>2</v>
      </c>
      <c r="J325" s="29" t="s">
        <v>2129</v>
      </c>
      <c r="K325" s="29"/>
      <c r="L325" s="29"/>
      <c r="M325" s="29"/>
      <c r="N325" s="29"/>
      <c r="O325" s="29"/>
      <c r="P325" s="29" t="str" cm="1">
        <f t="array" ref="P325">_xlfn.REGEXEXTRACT(B325,"(?&lt;=//)[^/]+")</f>
        <v>www.twistedfactory.com</v>
      </c>
      <c r="Q325" s="29" t="s">
        <v>695</v>
      </c>
      <c r="R325" s="29" t="s">
        <v>1769</v>
      </c>
      <c r="S325" s="29" t="str" cm="1">
        <f t="array" ref="S325">IF(R325&lt;&gt;"NotApplicable",_xlfn.REGEXEXTRACT(R325,"\d+(?=p)"),"NotApplicable")</f>
        <v>NotApplicable</v>
      </c>
      <c r="T325" s="29" t="s">
        <v>1769</v>
      </c>
      <c r="U325" s="29" t="b">
        <f>ISNUMBER(SEARCH(",",E325))</f>
        <v>0</v>
      </c>
    </row>
    <row r="326" spans="1:21" ht="45" x14ac:dyDescent="0.25">
      <c r="A326" s="29" t="str">
        <f>IF(ISBLANK(M326)=TRUE,"Pending","Done")</f>
        <v>Pending</v>
      </c>
      <c r="B326" s="29" t="s">
        <v>1645</v>
      </c>
      <c r="C326" s="29">
        <v>47</v>
      </c>
      <c r="D326" s="29" t="s">
        <v>2348</v>
      </c>
      <c r="E326" s="29" t="s">
        <v>1660</v>
      </c>
      <c r="F326" s="29" t="s">
        <v>70</v>
      </c>
      <c r="G326" s="29" t="s">
        <v>2332</v>
      </c>
      <c r="H326" s="29"/>
      <c r="I326" s="29" t="s">
        <v>1769</v>
      </c>
      <c r="J326" s="29" t="s">
        <v>1769</v>
      </c>
      <c r="K326" s="29"/>
      <c r="L326" s="29"/>
      <c r="M326" s="29"/>
      <c r="N326" s="29"/>
      <c r="O326" s="29" t="s">
        <v>1667</v>
      </c>
      <c r="P326" s="29" t="str" cm="1">
        <f t="array" ref="P326">_xlfn.REGEXEXTRACT(B326,"(?&lt;=//)[^/]+")</f>
        <v>x-x-x.tube</v>
      </c>
      <c r="Q326" s="29" t="s">
        <v>695</v>
      </c>
      <c r="R326" s="29" t="s">
        <v>1769</v>
      </c>
      <c r="S326" s="29" t="str" cm="1">
        <f t="array" ref="S326">IF(R326&lt;&gt;"NotApplicable",_xlfn.REGEXEXTRACT(R326,"\d+(?=p)"),"NotApplicable")</f>
        <v>NotApplicable</v>
      </c>
      <c r="T326" s="29" t="s">
        <v>1769</v>
      </c>
      <c r="U326" s="29" t="b">
        <f>ISNUMBER(SEARCH(",",E326))</f>
        <v>0</v>
      </c>
    </row>
    <row r="327" spans="1:21" ht="30" x14ac:dyDescent="0.25">
      <c r="A327" s="29" t="str">
        <f>IF(ISBLANK(M327)=TRUE,"Pending","Done")</f>
        <v>Pending</v>
      </c>
      <c r="B327" s="29" t="s">
        <v>2119</v>
      </c>
      <c r="C327" s="29">
        <v>19</v>
      </c>
      <c r="D327" s="29" t="s">
        <v>2355</v>
      </c>
      <c r="E327" s="29" t="s">
        <v>2120</v>
      </c>
      <c r="F327" s="29" t="s">
        <v>70</v>
      </c>
      <c r="G327" s="29" t="s">
        <v>1428</v>
      </c>
      <c r="H327" s="29"/>
      <c r="I327" s="29">
        <v>0</v>
      </c>
      <c r="J327" s="29" t="s">
        <v>1156</v>
      </c>
      <c r="K327" s="29"/>
      <c r="L327" s="29"/>
      <c r="M327" s="29"/>
      <c r="N327" s="29"/>
      <c r="O327" s="29"/>
      <c r="P327" s="29" t="str" cm="1">
        <f t="array" ref="P327">_xlfn.REGEXEXTRACT(B327,"(?&lt;=//)[^/]+")</f>
        <v>bdsmstreak.com</v>
      </c>
      <c r="Q327" s="29" t="s">
        <v>695</v>
      </c>
      <c r="R327" s="29" t="s">
        <v>1769</v>
      </c>
      <c r="S327" s="29" t="str" cm="1">
        <f t="array" ref="S327">IF(R327&lt;&gt;"NotApplicable",_xlfn.REGEXEXTRACT(R327,"\d+(?=p)"),"NotApplicable")</f>
        <v>NotApplicable</v>
      </c>
      <c r="T327" s="29" t="s">
        <v>1769</v>
      </c>
      <c r="U327" s="29" t="b">
        <f>ISNUMBER(SEARCH(",",E327))</f>
        <v>0</v>
      </c>
    </row>
    <row r="328" spans="1:21" ht="90" x14ac:dyDescent="0.25">
      <c r="A328" s="29" t="str">
        <f>IF(ISBLANK(M328)=TRUE,"Pending","Done")</f>
        <v>Pending</v>
      </c>
      <c r="B328" s="29" t="s">
        <v>2055</v>
      </c>
      <c r="C328" s="29">
        <v>20</v>
      </c>
      <c r="D328" s="29" t="s">
        <v>864</v>
      </c>
      <c r="E328" s="29" t="s">
        <v>234</v>
      </c>
      <c r="F328" s="29" t="s">
        <v>70</v>
      </c>
      <c r="G328" s="29"/>
      <c r="H328" s="29"/>
      <c r="I328" s="29">
        <v>8</v>
      </c>
      <c r="J328" s="29" t="s">
        <v>2056</v>
      </c>
      <c r="K328" s="29"/>
      <c r="L328" s="29"/>
      <c r="M328" s="29"/>
      <c r="N328" s="29"/>
      <c r="O328" s="29"/>
      <c r="P328" s="29" t="str" cm="1">
        <f t="array" ref="P328">_xlfn.REGEXEXTRACT(B328,"(?&lt;=//)[^/]+")</f>
        <v>bdsmstreak.com</v>
      </c>
      <c r="Q328" s="29" t="s">
        <v>695</v>
      </c>
      <c r="R328" s="29" t="s">
        <v>1769</v>
      </c>
      <c r="S328" s="29" t="str" cm="1">
        <f t="array" ref="S328">IF(R328&lt;&gt;"NotApplicable",_xlfn.REGEXEXTRACT(R328,"\d+(?=p)"),"NotApplicable")</f>
        <v>NotApplicable</v>
      </c>
      <c r="T328" s="29" t="s">
        <v>1769</v>
      </c>
      <c r="U328" s="29" t="b">
        <f>ISNUMBER(SEARCH(",",E328))</f>
        <v>0</v>
      </c>
    </row>
    <row r="329" spans="1:21" ht="45" x14ac:dyDescent="0.25">
      <c r="A329" s="29" t="str">
        <f>IF(ISBLANK(M329)=TRUE,"Pending","Done")</f>
        <v>Pending</v>
      </c>
      <c r="B329" s="29" t="s">
        <v>1938</v>
      </c>
      <c r="C329" s="29">
        <v>20</v>
      </c>
      <c r="D329" s="29" t="s">
        <v>864</v>
      </c>
      <c r="E329" s="29" t="s">
        <v>1939</v>
      </c>
      <c r="F329" s="29" t="s">
        <v>70</v>
      </c>
      <c r="G329" s="29"/>
      <c r="H329" s="29"/>
      <c r="I329" s="29">
        <v>0</v>
      </c>
      <c r="J329" s="29" t="s">
        <v>1156</v>
      </c>
      <c r="K329" s="29"/>
      <c r="L329" s="29"/>
      <c r="M329" s="29"/>
      <c r="N329" s="29"/>
      <c r="O329" s="29"/>
      <c r="P329" s="29" t="str" cm="1">
        <f t="array" ref="P329">_xlfn.REGEXEXTRACT(B329,"(?&lt;=//)[^/]+")</f>
        <v>hcbdsm.com</v>
      </c>
      <c r="Q329" s="29" t="s">
        <v>695</v>
      </c>
      <c r="R329" s="29" t="s">
        <v>1769</v>
      </c>
      <c r="S329" s="29" t="str" cm="1">
        <f t="array" ref="S329">IF(R329&lt;&gt;"NotApplicable",_xlfn.REGEXEXTRACT(R329,"\d+(?=p)"),"NotApplicable")</f>
        <v>NotApplicable</v>
      </c>
      <c r="T329" s="29" t="s">
        <v>1769</v>
      </c>
      <c r="U329" s="29" t="b">
        <f>ISNUMBER(SEARCH(",",E329))</f>
        <v>0</v>
      </c>
    </row>
    <row r="330" spans="1:21" ht="30" x14ac:dyDescent="0.25">
      <c r="A330" s="29" t="str">
        <f>IF(ISBLANK(M330)=TRUE,"Pending","Done")</f>
        <v>Pending</v>
      </c>
      <c r="B330" s="29" t="s">
        <v>1988</v>
      </c>
      <c r="C330" s="29">
        <v>20</v>
      </c>
      <c r="D330" s="29" t="s">
        <v>868</v>
      </c>
      <c r="E330" s="29" t="s">
        <v>1989</v>
      </c>
      <c r="F330" s="29" t="s">
        <v>70</v>
      </c>
      <c r="G330" s="29"/>
      <c r="H330" s="29"/>
      <c r="I330" s="29">
        <v>0</v>
      </c>
      <c r="J330" s="29" t="s">
        <v>1156</v>
      </c>
      <c r="K330" s="29"/>
      <c r="L330" s="29"/>
      <c r="M330" s="29"/>
      <c r="N330" s="29"/>
      <c r="O330" s="29"/>
      <c r="P330" s="29" t="str" cm="1">
        <f t="array" ref="P330">_xlfn.REGEXEXTRACT(B330,"(?&lt;=//)[^/]+")</f>
        <v>hcbdsm.com</v>
      </c>
      <c r="Q330" s="29" t="s">
        <v>695</v>
      </c>
      <c r="R330" s="29" t="s">
        <v>1769</v>
      </c>
      <c r="S330" s="29" t="str" cm="1">
        <f t="array" ref="S330">IF(R330&lt;&gt;"NotApplicable",_xlfn.REGEXEXTRACT(R330,"\d+(?=p)"),"NotApplicable")</f>
        <v>NotApplicable</v>
      </c>
      <c r="T330" s="29" t="s">
        <v>1769</v>
      </c>
      <c r="U330" s="29" t="b">
        <f>ISNUMBER(SEARCH(",",E330))</f>
        <v>0</v>
      </c>
    </row>
    <row r="331" spans="1:21" ht="45" x14ac:dyDescent="0.25">
      <c r="A331" s="29" t="str">
        <f>IF(ISBLANK(M331)=TRUE,"Pending","Done")</f>
        <v>Pending</v>
      </c>
      <c r="B331" s="29" t="s">
        <v>2084</v>
      </c>
      <c r="C331" s="29">
        <v>21</v>
      </c>
      <c r="D331" s="29" t="s">
        <v>864</v>
      </c>
      <c r="E331" s="29" t="s">
        <v>2083</v>
      </c>
      <c r="F331" s="29" t="s">
        <v>70</v>
      </c>
      <c r="G331" s="29"/>
      <c r="H331" s="29"/>
      <c r="I331" s="29">
        <v>7</v>
      </c>
      <c r="J331" s="29" t="s">
        <v>2085</v>
      </c>
      <c r="K331" s="29"/>
      <c r="L331" s="29"/>
      <c r="M331" s="29"/>
      <c r="N331" s="29"/>
      <c r="O331" s="29"/>
      <c r="P331" s="29" t="str" cm="1">
        <f t="array" ref="P331">_xlfn.REGEXEXTRACT(B331,"(?&lt;=//)[^/]+")</f>
        <v>bdsmstreak.com</v>
      </c>
      <c r="Q331" s="29" t="s">
        <v>695</v>
      </c>
      <c r="R331" s="29" t="s">
        <v>1769</v>
      </c>
      <c r="S331" s="29" t="str" cm="1">
        <f t="array" ref="S331">IF(R331&lt;&gt;"NotApplicable",_xlfn.REGEXEXTRACT(R331,"\d+(?=p)"),"NotApplicable")</f>
        <v>NotApplicable</v>
      </c>
      <c r="T331" s="29" t="s">
        <v>1769</v>
      </c>
      <c r="U331" s="29" t="b">
        <f>ISNUMBER(SEARCH(",",E331))</f>
        <v>0</v>
      </c>
    </row>
    <row r="332" spans="1:21" ht="30" x14ac:dyDescent="0.25">
      <c r="A332" s="29" t="str">
        <f>IF(ISBLANK(M332)=TRUE,"Pending","Done")</f>
        <v>Pending</v>
      </c>
      <c r="B332" s="29" t="s">
        <v>2041</v>
      </c>
      <c r="C332" s="29">
        <v>23</v>
      </c>
      <c r="D332" s="29" t="s">
        <v>868</v>
      </c>
      <c r="E332" s="29" t="s">
        <v>2042</v>
      </c>
      <c r="F332" s="29" t="s">
        <v>70</v>
      </c>
      <c r="G332" s="29"/>
      <c r="H332" s="29"/>
      <c r="I332" s="29">
        <v>4</v>
      </c>
      <c r="J332" s="29" t="s">
        <v>2043</v>
      </c>
      <c r="K332" s="29"/>
      <c r="L332" s="29"/>
      <c r="M332" s="29"/>
      <c r="N332" s="29"/>
      <c r="O332" s="29"/>
      <c r="P332" s="29" t="str" cm="1">
        <f t="array" ref="P332">_xlfn.REGEXEXTRACT(B332,"(?&lt;=//)[^/]+")</f>
        <v>hcbdsm.com</v>
      </c>
      <c r="Q332" s="29" t="s">
        <v>695</v>
      </c>
      <c r="R332" s="29" t="s">
        <v>1769</v>
      </c>
      <c r="S332" s="29" t="str" cm="1">
        <f t="array" ref="S332">IF(R332&lt;&gt;"NotApplicable",_xlfn.REGEXEXTRACT(R332,"\d+(?=p)"),"NotApplicable")</f>
        <v>NotApplicable</v>
      </c>
      <c r="T332" s="29" t="s">
        <v>1769</v>
      </c>
      <c r="U332" s="29" t="b">
        <f>ISNUMBER(SEARCH(",",E332))</f>
        <v>0</v>
      </c>
    </row>
    <row r="333" spans="1:21" ht="30" x14ac:dyDescent="0.25">
      <c r="A333" s="29" t="str">
        <f>IF(ISBLANK(M333)=TRUE,"Pending","Done")</f>
        <v>Pending</v>
      </c>
      <c r="B333" s="29" t="s">
        <v>2122</v>
      </c>
      <c r="C333" s="29">
        <v>23</v>
      </c>
      <c r="D333" s="29" t="s">
        <v>2355</v>
      </c>
      <c r="E333" s="29" t="s">
        <v>2123</v>
      </c>
      <c r="F333" s="29" t="s">
        <v>70</v>
      </c>
      <c r="G333" s="29"/>
      <c r="H333" s="29"/>
      <c r="I333" s="29">
        <v>0</v>
      </c>
      <c r="J333" s="29" t="s">
        <v>2124</v>
      </c>
      <c r="K333" s="29"/>
      <c r="L333" s="29"/>
      <c r="M333" s="29"/>
      <c r="N333" s="29"/>
      <c r="O333" s="29"/>
      <c r="P333" s="29" t="str" cm="1">
        <f t="array" ref="P333">_xlfn.REGEXEXTRACT(B333,"(?&lt;=//)[^/]+")</f>
        <v>www.eporner.com</v>
      </c>
      <c r="Q333" s="29" t="s">
        <v>695</v>
      </c>
      <c r="R333" s="29" t="s">
        <v>1769</v>
      </c>
      <c r="S333" s="29" t="str" cm="1">
        <f t="array" ref="S333">IF(R333&lt;&gt;"NotApplicable",_xlfn.REGEXEXTRACT(R333,"\d+(?=p)"),"NotApplicable")</f>
        <v>NotApplicable</v>
      </c>
      <c r="T333" s="29" t="s">
        <v>1769</v>
      </c>
      <c r="U333" s="29" t="b">
        <f>ISNUMBER(SEARCH(",",E333))</f>
        <v>1</v>
      </c>
    </row>
    <row r="334" spans="1:21" ht="30" x14ac:dyDescent="0.25">
      <c r="A334" s="29" t="str">
        <f>IF(ISBLANK(M334)=TRUE,"Pending","Done")</f>
        <v>Pending</v>
      </c>
      <c r="B334" s="29" t="s">
        <v>1630</v>
      </c>
      <c r="C334" s="29">
        <v>25</v>
      </c>
      <c r="D334" s="29" t="s">
        <v>868</v>
      </c>
      <c r="E334" s="29" t="s">
        <v>234</v>
      </c>
      <c r="F334" s="29" t="s">
        <v>70</v>
      </c>
      <c r="G334" s="29"/>
      <c r="H334" s="29"/>
      <c r="I334" s="29" t="s">
        <v>1769</v>
      </c>
      <c r="J334" s="29" t="s">
        <v>1769</v>
      </c>
      <c r="K334" s="29"/>
      <c r="L334" s="29"/>
      <c r="M334" s="29"/>
      <c r="N334" s="29"/>
      <c r="O334" s="29" t="s">
        <v>1669</v>
      </c>
      <c r="P334" s="29" t="str" cm="1">
        <f t="array" ref="P334">_xlfn.REGEXEXTRACT(B334,"(?&lt;=//)[^/]+")</f>
        <v>bdsmstreak.com</v>
      </c>
      <c r="Q334" s="29" t="s">
        <v>695</v>
      </c>
      <c r="R334" s="29" t="s">
        <v>1769</v>
      </c>
      <c r="S334" s="29" t="str" cm="1">
        <f t="array" ref="S334">IF(R334&lt;&gt;"NotApplicable",_xlfn.REGEXEXTRACT(R334,"\d+(?=p)"),"NotApplicable")</f>
        <v>NotApplicable</v>
      </c>
      <c r="T334" s="29" t="s">
        <v>1769</v>
      </c>
      <c r="U334" s="29" t="b">
        <f>ISNUMBER(SEARCH(",",E334))</f>
        <v>0</v>
      </c>
    </row>
    <row r="335" spans="1:21" ht="30" x14ac:dyDescent="0.25">
      <c r="A335" s="29" t="str">
        <f>IF(ISBLANK(M335)=TRUE,"Pending","Done")</f>
        <v>Pending</v>
      </c>
      <c r="B335" s="29" t="s">
        <v>1561</v>
      </c>
      <c r="C335" s="29">
        <v>26</v>
      </c>
      <c r="D335" s="29" t="s">
        <v>864</v>
      </c>
      <c r="E335" s="29" t="s">
        <v>223</v>
      </c>
      <c r="F335" s="29" t="s">
        <v>70</v>
      </c>
      <c r="G335" s="29"/>
      <c r="H335" s="29"/>
      <c r="I335" s="29" t="s">
        <v>1769</v>
      </c>
      <c r="J335" s="29" t="s">
        <v>1769</v>
      </c>
      <c r="K335" s="29"/>
      <c r="L335" s="29"/>
      <c r="M335" s="29"/>
      <c r="N335" s="29"/>
      <c r="O335" s="29"/>
      <c r="P335" s="29" t="str" cm="1">
        <f t="array" ref="P335">_xlfn.REGEXEXTRACT(B335,"(?&lt;=//)[^/]+")</f>
        <v>bdsmstreak.com</v>
      </c>
      <c r="Q335" s="29" t="s">
        <v>695</v>
      </c>
      <c r="R335" s="29" t="s">
        <v>1769</v>
      </c>
      <c r="S335" s="29" t="str" cm="1">
        <f t="array" ref="S335">IF(R335&lt;&gt;"NotApplicable",_xlfn.REGEXEXTRACT(R335,"\d+(?=p)"),"NotApplicable")</f>
        <v>NotApplicable</v>
      </c>
      <c r="T335" s="29" t="s">
        <v>1769</v>
      </c>
      <c r="U335" s="29" t="b">
        <f>ISNUMBER(SEARCH(",",E335))</f>
        <v>0</v>
      </c>
    </row>
    <row r="336" spans="1:21" ht="30" x14ac:dyDescent="0.25">
      <c r="A336" s="29" t="str">
        <f>IF(ISBLANK(M336)=TRUE,"Pending","Done")</f>
        <v>Pending</v>
      </c>
      <c r="B336" s="29" t="s">
        <v>2117</v>
      </c>
      <c r="C336" s="29">
        <v>27</v>
      </c>
      <c r="D336" s="29" t="s">
        <v>2355</v>
      </c>
      <c r="E336" s="29" t="s">
        <v>2118</v>
      </c>
      <c r="F336" s="29" t="s">
        <v>70</v>
      </c>
      <c r="G336" s="29"/>
      <c r="H336" s="29"/>
      <c r="I336" s="29">
        <v>0</v>
      </c>
      <c r="J336" s="29" t="s">
        <v>1156</v>
      </c>
      <c r="K336" s="29"/>
      <c r="L336" s="29"/>
      <c r="M336" s="29"/>
      <c r="N336" s="29"/>
      <c r="O336" s="29"/>
      <c r="P336" s="29" t="str" cm="1">
        <f t="array" ref="P336">_xlfn.REGEXEXTRACT(B336,"(?&lt;=//)[^/]+")</f>
        <v>bdsmmansion.com</v>
      </c>
      <c r="Q336" s="29" t="s">
        <v>695</v>
      </c>
      <c r="R336" s="29" t="s">
        <v>1769</v>
      </c>
      <c r="S336" s="29" t="str" cm="1">
        <f t="array" ref="S336">IF(R336&lt;&gt;"NotApplicable",_xlfn.REGEXEXTRACT(R336,"\d+(?=p)"),"NotApplicable")</f>
        <v>NotApplicable</v>
      </c>
      <c r="T336" s="29" t="s">
        <v>1769</v>
      </c>
      <c r="U336" s="29" t="b">
        <f>ISNUMBER(SEARCH(",",E336))</f>
        <v>0</v>
      </c>
    </row>
    <row r="337" spans="1:21" ht="30" x14ac:dyDescent="0.25">
      <c r="A337" s="29" t="str">
        <f>IF(ISBLANK(M337)=TRUE,"Pending","Done")</f>
        <v>Pending</v>
      </c>
      <c r="B337" s="29" t="s">
        <v>1562</v>
      </c>
      <c r="C337" s="29">
        <v>29</v>
      </c>
      <c r="D337" s="29" t="s">
        <v>864</v>
      </c>
      <c r="E337" s="29" t="s">
        <v>223</v>
      </c>
      <c r="F337" s="29" t="s">
        <v>70</v>
      </c>
      <c r="G337" s="29"/>
      <c r="H337" s="29"/>
      <c r="I337" s="29" t="s">
        <v>1769</v>
      </c>
      <c r="J337" s="29" t="s">
        <v>1769</v>
      </c>
      <c r="K337" s="29"/>
      <c r="L337" s="29"/>
      <c r="M337" s="29"/>
      <c r="N337" s="29"/>
      <c r="O337" s="29" t="s">
        <v>1159</v>
      </c>
      <c r="P337" s="29" t="str" cm="1">
        <f t="array" ref="P337">_xlfn.REGEXEXTRACT(B337,"(?&lt;=//)[^/]+")</f>
        <v>bdsmstreak.com</v>
      </c>
      <c r="Q337" s="29" t="s">
        <v>695</v>
      </c>
      <c r="R337" s="29" t="s">
        <v>1769</v>
      </c>
      <c r="S337" s="29" t="str" cm="1">
        <f t="array" ref="S337">IF(R337&lt;&gt;"NotApplicable",_xlfn.REGEXEXTRACT(R337,"\d+(?=p)"),"NotApplicable")</f>
        <v>NotApplicable</v>
      </c>
      <c r="T337" s="29" t="s">
        <v>1769</v>
      </c>
      <c r="U337" s="29" t="b">
        <f>ISNUMBER(SEARCH(",",E337))</f>
        <v>0</v>
      </c>
    </row>
    <row r="338" spans="1:21" ht="30" x14ac:dyDescent="0.25">
      <c r="A338" s="29" t="str">
        <f>IF(ISBLANK(M338)=TRUE,"Pending","Done")</f>
        <v>Pending</v>
      </c>
      <c r="B338" s="29" t="s">
        <v>1563</v>
      </c>
      <c r="C338" s="29">
        <v>34</v>
      </c>
      <c r="D338" s="29" t="s">
        <v>1766</v>
      </c>
      <c r="E338" s="29" t="s">
        <v>1594</v>
      </c>
      <c r="F338" s="29" t="s">
        <v>70</v>
      </c>
      <c r="G338" s="29"/>
      <c r="H338" s="29"/>
      <c r="I338" s="29" t="s">
        <v>1769</v>
      </c>
      <c r="J338" s="29" t="s">
        <v>1769</v>
      </c>
      <c r="K338" s="29"/>
      <c r="L338" s="29"/>
      <c r="M338" s="29"/>
      <c r="N338" s="29"/>
      <c r="O338" s="29" t="s">
        <v>1622</v>
      </c>
      <c r="P338" s="29" t="str" cm="1">
        <f t="array" ref="P338">_xlfn.REGEXEXTRACT(B338,"(?&lt;=//)[^/]+")</f>
        <v>www.eporner.com</v>
      </c>
      <c r="Q338" s="29" t="s">
        <v>695</v>
      </c>
      <c r="R338" s="29" t="s">
        <v>1769</v>
      </c>
      <c r="S338" s="29" t="str" cm="1">
        <f t="array" ref="S338">IF(R338&lt;&gt;"NotApplicable",_xlfn.REGEXEXTRACT(R338,"\d+(?=p)"),"NotApplicable")</f>
        <v>NotApplicable</v>
      </c>
      <c r="T338" s="29" t="s">
        <v>1769</v>
      </c>
      <c r="U338" s="29" t="b">
        <f>ISNUMBER(SEARCH(",",E338))</f>
        <v>0</v>
      </c>
    </row>
    <row r="339" spans="1:21" ht="30" x14ac:dyDescent="0.25">
      <c r="A339" s="29" t="str">
        <f>IF(ISBLANK(M339)=TRUE,"Pending","Done")</f>
        <v>Pending</v>
      </c>
      <c r="B339" s="29" t="s">
        <v>1745</v>
      </c>
      <c r="C339" s="29">
        <v>36</v>
      </c>
      <c r="D339" s="29" t="s">
        <v>868</v>
      </c>
      <c r="E339" s="29" t="s">
        <v>1635</v>
      </c>
      <c r="F339" s="29" t="s">
        <v>70</v>
      </c>
      <c r="G339" s="29"/>
      <c r="H339" s="29"/>
      <c r="I339" s="29" t="s">
        <v>1769</v>
      </c>
      <c r="J339" s="29" t="s">
        <v>1769</v>
      </c>
      <c r="K339" s="29" t="s">
        <v>1696</v>
      </c>
      <c r="L339" s="29"/>
      <c r="M339" s="29"/>
      <c r="N339" s="29"/>
      <c r="O339" s="29" t="s">
        <v>1636</v>
      </c>
      <c r="P339" s="29" t="str" cm="1">
        <f t="array" ref="P339">_xlfn.REGEXEXTRACT(B339,"(?&lt;=//)[^/]+")</f>
        <v>bdsmstreak.com</v>
      </c>
      <c r="Q339" s="29" t="s">
        <v>695</v>
      </c>
      <c r="R339" s="29" t="s">
        <v>1769</v>
      </c>
      <c r="S339" s="29" t="str" cm="1">
        <f t="array" ref="S339">IF(R339&lt;&gt;"NotApplicable",_xlfn.REGEXEXTRACT(R339,"\d+(?=p)"),"NotApplicable")</f>
        <v>NotApplicable</v>
      </c>
      <c r="T339" s="29" t="s">
        <v>1769</v>
      </c>
      <c r="U339" s="29" t="b">
        <f>ISNUMBER(SEARCH(",",E339))</f>
        <v>1</v>
      </c>
    </row>
    <row r="340" spans="1:21" ht="30" x14ac:dyDescent="0.25">
      <c r="A340" s="29" t="str">
        <f>IF(ISBLANK(M340)=TRUE,"Pending","Done")</f>
        <v>Pending</v>
      </c>
      <c r="B340" s="29" t="s">
        <v>1959</v>
      </c>
      <c r="C340" s="29">
        <v>36</v>
      </c>
      <c r="D340" s="29" t="s">
        <v>868</v>
      </c>
      <c r="E340" s="29" t="s">
        <v>1346</v>
      </c>
      <c r="F340" s="29" t="s">
        <v>70</v>
      </c>
      <c r="G340" s="29"/>
      <c r="H340" s="29"/>
      <c r="I340" s="29">
        <v>2</v>
      </c>
      <c r="J340" s="29" t="s">
        <v>1960</v>
      </c>
      <c r="K340" s="29"/>
      <c r="L340" s="29"/>
      <c r="M340" s="29"/>
      <c r="N340" s="29"/>
      <c r="O340" s="29"/>
      <c r="P340" s="29" t="str" cm="1">
        <f t="array" ref="P340">_xlfn.REGEXEXTRACT(B340,"(?&lt;=//)[^/]+")</f>
        <v>bdsmstreak.com</v>
      </c>
      <c r="Q340" s="29" t="s">
        <v>695</v>
      </c>
      <c r="R340" s="29" t="s">
        <v>1769</v>
      </c>
      <c r="S340" s="29" t="str" cm="1">
        <f t="array" ref="S340">IF(R340&lt;&gt;"NotApplicable",_xlfn.REGEXEXTRACT(R340,"\d+(?=p)"),"NotApplicable")</f>
        <v>NotApplicable</v>
      </c>
      <c r="T340" s="29" t="s">
        <v>1769</v>
      </c>
      <c r="U340" s="29" t="b">
        <f>ISNUMBER(SEARCH(",",E340))</f>
        <v>0</v>
      </c>
    </row>
    <row r="341" spans="1:21" ht="30" x14ac:dyDescent="0.25">
      <c r="A341" s="29" t="str">
        <f>IF(ISBLANK(M341)=TRUE,"Pending","Done")</f>
        <v>Pending</v>
      </c>
      <c r="B341" s="29" t="s">
        <v>1458</v>
      </c>
      <c r="C341" s="29">
        <v>37</v>
      </c>
      <c r="D341" s="29" t="s">
        <v>868</v>
      </c>
      <c r="E341" s="29" t="s">
        <v>1457</v>
      </c>
      <c r="F341" s="29" t="s">
        <v>70</v>
      </c>
      <c r="G341" s="29"/>
      <c r="H341" s="29"/>
      <c r="I341" s="29" t="s">
        <v>1769</v>
      </c>
      <c r="J341" s="29" t="s">
        <v>1769</v>
      </c>
      <c r="K341" s="29"/>
      <c r="L341" s="29"/>
      <c r="M341" s="29"/>
      <c r="N341" s="29"/>
      <c r="O341" s="29" t="s">
        <v>1461</v>
      </c>
      <c r="P341" s="29" t="str" cm="1">
        <f t="array" ref="P341">_xlfn.REGEXEXTRACT(B341,"(?&lt;=//)[^/]+")</f>
        <v>bdsmstreak.com</v>
      </c>
      <c r="Q341" s="29" t="s">
        <v>695</v>
      </c>
      <c r="R341" s="29" t="s">
        <v>1769</v>
      </c>
      <c r="S341" s="29" t="str" cm="1">
        <f t="array" ref="S341">IF(R341&lt;&gt;"NotApplicable",_xlfn.REGEXEXTRACT(R341,"\d+(?=p)"),"NotApplicable")</f>
        <v>NotApplicable</v>
      </c>
      <c r="T341" s="29" t="s">
        <v>1769</v>
      </c>
      <c r="U341" s="29" t="b">
        <f>ISNUMBER(SEARCH(",",E341))</f>
        <v>0</v>
      </c>
    </row>
    <row r="342" spans="1:21" ht="30" x14ac:dyDescent="0.25">
      <c r="A342" s="29" t="str">
        <f>IF(ISBLANK(M342)=TRUE,"Pending","Done")</f>
        <v>Pending</v>
      </c>
      <c r="B342" s="29" t="s">
        <v>1922</v>
      </c>
      <c r="C342" s="29">
        <v>37</v>
      </c>
      <c r="D342" s="29" t="s">
        <v>860</v>
      </c>
      <c r="E342" s="29" t="s">
        <v>1923</v>
      </c>
      <c r="F342" s="29" t="s">
        <v>70</v>
      </c>
      <c r="G342" s="29"/>
      <c r="H342" s="29"/>
      <c r="I342" s="29">
        <v>0</v>
      </c>
      <c r="J342" s="29" t="s">
        <v>1156</v>
      </c>
      <c r="K342" s="29"/>
      <c r="L342" s="29"/>
      <c r="M342" s="29"/>
      <c r="N342" s="29"/>
      <c r="O342" s="29"/>
      <c r="P342" s="29" t="str" cm="1">
        <f t="array" ref="P342">_xlfn.REGEXEXTRACT(B342,"(?&lt;=//)[^/]+")</f>
        <v>bdsmstreak.com</v>
      </c>
      <c r="Q342" s="29" t="s">
        <v>695</v>
      </c>
      <c r="R342" s="29" t="s">
        <v>1769</v>
      </c>
      <c r="S342" s="29" t="str" cm="1">
        <f t="array" ref="S342">IF(R342&lt;&gt;"NotApplicable",_xlfn.REGEXEXTRACT(R342,"\d+(?=p)"),"NotApplicable")</f>
        <v>NotApplicable</v>
      </c>
      <c r="T342" s="29" t="s">
        <v>1769</v>
      </c>
      <c r="U342" s="29" t="b">
        <f>ISNUMBER(SEARCH(",",E342))</f>
        <v>0</v>
      </c>
    </row>
    <row r="343" spans="1:21" ht="30" x14ac:dyDescent="0.25">
      <c r="A343" s="29" t="str">
        <f>IF(ISBLANK(M343)=TRUE,"Pending","Done")</f>
        <v>Pending</v>
      </c>
      <c r="B343" s="29" t="s">
        <v>1975</v>
      </c>
      <c r="C343" s="29">
        <v>38</v>
      </c>
      <c r="D343" s="29" t="s">
        <v>1792</v>
      </c>
      <c r="E343" s="29" t="s">
        <v>1976</v>
      </c>
      <c r="F343" s="29" t="s">
        <v>70</v>
      </c>
      <c r="G343" s="29"/>
      <c r="H343" s="29"/>
      <c r="I343" s="29">
        <v>0</v>
      </c>
      <c r="J343" s="29" t="s">
        <v>1156</v>
      </c>
      <c r="K343" s="29"/>
      <c r="L343" s="29"/>
      <c r="M343" s="29"/>
      <c r="N343" s="29"/>
      <c r="O343" s="29"/>
      <c r="P343" s="29" t="str" cm="1">
        <f t="array" ref="P343">_xlfn.REGEXEXTRACT(B343,"(?&lt;=//)[^/]+")</f>
        <v>bdsmstreak.com</v>
      </c>
      <c r="Q343" s="29" t="s">
        <v>695</v>
      </c>
      <c r="R343" s="29" t="s">
        <v>1769</v>
      </c>
      <c r="S343" s="29" t="str" cm="1">
        <f t="array" ref="S343">IF(R343&lt;&gt;"NotApplicable",_xlfn.REGEXEXTRACT(R343,"\d+(?=p)"),"NotApplicable")</f>
        <v>NotApplicable</v>
      </c>
      <c r="T343" s="29" t="s">
        <v>1769</v>
      </c>
      <c r="U343" s="29" t="b">
        <f>ISNUMBER(SEARCH(",",E343))</f>
        <v>0</v>
      </c>
    </row>
    <row r="344" spans="1:21" ht="30" x14ac:dyDescent="0.25">
      <c r="A344" s="29" t="str">
        <f>IF(ISBLANK(M344)=TRUE,"Pending","Done")</f>
        <v>Pending</v>
      </c>
      <c r="B344" s="29" t="s">
        <v>1855</v>
      </c>
      <c r="C344" s="29">
        <v>39</v>
      </c>
      <c r="D344" s="29" t="s">
        <v>864</v>
      </c>
      <c r="E344" s="29" t="s">
        <v>747</v>
      </c>
      <c r="F344" s="29" t="s">
        <v>70</v>
      </c>
      <c r="G344" s="29"/>
      <c r="H344" s="29"/>
      <c r="I344" s="29">
        <v>0</v>
      </c>
      <c r="J344" s="29" t="s">
        <v>1156</v>
      </c>
      <c r="K344" s="29"/>
      <c r="L344" s="29"/>
      <c r="M344" s="29"/>
      <c r="N344" s="29"/>
      <c r="O344" s="29"/>
      <c r="P344" s="29" t="str" cm="1">
        <f t="array" ref="P344">_xlfn.REGEXEXTRACT(B344,"(?&lt;=//)[^/]+")</f>
        <v>hcbdsm.com</v>
      </c>
      <c r="Q344" s="29" t="s">
        <v>695</v>
      </c>
      <c r="R344" s="29" t="s">
        <v>1769</v>
      </c>
      <c r="S344" s="29" t="str" cm="1">
        <f t="array" ref="S344">IF(R344&lt;&gt;"NotApplicable",_xlfn.REGEXEXTRACT(R344,"\d+(?=p)"),"NotApplicable")</f>
        <v>NotApplicable</v>
      </c>
      <c r="T344" s="29" t="s">
        <v>1769</v>
      </c>
      <c r="U344" s="29" t="b">
        <f>ISNUMBER(SEARCH(",",E344))</f>
        <v>0</v>
      </c>
    </row>
    <row r="345" spans="1:21" ht="30" x14ac:dyDescent="0.25">
      <c r="A345" s="29" t="str">
        <f>IF(ISBLANK(M345)=TRUE,"Pending","Done")</f>
        <v>Pending</v>
      </c>
      <c r="B345" s="29" t="s">
        <v>2115</v>
      </c>
      <c r="C345" s="29">
        <v>40</v>
      </c>
      <c r="D345" s="29" t="s">
        <v>2348</v>
      </c>
      <c r="E345" s="29" t="s">
        <v>2116</v>
      </c>
      <c r="F345" s="29" t="s">
        <v>70</v>
      </c>
      <c r="G345" s="29"/>
      <c r="H345" s="29"/>
      <c r="I345" s="29">
        <v>0</v>
      </c>
      <c r="J345" s="29" t="s">
        <v>1696</v>
      </c>
      <c r="K345" s="29"/>
      <c r="L345" s="29"/>
      <c r="M345" s="29"/>
      <c r="N345" s="29"/>
      <c r="O345" s="29"/>
      <c r="P345" s="29" t="str" cm="1">
        <f t="array" ref="P345">_xlfn.REGEXEXTRACT(B345,"(?&lt;=//)[^/]+")</f>
        <v>bdsmstreak.com</v>
      </c>
      <c r="Q345" s="29" t="s">
        <v>695</v>
      </c>
      <c r="R345" s="29" t="s">
        <v>1769</v>
      </c>
      <c r="S345" s="29" t="str" cm="1">
        <f t="array" ref="S345">IF(R345&lt;&gt;"NotApplicable",_xlfn.REGEXEXTRACT(R345,"\d+(?=p)"),"NotApplicable")</f>
        <v>NotApplicable</v>
      </c>
      <c r="T345" s="29" t="s">
        <v>1769</v>
      </c>
      <c r="U345" s="29" t="b">
        <f>ISNUMBER(SEARCH(",",E345))</f>
        <v>1</v>
      </c>
    </row>
    <row r="346" spans="1:21" ht="30" x14ac:dyDescent="0.25">
      <c r="A346" s="29" t="str">
        <f>IF(ISBLANK(M346)=TRUE,"Pending","Done")</f>
        <v>Pending</v>
      </c>
      <c r="B346" s="29" t="s">
        <v>1451</v>
      </c>
      <c r="C346" s="29">
        <v>41</v>
      </c>
      <c r="D346" s="29" t="s">
        <v>97</v>
      </c>
      <c r="E346" s="29" t="s">
        <v>1452</v>
      </c>
      <c r="F346" s="29" t="s">
        <v>70</v>
      </c>
      <c r="G346" s="29"/>
      <c r="H346" s="29"/>
      <c r="I346" s="29" t="s">
        <v>1769</v>
      </c>
      <c r="J346" s="29" t="s">
        <v>1769</v>
      </c>
      <c r="K346" s="29"/>
      <c r="L346" s="29"/>
      <c r="M346" s="29"/>
      <c r="N346" s="29"/>
      <c r="O346" s="29"/>
      <c r="P346" s="29" t="str" cm="1">
        <f t="array" ref="P346">_xlfn.REGEXEXTRACT(B346,"(?&lt;=//)[^/]+")</f>
        <v>bdsmstreak.com</v>
      </c>
      <c r="Q346" s="29" t="s">
        <v>695</v>
      </c>
      <c r="R346" s="29" t="s">
        <v>1769</v>
      </c>
      <c r="S346" s="29" t="str" cm="1">
        <f t="array" ref="S346">IF(R346&lt;&gt;"NotApplicable",_xlfn.REGEXEXTRACT(R346,"\d+(?=p)"),"NotApplicable")</f>
        <v>NotApplicable</v>
      </c>
      <c r="T346" s="29" t="s">
        <v>1769</v>
      </c>
      <c r="U346" s="29" t="b">
        <f>ISNUMBER(SEARCH(",",E346))</f>
        <v>0</v>
      </c>
    </row>
    <row r="347" spans="1:21" ht="30" x14ac:dyDescent="0.25">
      <c r="A347" s="29" t="str">
        <f>IF(ISBLANK(M347)=TRUE,"Pending","Done")</f>
        <v>Pending</v>
      </c>
      <c r="B347" s="29" t="s">
        <v>1990</v>
      </c>
      <c r="C347" s="29">
        <v>41</v>
      </c>
      <c r="D347" s="29" t="s">
        <v>868</v>
      </c>
      <c r="E347" s="29" t="s">
        <v>1991</v>
      </c>
      <c r="F347" s="29" t="s">
        <v>70</v>
      </c>
      <c r="G347" s="29"/>
      <c r="H347" s="29"/>
      <c r="I347" s="29">
        <v>6</v>
      </c>
      <c r="J347" s="29" t="s">
        <v>1672</v>
      </c>
      <c r="K347" s="29"/>
      <c r="L347" s="29"/>
      <c r="M347" s="29"/>
      <c r="N347" s="29"/>
      <c r="O347" s="29"/>
      <c r="P347" s="29" t="str" cm="1">
        <f t="array" ref="P347">_xlfn.REGEXEXTRACT(B347,"(?&lt;=//)[^/]+")</f>
        <v>hcbdsm.com</v>
      </c>
      <c r="Q347" s="29" t="s">
        <v>695</v>
      </c>
      <c r="R347" s="29" t="s">
        <v>1769</v>
      </c>
      <c r="S347" s="29" t="str" cm="1">
        <f t="array" ref="S347">IF(R347&lt;&gt;"NotApplicable",_xlfn.REGEXEXTRACT(R347,"\d+(?=p)"),"NotApplicable")</f>
        <v>NotApplicable</v>
      </c>
      <c r="T347" s="29" t="s">
        <v>1769</v>
      </c>
      <c r="U347" s="29" t="b">
        <f>ISNUMBER(SEARCH(",",E347))</f>
        <v>0</v>
      </c>
    </row>
    <row r="348" spans="1:21" ht="45" x14ac:dyDescent="0.25">
      <c r="A348" s="29" t="str">
        <f>IF(ISBLANK(M348)=TRUE,"Pending","Done")</f>
        <v>Pending</v>
      </c>
      <c r="B348" s="29" t="s">
        <v>1888</v>
      </c>
      <c r="C348" s="29">
        <v>41</v>
      </c>
      <c r="D348" s="29" t="s">
        <v>868</v>
      </c>
      <c r="E348" s="29" t="s">
        <v>1889</v>
      </c>
      <c r="F348" s="29" t="s">
        <v>70</v>
      </c>
      <c r="G348" s="29"/>
      <c r="H348" s="29"/>
      <c r="I348" s="29">
        <v>3</v>
      </c>
      <c r="J348" s="29" t="s">
        <v>1672</v>
      </c>
      <c r="K348" s="29"/>
      <c r="L348" s="29"/>
      <c r="M348" s="29"/>
      <c r="N348" s="29"/>
      <c r="O348" s="29"/>
      <c r="P348" s="29" t="str" cm="1">
        <f t="array" ref="P348">_xlfn.REGEXEXTRACT(B348,"(?&lt;=//)[^/]+")</f>
        <v>bdsmstreak.com</v>
      </c>
      <c r="Q348" s="29" t="s">
        <v>695</v>
      </c>
      <c r="R348" s="29" t="s">
        <v>1769</v>
      </c>
      <c r="S348" s="29" t="str" cm="1">
        <f t="array" ref="S348">IF(R348&lt;&gt;"NotApplicable",_xlfn.REGEXEXTRACT(R348,"\d+(?=p)"),"NotApplicable")</f>
        <v>NotApplicable</v>
      </c>
      <c r="T348" s="29" t="s">
        <v>1769</v>
      </c>
      <c r="U348" s="29" t="b">
        <f>ISNUMBER(SEARCH(",",E348))</f>
        <v>1</v>
      </c>
    </row>
    <row r="349" spans="1:21" ht="30" x14ac:dyDescent="0.25">
      <c r="A349" s="29" t="str">
        <f>IF(ISBLANK(M349)=TRUE,"Pending","Done")</f>
        <v>Pending</v>
      </c>
      <c r="B349" s="29" t="s">
        <v>2110</v>
      </c>
      <c r="C349" s="29">
        <v>41</v>
      </c>
      <c r="D349" s="29" t="s">
        <v>2111</v>
      </c>
      <c r="E349" s="29" t="s">
        <v>2112</v>
      </c>
      <c r="F349" s="29" t="s">
        <v>70</v>
      </c>
      <c r="G349" s="29"/>
      <c r="H349" s="29"/>
      <c r="I349" s="29">
        <v>0</v>
      </c>
      <c r="J349" s="29" t="s">
        <v>1710</v>
      </c>
      <c r="K349" s="29"/>
      <c r="L349" s="29"/>
      <c r="M349" s="29"/>
      <c r="N349" s="29"/>
      <c r="O349" s="29"/>
      <c r="P349" s="29" t="str" cm="1">
        <f t="array" ref="P349">_xlfn.REGEXEXTRACT(B349,"(?&lt;=//)[^/]+")</f>
        <v>heavyfetish.com</v>
      </c>
      <c r="Q349" s="29" t="s">
        <v>695</v>
      </c>
      <c r="R349" s="29" t="s">
        <v>1769</v>
      </c>
      <c r="S349" s="29" t="str" cm="1">
        <f t="array" ref="S349">IF(R349&lt;&gt;"NotApplicable",_xlfn.REGEXEXTRACT(R349,"\d+(?=p)"),"NotApplicable")</f>
        <v>NotApplicable</v>
      </c>
      <c r="T349" s="29" t="s">
        <v>1769</v>
      </c>
      <c r="U349" s="29" t="b">
        <f>ISNUMBER(SEARCH(",",E349))</f>
        <v>1</v>
      </c>
    </row>
    <row r="350" spans="1:21" ht="45" x14ac:dyDescent="0.25">
      <c r="A350" s="29" t="str">
        <f>IF(ISBLANK(M350)=TRUE,"Pending","Done")</f>
        <v>Pending</v>
      </c>
      <c r="B350" s="29" t="s">
        <v>2130</v>
      </c>
      <c r="C350" s="29">
        <v>42</v>
      </c>
      <c r="D350" s="29" t="s">
        <v>868</v>
      </c>
      <c r="E350" s="29" t="s">
        <v>2131</v>
      </c>
      <c r="F350" s="29" t="s">
        <v>70</v>
      </c>
      <c r="G350" s="29"/>
      <c r="H350" s="29"/>
      <c r="I350" s="29">
        <v>6</v>
      </c>
      <c r="J350" s="29" t="s">
        <v>2132</v>
      </c>
      <c r="K350" s="29"/>
      <c r="L350" s="29"/>
      <c r="M350" s="29"/>
      <c r="N350" s="29"/>
      <c r="O350" s="29"/>
      <c r="P350" s="29" t="str" cm="1">
        <f t="array" ref="P350">_xlfn.REGEXEXTRACT(B350,"(?&lt;=//)[^/]+")</f>
        <v>bdsmstreak.com</v>
      </c>
      <c r="Q350" s="29" t="s">
        <v>695</v>
      </c>
      <c r="R350" s="29" t="s">
        <v>1769</v>
      </c>
      <c r="S350" s="29" t="str" cm="1">
        <f t="array" ref="S350">IF(R350&lt;&gt;"NotApplicable",_xlfn.REGEXEXTRACT(R350,"\d+(?=p)"),"NotApplicable")</f>
        <v>NotApplicable</v>
      </c>
      <c r="T350" s="29" t="s">
        <v>1769</v>
      </c>
      <c r="U350" s="29" t="b">
        <f>ISNUMBER(SEARCH(",",E350))</f>
        <v>0</v>
      </c>
    </row>
    <row r="351" spans="1:21" ht="45" x14ac:dyDescent="0.25">
      <c r="A351" s="29" t="str">
        <f>IF(ISBLANK(M351)=TRUE,"Pending","Done")</f>
        <v>Pending</v>
      </c>
      <c r="B351" s="29" t="s">
        <v>1459</v>
      </c>
      <c r="C351" s="29">
        <v>43</v>
      </c>
      <c r="D351" s="29" t="s">
        <v>868</v>
      </c>
      <c r="E351" s="29" t="s">
        <v>232</v>
      </c>
      <c r="F351" s="29" t="s">
        <v>70</v>
      </c>
      <c r="G351" s="29"/>
      <c r="H351" s="29"/>
      <c r="I351" s="29" t="s">
        <v>1769</v>
      </c>
      <c r="J351" s="29" t="s">
        <v>1769</v>
      </c>
      <c r="K351" s="29"/>
      <c r="L351" s="29"/>
      <c r="M351" s="29"/>
      <c r="N351" s="29"/>
      <c r="O351" s="29" t="s">
        <v>1462</v>
      </c>
      <c r="P351" s="29" t="str" cm="1">
        <f t="array" ref="P351">_xlfn.REGEXEXTRACT(B351,"(?&lt;=//)[^/]+")</f>
        <v>bdsmstreak.com</v>
      </c>
      <c r="Q351" s="29" t="s">
        <v>695</v>
      </c>
      <c r="R351" s="29" t="s">
        <v>1769</v>
      </c>
      <c r="S351" s="29" t="str" cm="1">
        <f t="array" ref="S351">IF(R351&lt;&gt;"NotApplicable",_xlfn.REGEXEXTRACT(R351,"\d+(?=p)"),"NotApplicable")</f>
        <v>NotApplicable</v>
      </c>
      <c r="T351" s="29" t="s">
        <v>1769</v>
      </c>
      <c r="U351" s="29" t="b">
        <f>ISNUMBER(SEARCH(",",E351))</f>
        <v>0</v>
      </c>
    </row>
    <row r="352" spans="1:21" ht="30" x14ac:dyDescent="0.25">
      <c r="A352" s="29" t="str">
        <f>IF(ISBLANK(M352)=TRUE,"Pending","Done")</f>
        <v>Pending</v>
      </c>
      <c r="B352" s="29" t="s">
        <v>1565</v>
      </c>
      <c r="C352" s="29">
        <v>43</v>
      </c>
      <c r="D352" s="29" t="s">
        <v>868</v>
      </c>
      <c r="E352" s="29" t="s">
        <v>1596</v>
      </c>
      <c r="F352" s="29" t="s">
        <v>70</v>
      </c>
      <c r="G352" s="29"/>
      <c r="H352" s="29"/>
      <c r="I352" s="29" t="s">
        <v>1769</v>
      </c>
      <c r="J352" s="29" t="s">
        <v>1769</v>
      </c>
      <c r="K352" s="29"/>
      <c r="L352" s="29"/>
      <c r="M352" s="29"/>
      <c r="N352" s="29"/>
      <c r="O352" s="29"/>
      <c r="P352" s="29" t="str" cm="1">
        <f t="array" ref="P352">_xlfn.REGEXEXTRACT(B352,"(?&lt;=//)[^/]+")</f>
        <v>bdsmstreak.com</v>
      </c>
      <c r="Q352" s="29" t="s">
        <v>695</v>
      </c>
      <c r="R352" s="29" t="s">
        <v>1769</v>
      </c>
      <c r="S352" s="29" t="str" cm="1">
        <f t="array" ref="S352">IF(R352&lt;&gt;"NotApplicable",_xlfn.REGEXEXTRACT(R352,"\d+(?=p)"),"NotApplicable")</f>
        <v>NotApplicable</v>
      </c>
      <c r="T352" s="29" t="s">
        <v>1769</v>
      </c>
      <c r="U352" s="29" t="b">
        <f>ISNUMBER(SEARCH(",",E352))</f>
        <v>0</v>
      </c>
    </row>
    <row r="353" spans="1:21" ht="30" x14ac:dyDescent="0.25">
      <c r="A353" s="29" t="str">
        <f>IF(ISBLANK(M353)=TRUE,"Pending","Done")</f>
        <v>Pending</v>
      </c>
      <c r="B353" s="29" t="s">
        <v>1809</v>
      </c>
      <c r="C353" s="29">
        <v>43</v>
      </c>
      <c r="D353" s="29" t="s">
        <v>864</v>
      </c>
      <c r="E353" s="29" t="s">
        <v>1259</v>
      </c>
      <c r="F353" s="29" t="s">
        <v>70</v>
      </c>
      <c r="G353" s="29"/>
      <c r="H353" s="29"/>
      <c r="I353" s="29">
        <v>7</v>
      </c>
      <c r="J353" s="29" t="s">
        <v>1810</v>
      </c>
      <c r="K353" s="29"/>
      <c r="L353" s="29"/>
      <c r="M353" s="29"/>
      <c r="N353" s="29"/>
      <c r="O353" s="29"/>
      <c r="P353" s="29" t="str" cm="1">
        <f t="array" ref="P353">_xlfn.REGEXEXTRACT(B353,"(?&lt;=//)[^/]+")</f>
        <v>bdsmstreak.com</v>
      </c>
      <c r="Q353" s="29" t="s">
        <v>695</v>
      </c>
      <c r="R353" s="29" t="s">
        <v>1769</v>
      </c>
      <c r="S353" s="29" t="str" cm="1">
        <f t="array" ref="S353">IF(R353&lt;&gt;"NotApplicable",_xlfn.REGEXEXTRACT(R353,"\d+(?=p)"),"NotApplicable")</f>
        <v>NotApplicable</v>
      </c>
      <c r="T353" s="29" t="s">
        <v>1769</v>
      </c>
      <c r="U353" s="29" t="b">
        <f>ISNUMBER(SEARCH(",",E353))</f>
        <v>0</v>
      </c>
    </row>
    <row r="354" spans="1:21" ht="30" x14ac:dyDescent="0.25">
      <c r="A354" s="29" t="str">
        <f>IF(ISBLANK(M354)=TRUE,"Pending","Done")</f>
        <v>Pending</v>
      </c>
      <c r="B354" s="29" t="s">
        <v>1930</v>
      </c>
      <c r="C354" s="29">
        <v>43</v>
      </c>
      <c r="D354" s="29" t="s">
        <v>868</v>
      </c>
      <c r="E354" s="29" t="s">
        <v>279</v>
      </c>
      <c r="F354" s="29" t="s">
        <v>70</v>
      </c>
      <c r="G354" s="29"/>
      <c r="H354" s="29"/>
      <c r="I354" s="29">
        <v>5</v>
      </c>
      <c r="J354" s="29" t="s">
        <v>1931</v>
      </c>
      <c r="K354" s="29"/>
      <c r="L354" s="29"/>
      <c r="M354" s="29"/>
      <c r="N354" s="29"/>
      <c r="O354" s="29"/>
      <c r="P354" s="29" t="str" cm="1">
        <f t="array" ref="P354">_xlfn.REGEXEXTRACT(B354,"(?&lt;=//)[^/]+")</f>
        <v>bdsmstreak.com</v>
      </c>
      <c r="Q354" s="29" t="s">
        <v>695</v>
      </c>
      <c r="R354" s="29" t="s">
        <v>1769</v>
      </c>
      <c r="S354" s="29" t="str" cm="1">
        <f t="array" ref="S354">IF(R354&lt;&gt;"NotApplicable",_xlfn.REGEXEXTRACT(R354,"\d+(?=p)"),"NotApplicable")</f>
        <v>NotApplicable</v>
      </c>
      <c r="T354" s="29" t="s">
        <v>1769</v>
      </c>
      <c r="U354" s="29" t="b">
        <f>ISNUMBER(SEARCH(",",E354))</f>
        <v>0</v>
      </c>
    </row>
    <row r="355" spans="1:21" ht="30" x14ac:dyDescent="0.25">
      <c r="A355" s="29" t="str">
        <f>IF(ISBLANK(M355)=TRUE,"Pending","Done")</f>
        <v>Pending</v>
      </c>
      <c r="B355" s="29" t="s">
        <v>1871</v>
      </c>
      <c r="C355" s="29">
        <v>44</v>
      </c>
      <c r="D355" s="29" t="s">
        <v>868</v>
      </c>
      <c r="E355" s="29" t="s">
        <v>1872</v>
      </c>
      <c r="F355" s="29" t="s">
        <v>70</v>
      </c>
      <c r="G355" s="29"/>
      <c r="H355" s="29"/>
      <c r="I355" s="29">
        <v>0</v>
      </c>
      <c r="J355" s="29" t="s">
        <v>1156</v>
      </c>
      <c r="K355" s="29"/>
      <c r="L355" s="29"/>
      <c r="M355" s="29"/>
      <c r="N355" s="29"/>
      <c r="O355" s="29"/>
      <c r="P355" s="29" t="str" cm="1">
        <f t="array" ref="P355">_xlfn.REGEXEXTRACT(B355,"(?&lt;=//)[^/]+")</f>
        <v>bdsmstreak.com</v>
      </c>
      <c r="Q355" s="29" t="s">
        <v>695</v>
      </c>
      <c r="R355" s="29" t="s">
        <v>1769</v>
      </c>
      <c r="S355" s="29" t="str" cm="1">
        <f t="array" ref="S355">IF(R355&lt;&gt;"NotApplicable",_xlfn.REGEXEXTRACT(R355,"\d+(?=p)"),"NotApplicable")</f>
        <v>NotApplicable</v>
      </c>
      <c r="T355" s="29" t="s">
        <v>1769</v>
      </c>
      <c r="U355" s="29" t="b">
        <f>ISNUMBER(SEARCH(",",E355))</f>
        <v>0</v>
      </c>
    </row>
    <row r="356" spans="1:21" ht="30" x14ac:dyDescent="0.25">
      <c r="A356" s="29" t="str">
        <f>IF(ISBLANK(M356)=TRUE,"Pending","Done")</f>
        <v>Pending</v>
      </c>
      <c r="B356" s="29" t="s">
        <v>2001</v>
      </c>
      <c r="C356" s="29">
        <v>44</v>
      </c>
      <c r="D356" s="29" t="s">
        <v>868</v>
      </c>
      <c r="E356" s="29" t="s">
        <v>2002</v>
      </c>
      <c r="F356" s="29" t="s">
        <v>70</v>
      </c>
      <c r="G356" s="29"/>
      <c r="H356" s="29"/>
      <c r="I356" s="29">
        <v>0</v>
      </c>
      <c r="J356" s="29" t="s">
        <v>1156</v>
      </c>
      <c r="K356" s="29"/>
      <c r="L356" s="29"/>
      <c r="M356" s="29"/>
      <c r="N356" s="29"/>
      <c r="O356" s="29"/>
      <c r="P356" s="29" t="str" cm="1">
        <f t="array" ref="P356">_xlfn.REGEXEXTRACT(B356,"(?&lt;=//)[^/]+")</f>
        <v>hcbdsm.com</v>
      </c>
      <c r="Q356" s="29" t="s">
        <v>695</v>
      </c>
      <c r="R356" s="29" t="s">
        <v>1769</v>
      </c>
      <c r="S356" s="29" t="str" cm="1">
        <f t="array" ref="S356">IF(R356&lt;&gt;"NotApplicable",_xlfn.REGEXEXTRACT(R356,"\d+(?=p)"),"NotApplicable")</f>
        <v>NotApplicable</v>
      </c>
      <c r="T356" s="29" t="s">
        <v>1769</v>
      </c>
      <c r="U356" s="29" t="b">
        <f>ISNUMBER(SEARCH(",",E356))</f>
        <v>0</v>
      </c>
    </row>
    <row r="357" spans="1:21" ht="30" x14ac:dyDescent="0.25">
      <c r="A357" s="29" t="str">
        <f>IF(ISBLANK(M357)=TRUE,"Pending","Done")</f>
        <v>Pending</v>
      </c>
      <c r="B357" s="29" t="s">
        <v>1566</v>
      </c>
      <c r="C357" s="29">
        <v>45</v>
      </c>
      <c r="D357" s="29" t="s">
        <v>868</v>
      </c>
      <c r="E357" s="29" t="s">
        <v>1592</v>
      </c>
      <c r="F357" s="29" t="s">
        <v>70</v>
      </c>
      <c r="G357" s="29"/>
      <c r="H357" s="29"/>
      <c r="I357" s="29" t="s">
        <v>1769</v>
      </c>
      <c r="J357" s="29" t="s">
        <v>1769</v>
      </c>
      <c r="K357" s="29"/>
      <c r="L357" s="29"/>
      <c r="M357" s="29"/>
      <c r="N357" s="29"/>
      <c r="O357" s="29" t="s">
        <v>1621</v>
      </c>
      <c r="P357" s="29" t="str" cm="1">
        <f t="array" ref="P357">_xlfn.REGEXEXTRACT(B357,"(?&lt;=//)[^/]+")</f>
        <v>hcbdsm.com</v>
      </c>
      <c r="Q357" s="29" t="s">
        <v>695</v>
      </c>
      <c r="R357" s="29" t="s">
        <v>1769</v>
      </c>
      <c r="S357" s="29" t="str" cm="1">
        <f t="array" ref="S357">IF(R357&lt;&gt;"NotApplicable",_xlfn.REGEXEXTRACT(R357,"\d+(?=p)"),"NotApplicable")</f>
        <v>NotApplicable</v>
      </c>
      <c r="T357" s="29" t="s">
        <v>1769</v>
      </c>
      <c r="U357" s="29" t="b">
        <f>ISNUMBER(SEARCH(",",E357))</f>
        <v>0</v>
      </c>
    </row>
    <row r="358" spans="1:21" ht="30" x14ac:dyDescent="0.25">
      <c r="A358" s="29" t="str">
        <f>IF(ISBLANK(M358)=TRUE,"Pending","Done")</f>
        <v>Pending</v>
      </c>
      <c r="B358" s="29" t="s">
        <v>1819</v>
      </c>
      <c r="C358" s="29">
        <v>45</v>
      </c>
      <c r="D358" s="29" t="s">
        <v>868</v>
      </c>
      <c r="E358" s="29" t="s">
        <v>1820</v>
      </c>
      <c r="F358" s="29" t="s">
        <v>70</v>
      </c>
      <c r="G358" s="29"/>
      <c r="H358" s="29"/>
      <c r="I358" s="29">
        <v>3</v>
      </c>
      <c r="J358" s="29" t="s">
        <v>1821</v>
      </c>
      <c r="K358" s="29"/>
      <c r="L358" s="29"/>
      <c r="M358" s="29"/>
      <c r="N358" s="29"/>
      <c r="O358" s="29"/>
      <c r="P358" s="29" t="str" cm="1">
        <f t="array" ref="P358">_xlfn.REGEXEXTRACT(B358,"(?&lt;=//)[^/]+")</f>
        <v>bdsmstreak.com</v>
      </c>
      <c r="Q358" s="29" t="s">
        <v>695</v>
      </c>
      <c r="R358" s="29" t="s">
        <v>1769</v>
      </c>
      <c r="S358" s="29" t="str" cm="1">
        <f t="array" ref="S358">IF(R358&lt;&gt;"NotApplicable",_xlfn.REGEXEXTRACT(R358,"\d+(?=p)"),"NotApplicable")</f>
        <v>NotApplicable</v>
      </c>
      <c r="T358" s="29" t="s">
        <v>1769</v>
      </c>
      <c r="U358" s="29" t="b">
        <f>ISNUMBER(SEARCH(",",E358))</f>
        <v>0</v>
      </c>
    </row>
    <row r="359" spans="1:21" ht="30" x14ac:dyDescent="0.25">
      <c r="A359" s="29" t="str">
        <f>IF(ISBLANK(M359)=TRUE,"Pending","Done")</f>
        <v>Pending</v>
      </c>
      <c r="B359" s="29" t="s">
        <v>2050</v>
      </c>
      <c r="C359" s="29">
        <v>45</v>
      </c>
      <c r="D359" s="29" t="s">
        <v>1590</v>
      </c>
      <c r="E359" s="29" t="s">
        <v>2051</v>
      </c>
      <c r="F359" s="29" t="s">
        <v>70</v>
      </c>
      <c r="G359" s="29"/>
      <c r="H359" s="29"/>
      <c r="I359" s="29">
        <v>3</v>
      </c>
      <c r="J359" s="29" t="s">
        <v>2052</v>
      </c>
      <c r="K359" s="29"/>
      <c r="L359" s="29"/>
      <c r="M359" s="29"/>
      <c r="N359" s="29"/>
      <c r="O359" s="29"/>
      <c r="P359" s="29" t="str" cm="1">
        <f t="array" ref="P359">_xlfn.REGEXEXTRACT(B359,"(?&lt;=//)[^/]+")</f>
        <v>hcbdsm.com</v>
      </c>
      <c r="Q359" s="29" t="s">
        <v>695</v>
      </c>
      <c r="R359" s="29" t="s">
        <v>1769</v>
      </c>
      <c r="S359" s="29" t="str" cm="1">
        <f t="array" ref="S359">IF(R359&lt;&gt;"NotApplicable",_xlfn.REGEXEXTRACT(R359,"\d+(?=p)"),"NotApplicable")</f>
        <v>NotApplicable</v>
      </c>
      <c r="T359" s="29" t="s">
        <v>1769</v>
      </c>
      <c r="U359" s="29" t="b">
        <f>ISNUMBER(SEARCH(",",E359))</f>
        <v>1</v>
      </c>
    </row>
    <row r="360" spans="1:21" ht="30" x14ac:dyDescent="0.25">
      <c r="A360" s="29" t="str">
        <f>IF(ISBLANK(M360)=TRUE,"Pending","Done")</f>
        <v>Pending</v>
      </c>
      <c r="B360" s="29" t="s">
        <v>1910</v>
      </c>
      <c r="C360" s="29">
        <v>45</v>
      </c>
      <c r="D360" s="29" t="s">
        <v>864</v>
      </c>
      <c r="E360" s="29" t="s">
        <v>1911</v>
      </c>
      <c r="F360" s="29" t="s">
        <v>70</v>
      </c>
      <c r="G360" s="29"/>
      <c r="H360" s="29"/>
      <c r="I360" s="29">
        <v>0</v>
      </c>
      <c r="J360" s="29" t="s">
        <v>1156</v>
      </c>
      <c r="K360" s="29"/>
      <c r="L360" s="29"/>
      <c r="M360" s="29"/>
      <c r="N360" s="29"/>
      <c r="O360" s="29"/>
      <c r="P360" s="29" t="str" cm="1">
        <f t="array" ref="P360">_xlfn.REGEXEXTRACT(B360,"(?&lt;=//)[^/]+")</f>
        <v>hcbdsm.com</v>
      </c>
      <c r="Q360" s="29" t="s">
        <v>695</v>
      </c>
      <c r="R360" s="29" t="s">
        <v>1769</v>
      </c>
      <c r="S360" s="29" t="str" cm="1">
        <f t="array" ref="S360">IF(R360&lt;&gt;"NotApplicable",_xlfn.REGEXEXTRACT(R360,"\d+(?=p)"),"NotApplicable")</f>
        <v>NotApplicable</v>
      </c>
      <c r="T360" s="29" t="s">
        <v>1769</v>
      </c>
      <c r="U360" s="29" t="b">
        <f>ISNUMBER(SEARCH(",",E360))</f>
        <v>0</v>
      </c>
    </row>
    <row r="361" spans="1:21" ht="45" x14ac:dyDescent="0.25">
      <c r="A361" s="29" t="str">
        <f>IF(ISBLANK(M361)=TRUE,"Pending","Done")</f>
        <v>Pending</v>
      </c>
      <c r="B361" s="29" t="s">
        <v>2034</v>
      </c>
      <c r="C361" s="29">
        <v>45</v>
      </c>
      <c r="D361" s="29" t="s">
        <v>864</v>
      </c>
      <c r="E361" s="29" t="s">
        <v>80</v>
      </c>
      <c r="F361" s="29" t="s">
        <v>70</v>
      </c>
      <c r="G361" s="29"/>
      <c r="H361" s="29"/>
      <c r="I361" s="29">
        <v>0</v>
      </c>
      <c r="J361" s="29" t="s">
        <v>1156</v>
      </c>
      <c r="K361" s="29"/>
      <c r="L361" s="29"/>
      <c r="M361" s="29"/>
      <c r="N361" s="29"/>
      <c r="O361" s="29"/>
      <c r="P361" s="29" t="str" cm="1">
        <f t="array" ref="P361">_xlfn.REGEXEXTRACT(B361,"(?&lt;=//)[^/]+")</f>
        <v>bdsmmansion.com</v>
      </c>
      <c r="Q361" s="29" t="s">
        <v>695</v>
      </c>
      <c r="R361" s="29" t="s">
        <v>1769</v>
      </c>
      <c r="S361" s="29" t="str" cm="1">
        <f t="array" ref="S361">IF(R361&lt;&gt;"NotApplicable",_xlfn.REGEXEXTRACT(R361,"\d+(?=p)"),"NotApplicable")</f>
        <v>NotApplicable</v>
      </c>
      <c r="T361" s="29" t="s">
        <v>1769</v>
      </c>
      <c r="U361" s="29" t="b">
        <f>ISNUMBER(SEARCH(",",E361))</f>
        <v>0</v>
      </c>
    </row>
    <row r="362" spans="1:21" ht="30" x14ac:dyDescent="0.25">
      <c r="A362" s="29" t="str">
        <f>IF(ISBLANK(M362)=TRUE,"Pending","Done")</f>
        <v>Pending</v>
      </c>
      <c r="B362" s="29" t="s">
        <v>2024</v>
      </c>
      <c r="C362" s="29">
        <v>46</v>
      </c>
      <c r="D362" s="29" t="s">
        <v>2012</v>
      </c>
      <c r="E362" s="29" t="s">
        <v>2025</v>
      </c>
      <c r="F362" s="29" t="s">
        <v>70</v>
      </c>
      <c r="G362" s="29"/>
      <c r="H362" s="29"/>
      <c r="I362" s="29">
        <v>1</v>
      </c>
      <c r="J362" s="29" t="s">
        <v>2026</v>
      </c>
      <c r="K362" s="29"/>
      <c r="L362" s="29"/>
      <c r="M362" s="29"/>
      <c r="N362" s="29"/>
      <c r="O362" s="29"/>
      <c r="P362" s="29" t="str" cm="1">
        <f t="array" ref="P362">_xlfn.REGEXEXTRACT(B362,"(?&lt;=//)[^/]+")</f>
        <v>hcbdsm.com</v>
      </c>
      <c r="Q362" s="29" t="s">
        <v>695</v>
      </c>
      <c r="R362" s="29" t="s">
        <v>1769</v>
      </c>
      <c r="S362" s="29" t="str" cm="1">
        <f t="array" ref="S362">IF(R362&lt;&gt;"NotApplicable",_xlfn.REGEXEXTRACT(R362,"\d+(?=p)"),"NotApplicable")</f>
        <v>NotApplicable</v>
      </c>
      <c r="T362" s="29" t="s">
        <v>1769</v>
      </c>
      <c r="U362" s="29" t="b">
        <f>ISNUMBER(SEARCH(",",E362))</f>
        <v>0</v>
      </c>
    </row>
    <row r="363" spans="1:21" ht="30" x14ac:dyDescent="0.25">
      <c r="A363" s="29" t="str">
        <f>IF(ISBLANK(M363)=TRUE,"Pending","Done")</f>
        <v>Pending</v>
      </c>
      <c r="B363" s="29" t="s">
        <v>1954</v>
      </c>
      <c r="C363" s="29">
        <v>46</v>
      </c>
      <c r="D363" s="29" t="s">
        <v>868</v>
      </c>
      <c r="E363" s="29" t="s">
        <v>1955</v>
      </c>
      <c r="F363" s="29" t="s">
        <v>70</v>
      </c>
      <c r="G363" s="29"/>
      <c r="H363" s="29"/>
      <c r="I363" s="29">
        <v>0</v>
      </c>
      <c r="J363" s="29" t="s">
        <v>1156</v>
      </c>
      <c r="K363" s="29"/>
      <c r="L363" s="29"/>
      <c r="M363" s="29"/>
      <c r="N363" s="29"/>
      <c r="O363" s="29"/>
      <c r="P363" s="29" t="str" cm="1">
        <f t="array" ref="P363">_xlfn.REGEXEXTRACT(B363,"(?&lt;=//)[^/]+")</f>
        <v>bdsmstreak.com</v>
      </c>
      <c r="Q363" s="29" t="s">
        <v>695</v>
      </c>
      <c r="R363" s="29" t="s">
        <v>1769</v>
      </c>
      <c r="S363" s="29" t="str" cm="1">
        <f t="array" ref="S363">IF(R363&lt;&gt;"NotApplicable",_xlfn.REGEXEXTRACT(R363,"\d+(?=p)"),"NotApplicable")</f>
        <v>NotApplicable</v>
      </c>
      <c r="T363" s="29" t="s">
        <v>1769</v>
      </c>
      <c r="U363" s="29" t="b">
        <f>ISNUMBER(SEARCH(",",E363))</f>
        <v>1</v>
      </c>
    </row>
    <row r="364" spans="1:21" ht="30" x14ac:dyDescent="0.25">
      <c r="A364" s="29" t="str">
        <f>IF(ISBLANK(M364)=TRUE,"Pending","Done")</f>
        <v>Pending</v>
      </c>
      <c r="B364" s="29" t="s">
        <v>1567</v>
      </c>
      <c r="C364" s="29">
        <v>47</v>
      </c>
      <c r="D364" s="29" t="s">
        <v>1589</v>
      </c>
      <c r="E364" s="29" t="s">
        <v>1597</v>
      </c>
      <c r="F364" s="29" t="s">
        <v>70</v>
      </c>
      <c r="G364" s="29"/>
      <c r="H364" s="29"/>
      <c r="I364" s="29" t="s">
        <v>1769</v>
      </c>
      <c r="J364" s="29" t="s">
        <v>1769</v>
      </c>
      <c r="K364" s="29"/>
      <c r="L364" s="29"/>
      <c r="M364" s="29"/>
      <c r="N364" s="29"/>
      <c r="O364" s="29"/>
      <c r="P364" s="29" t="str" cm="1">
        <f t="array" ref="P364">_xlfn.REGEXEXTRACT(B364,"(?&lt;=//)[^/]+")</f>
        <v>bdsmstreak.com</v>
      </c>
      <c r="Q364" s="29" t="s">
        <v>695</v>
      </c>
      <c r="R364" s="29" t="s">
        <v>1769</v>
      </c>
      <c r="S364" s="29" t="str" cm="1">
        <f t="array" ref="S364">IF(R364&lt;&gt;"NotApplicable",_xlfn.REGEXEXTRACT(R364,"\d+(?=p)"),"NotApplicable")</f>
        <v>NotApplicable</v>
      </c>
      <c r="T364" s="29" t="s">
        <v>1769</v>
      </c>
      <c r="U364" s="29" t="b">
        <f>ISNUMBER(SEARCH(",",E364))</f>
        <v>0</v>
      </c>
    </row>
    <row r="365" spans="1:21" ht="30" x14ac:dyDescent="0.25">
      <c r="A365" s="29" t="str">
        <f>IF(ISBLANK(M365)=TRUE,"Pending","Done")</f>
        <v>Pending</v>
      </c>
      <c r="B365" s="29" t="s">
        <v>1568</v>
      </c>
      <c r="C365" s="29">
        <v>47</v>
      </c>
      <c r="D365" s="29" t="s">
        <v>864</v>
      </c>
      <c r="E365" s="29" t="s">
        <v>1598</v>
      </c>
      <c r="F365" s="29" t="s">
        <v>70</v>
      </c>
      <c r="G365" s="29"/>
      <c r="H365" s="29"/>
      <c r="I365" s="29" t="s">
        <v>1769</v>
      </c>
      <c r="J365" s="29" t="s">
        <v>1769</v>
      </c>
      <c r="K365" s="29"/>
      <c r="L365" s="29"/>
      <c r="M365" s="29"/>
      <c r="N365" s="29"/>
      <c r="O365" s="29" t="s">
        <v>1622</v>
      </c>
      <c r="P365" s="29" t="str" cm="1">
        <f t="array" ref="P365">_xlfn.REGEXEXTRACT(B365,"(?&lt;=//)[^/]+")</f>
        <v>hcbdsm.com</v>
      </c>
      <c r="Q365" s="29" t="s">
        <v>695</v>
      </c>
      <c r="R365" s="29" t="s">
        <v>1769</v>
      </c>
      <c r="S365" s="29" t="str" cm="1">
        <f t="array" ref="S365">IF(R365&lt;&gt;"NotApplicable",_xlfn.REGEXEXTRACT(R365,"\d+(?=p)"),"NotApplicable")</f>
        <v>NotApplicable</v>
      </c>
      <c r="T365" s="29" t="s">
        <v>1769</v>
      </c>
      <c r="U365" s="29" t="b">
        <f>ISNUMBER(SEARCH(",",E365))</f>
        <v>0</v>
      </c>
    </row>
    <row r="366" spans="1:21" ht="45" x14ac:dyDescent="0.25">
      <c r="A366" s="29" t="str">
        <f>IF(ISBLANK(M366)=TRUE,"Pending","Done")</f>
        <v>Pending</v>
      </c>
      <c r="B366" s="29" t="s">
        <v>1569</v>
      </c>
      <c r="C366" s="29">
        <v>47</v>
      </c>
      <c r="D366" s="29" t="s">
        <v>864</v>
      </c>
      <c r="E366" s="29" t="s">
        <v>1599</v>
      </c>
      <c r="F366" s="29" t="s">
        <v>70</v>
      </c>
      <c r="G366" s="29"/>
      <c r="H366" s="29"/>
      <c r="I366" s="29" t="s">
        <v>1769</v>
      </c>
      <c r="J366" s="29" t="s">
        <v>1769</v>
      </c>
      <c r="K366" s="29"/>
      <c r="L366" s="29"/>
      <c r="M366" s="29"/>
      <c r="N366" s="29"/>
      <c r="O366" s="29" t="s">
        <v>1159</v>
      </c>
      <c r="P366" s="29" t="str" cm="1">
        <f t="array" ref="P366">_xlfn.REGEXEXTRACT(B366,"(?&lt;=//)[^/]+")</f>
        <v>hcbdsm.com</v>
      </c>
      <c r="Q366" s="29" t="s">
        <v>695</v>
      </c>
      <c r="R366" s="29" t="s">
        <v>1769</v>
      </c>
      <c r="S366" s="29" t="str" cm="1">
        <f t="array" ref="S366">IF(R366&lt;&gt;"NotApplicable",_xlfn.REGEXEXTRACT(R366,"\d+(?=p)"),"NotApplicable")</f>
        <v>NotApplicable</v>
      </c>
      <c r="T366" s="29" t="s">
        <v>1769</v>
      </c>
      <c r="U366" s="29" t="b">
        <f>ISNUMBER(SEARCH(",",E366))</f>
        <v>0</v>
      </c>
    </row>
    <row r="367" spans="1:21" ht="30" x14ac:dyDescent="0.25">
      <c r="A367" s="29" t="str">
        <f>IF(ISBLANK(M367)=TRUE,"Pending","Done")</f>
        <v>Pending</v>
      </c>
      <c r="B367" s="29" t="s">
        <v>1775</v>
      </c>
      <c r="C367" s="29">
        <v>47</v>
      </c>
      <c r="D367" s="29" t="s">
        <v>864</v>
      </c>
      <c r="E367" s="29" t="s">
        <v>1776</v>
      </c>
      <c r="F367" s="29" t="s">
        <v>70</v>
      </c>
      <c r="G367" s="29"/>
      <c r="H367" s="29"/>
      <c r="I367" s="29" t="s">
        <v>1769</v>
      </c>
      <c r="J367" s="29" t="s">
        <v>1769</v>
      </c>
      <c r="K367" s="29"/>
      <c r="L367" s="29"/>
      <c r="M367" s="29"/>
      <c r="N367" s="29"/>
      <c r="O367" s="29" t="s">
        <v>1777</v>
      </c>
      <c r="P367" s="29" t="str" cm="1">
        <f t="array" ref="P367">_xlfn.REGEXEXTRACT(B367,"(?&lt;=//)[^/]+")</f>
        <v>bdsmstreak.com</v>
      </c>
      <c r="Q367" s="29" t="s">
        <v>695</v>
      </c>
      <c r="R367" s="29" t="s">
        <v>1769</v>
      </c>
      <c r="S367" s="29" t="str" cm="1">
        <f t="array" ref="S367">IF(R367&lt;&gt;"NotApplicable",_xlfn.REGEXEXTRACT(R367,"\d+(?=p)"),"NotApplicable")</f>
        <v>NotApplicable</v>
      </c>
      <c r="T367" s="29" t="s">
        <v>1769</v>
      </c>
      <c r="U367" s="29" t="b">
        <f>ISNUMBER(SEARCH(",",E367))</f>
        <v>0</v>
      </c>
    </row>
    <row r="368" spans="1:21" ht="45" x14ac:dyDescent="0.25">
      <c r="A368" s="29" t="str">
        <f>IF(ISBLANK(M368)=TRUE,"Pending","Done")</f>
        <v>Pending</v>
      </c>
      <c r="B368" s="29" t="s">
        <v>1822</v>
      </c>
      <c r="C368" s="29">
        <v>47</v>
      </c>
      <c r="D368" s="29" t="s">
        <v>864</v>
      </c>
      <c r="E368" s="29" t="s">
        <v>453</v>
      </c>
      <c r="F368" s="29" t="s">
        <v>70</v>
      </c>
      <c r="G368" s="29"/>
      <c r="H368" s="29"/>
      <c r="I368" s="29">
        <v>4</v>
      </c>
      <c r="J368" s="29" t="s">
        <v>1625</v>
      </c>
      <c r="K368" s="29"/>
      <c r="L368" s="29"/>
      <c r="M368" s="29"/>
      <c r="N368" s="29"/>
      <c r="O368" s="29"/>
      <c r="P368" s="29" t="str" cm="1">
        <f t="array" ref="P368">_xlfn.REGEXEXTRACT(B368,"(?&lt;=//)[^/]+")</f>
        <v>heavyfetish.com</v>
      </c>
      <c r="Q368" s="29" t="s">
        <v>695</v>
      </c>
      <c r="R368" s="29" t="s">
        <v>1769</v>
      </c>
      <c r="S368" s="29" t="str" cm="1">
        <f t="array" ref="S368">IF(R368&lt;&gt;"NotApplicable",_xlfn.REGEXEXTRACT(R368,"\d+(?=p)"),"NotApplicable")</f>
        <v>NotApplicable</v>
      </c>
      <c r="T368" s="29" t="s">
        <v>1769</v>
      </c>
      <c r="U368" s="29" t="b">
        <f>ISNUMBER(SEARCH(",",E368))</f>
        <v>0</v>
      </c>
    </row>
    <row r="369" spans="1:21" ht="30" x14ac:dyDescent="0.25">
      <c r="A369" s="29" t="str">
        <f>IF(ISBLANK(M369)=TRUE,"Pending","Done")</f>
        <v>Pending</v>
      </c>
      <c r="B369" s="29" t="s">
        <v>2078</v>
      </c>
      <c r="C369" s="29">
        <v>47</v>
      </c>
      <c r="D369" s="29" t="s">
        <v>868</v>
      </c>
      <c r="E369" s="29" t="s">
        <v>2079</v>
      </c>
      <c r="F369" s="29" t="s">
        <v>70</v>
      </c>
      <c r="G369" s="29"/>
      <c r="H369" s="29"/>
      <c r="I369" s="29">
        <v>3</v>
      </c>
      <c r="J369" s="29" t="s">
        <v>2080</v>
      </c>
      <c r="K369" s="29"/>
      <c r="L369" s="29"/>
      <c r="M369" s="29"/>
      <c r="N369" s="29"/>
      <c r="O369" s="29"/>
      <c r="P369" s="29" t="str" cm="1">
        <f t="array" ref="P369">_xlfn.REGEXEXTRACT(B369,"(?&lt;=//)[^/]+")</f>
        <v>bdsmstreak.com</v>
      </c>
      <c r="Q369" s="29" t="s">
        <v>695</v>
      </c>
      <c r="R369" s="29" t="s">
        <v>1769</v>
      </c>
      <c r="S369" s="29" t="str" cm="1">
        <f t="array" ref="S369">IF(R369&lt;&gt;"NotApplicable",_xlfn.REGEXEXTRACT(R369,"\d+(?=p)"),"NotApplicable")</f>
        <v>NotApplicable</v>
      </c>
      <c r="T369" s="29" t="s">
        <v>1769</v>
      </c>
      <c r="U369" s="29" t="b">
        <f>ISNUMBER(SEARCH(",",E369))</f>
        <v>0</v>
      </c>
    </row>
    <row r="370" spans="1:21" ht="45" x14ac:dyDescent="0.25">
      <c r="A370" s="29" t="str">
        <f>IF(ISBLANK(M370)=TRUE,"Pending","Done")</f>
        <v>Pending</v>
      </c>
      <c r="B370" s="29" t="s">
        <v>1470</v>
      </c>
      <c r="C370" s="29">
        <v>48</v>
      </c>
      <c r="D370" s="29" t="s">
        <v>868</v>
      </c>
      <c r="E370" s="29" t="s">
        <v>1471</v>
      </c>
      <c r="F370" s="29" t="s">
        <v>70</v>
      </c>
      <c r="G370" s="29"/>
      <c r="H370" s="29"/>
      <c r="I370" s="29" t="s">
        <v>1769</v>
      </c>
      <c r="J370" s="29" t="s">
        <v>1769</v>
      </c>
      <c r="K370" s="29"/>
      <c r="L370" s="29"/>
      <c r="M370" s="29"/>
      <c r="N370" s="29"/>
      <c r="O370" s="29" t="s">
        <v>1472</v>
      </c>
      <c r="P370" s="29" t="str" cm="1">
        <f t="array" ref="P370">_xlfn.REGEXEXTRACT(B370,"(?&lt;=//)[^/]+")</f>
        <v>bdsmstreak.com</v>
      </c>
      <c r="Q370" s="29" t="s">
        <v>695</v>
      </c>
      <c r="R370" s="29" t="s">
        <v>1769</v>
      </c>
      <c r="S370" s="29" t="str" cm="1">
        <f t="array" ref="S370">IF(R370&lt;&gt;"NotApplicable",_xlfn.REGEXEXTRACT(R370,"\d+(?=p)"),"NotApplicable")</f>
        <v>NotApplicable</v>
      </c>
      <c r="T370" s="29" t="s">
        <v>1769</v>
      </c>
      <c r="U370" s="29" t="b">
        <f>ISNUMBER(SEARCH(",",E370))</f>
        <v>0</v>
      </c>
    </row>
    <row r="371" spans="1:21" ht="30" x14ac:dyDescent="0.25">
      <c r="A371" s="29" t="str">
        <f>IF(ISBLANK(M371)=TRUE,"Pending","Done")</f>
        <v>Pending</v>
      </c>
      <c r="B371" s="29" t="s">
        <v>2016</v>
      </c>
      <c r="C371" s="29">
        <v>48</v>
      </c>
      <c r="D371" s="29" t="s">
        <v>868</v>
      </c>
      <c r="E371" s="29" t="s">
        <v>2017</v>
      </c>
      <c r="F371" s="29" t="s">
        <v>70</v>
      </c>
      <c r="G371" s="29"/>
      <c r="H371" s="29"/>
      <c r="I371" s="29">
        <v>2</v>
      </c>
      <c r="J371" s="29" t="s">
        <v>2018</v>
      </c>
      <c r="K371" s="29"/>
      <c r="L371" s="29"/>
      <c r="M371" s="29"/>
      <c r="N371" s="29"/>
      <c r="O371" s="29"/>
      <c r="P371" s="29" t="str" cm="1">
        <f t="array" ref="P371">_xlfn.REGEXEXTRACT(B371,"(?&lt;=//)[^/]+")</f>
        <v>hcbdsm.com</v>
      </c>
      <c r="Q371" s="29" t="s">
        <v>695</v>
      </c>
      <c r="R371" s="29" t="s">
        <v>1769</v>
      </c>
      <c r="S371" s="29" t="str" cm="1">
        <f t="array" ref="S371">IF(R371&lt;&gt;"NotApplicable",_xlfn.REGEXEXTRACT(R371,"\d+(?=p)"),"NotApplicable")</f>
        <v>NotApplicable</v>
      </c>
      <c r="T371" s="29" t="s">
        <v>1769</v>
      </c>
      <c r="U371" s="29" t="b">
        <f>ISNUMBER(SEARCH(",",E371))</f>
        <v>1</v>
      </c>
    </row>
    <row r="372" spans="1:21" ht="30" x14ac:dyDescent="0.25">
      <c r="A372" s="29" t="str">
        <f>IF(ISBLANK(M372)=TRUE,"Pending","Done")</f>
        <v>Pending</v>
      </c>
      <c r="B372" s="29" t="s">
        <v>2102</v>
      </c>
      <c r="C372" s="29">
        <v>48</v>
      </c>
      <c r="D372" s="29" t="s">
        <v>868</v>
      </c>
      <c r="E372" s="29" t="s">
        <v>850</v>
      </c>
      <c r="F372" s="29" t="s">
        <v>70</v>
      </c>
      <c r="G372" s="29"/>
      <c r="H372" s="29"/>
      <c r="I372" s="29">
        <v>2</v>
      </c>
      <c r="J372" s="29" t="s">
        <v>1623</v>
      </c>
      <c r="K372" s="29"/>
      <c r="L372" s="29"/>
      <c r="M372" s="29"/>
      <c r="N372" s="29"/>
      <c r="O372" s="29"/>
      <c r="P372" s="29" t="str" cm="1">
        <f t="array" ref="P372">_xlfn.REGEXEXTRACT(B372,"(?&lt;=//)[^/]+")</f>
        <v>bdsmstreak.com</v>
      </c>
      <c r="Q372" s="29" t="s">
        <v>695</v>
      </c>
      <c r="R372" s="29" t="s">
        <v>1769</v>
      </c>
      <c r="S372" s="29" t="str" cm="1">
        <f t="array" ref="S372">IF(R372&lt;&gt;"NotApplicable",_xlfn.REGEXEXTRACT(R372,"\d+(?=p)"),"NotApplicable")</f>
        <v>NotApplicable</v>
      </c>
      <c r="T372" s="29" t="s">
        <v>1769</v>
      </c>
      <c r="U372" s="29" t="b">
        <f>ISNUMBER(SEARCH(",",E372))</f>
        <v>0</v>
      </c>
    </row>
    <row r="373" spans="1:21" ht="30" x14ac:dyDescent="0.25">
      <c r="A373" s="29" t="str">
        <f>IF(ISBLANK(M373)=TRUE,"Pending","Done")</f>
        <v>Pending</v>
      </c>
      <c r="B373" s="29" t="s">
        <v>2053</v>
      </c>
      <c r="C373" s="29">
        <v>48</v>
      </c>
      <c r="D373" s="29" t="s">
        <v>868</v>
      </c>
      <c r="E373" s="29" t="s">
        <v>2054</v>
      </c>
      <c r="F373" s="29" t="s">
        <v>70</v>
      </c>
      <c r="G373" s="29"/>
      <c r="H373" s="29"/>
      <c r="I373" s="29">
        <v>0</v>
      </c>
      <c r="J373" s="29" t="s">
        <v>1156</v>
      </c>
      <c r="K373" s="29"/>
      <c r="L373" s="29"/>
      <c r="M373" s="29"/>
      <c r="N373" s="29"/>
      <c r="O373" s="29"/>
      <c r="P373" s="29" t="str" cm="1">
        <f t="array" ref="P373">_xlfn.REGEXEXTRACT(B373,"(?&lt;=//)[^/]+")</f>
        <v>bdsmstreak.com</v>
      </c>
      <c r="Q373" s="29" t="s">
        <v>695</v>
      </c>
      <c r="R373" s="29" t="s">
        <v>1769</v>
      </c>
      <c r="S373" s="29" t="str" cm="1">
        <f t="array" ref="S373">IF(R373&lt;&gt;"NotApplicable",_xlfn.REGEXEXTRACT(R373,"\d+(?=p)"),"NotApplicable")</f>
        <v>NotApplicable</v>
      </c>
      <c r="T373" s="29" t="s">
        <v>1769</v>
      </c>
      <c r="U373" s="29" t="b">
        <f>ISNUMBER(SEARCH(",",E373))</f>
        <v>0</v>
      </c>
    </row>
    <row r="374" spans="1:21" ht="30" x14ac:dyDescent="0.25">
      <c r="A374" s="29" t="str">
        <f>IF(ISBLANK(M374)=TRUE,"Pending","Done")</f>
        <v>Pending</v>
      </c>
      <c r="B374" s="29" t="s">
        <v>1571</v>
      </c>
      <c r="C374" s="29">
        <v>49</v>
      </c>
      <c r="D374" s="29" t="s">
        <v>868</v>
      </c>
      <c r="E374" s="29" t="s">
        <v>1601</v>
      </c>
      <c r="F374" s="29" t="s">
        <v>70</v>
      </c>
      <c r="G374" s="29"/>
      <c r="H374" s="29"/>
      <c r="I374" s="29" t="s">
        <v>1769</v>
      </c>
      <c r="J374" s="29" t="s">
        <v>1769</v>
      </c>
      <c r="K374" s="29"/>
      <c r="L374" s="29"/>
      <c r="M374" s="29"/>
      <c r="N374" s="29"/>
      <c r="O374" s="29"/>
      <c r="P374" s="29" t="str" cm="1">
        <f t="array" ref="P374">_xlfn.REGEXEXTRACT(B374,"(?&lt;=//)[^/]+")</f>
        <v>bdsmstreak.com</v>
      </c>
      <c r="Q374" s="29" t="s">
        <v>695</v>
      </c>
      <c r="R374" s="29" t="s">
        <v>1769</v>
      </c>
      <c r="S374" s="29" t="str" cm="1">
        <f t="array" ref="S374">IF(R374&lt;&gt;"NotApplicable",_xlfn.REGEXEXTRACT(R374,"\d+(?=p)"),"NotApplicable")</f>
        <v>NotApplicable</v>
      </c>
      <c r="T374" s="29" t="s">
        <v>1769</v>
      </c>
      <c r="U374" s="29" t="b">
        <f>ISNUMBER(SEARCH(",",E374))</f>
        <v>0</v>
      </c>
    </row>
    <row r="375" spans="1:21" ht="30" x14ac:dyDescent="0.25">
      <c r="A375" s="29" t="str">
        <f>IF(ISBLANK(M375)=TRUE,"Pending","Done")</f>
        <v>Pending</v>
      </c>
      <c r="B375" s="29" t="s">
        <v>1572</v>
      </c>
      <c r="C375" s="29">
        <v>49</v>
      </c>
      <c r="D375" s="29" t="s">
        <v>868</v>
      </c>
      <c r="E375" s="29" t="s">
        <v>1594</v>
      </c>
      <c r="F375" s="29" t="s">
        <v>70</v>
      </c>
      <c r="G375" s="29"/>
      <c r="H375" s="29"/>
      <c r="I375" s="29" t="s">
        <v>1769</v>
      </c>
      <c r="J375" s="29" t="s">
        <v>1769</v>
      </c>
      <c r="K375" s="29"/>
      <c r="L375" s="29"/>
      <c r="M375" s="29"/>
      <c r="N375" s="29"/>
      <c r="O375" s="29"/>
      <c r="P375" s="29" t="str" cm="1">
        <f t="array" ref="P375">_xlfn.REGEXEXTRACT(B375,"(?&lt;=//)[^/]+")</f>
        <v>hcbdsm.com</v>
      </c>
      <c r="Q375" s="29" t="s">
        <v>695</v>
      </c>
      <c r="R375" s="29" t="s">
        <v>1769</v>
      </c>
      <c r="S375" s="29" t="str" cm="1">
        <f t="array" ref="S375">IF(R375&lt;&gt;"NotApplicable",_xlfn.REGEXEXTRACT(R375,"\d+(?=p)"),"NotApplicable")</f>
        <v>NotApplicable</v>
      </c>
      <c r="T375" s="29" t="s">
        <v>1769</v>
      </c>
      <c r="U375" s="29" t="b">
        <f>ISNUMBER(SEARCH(",",E375))</f>
        <v>0</v>
      </c>
    </row>
    <row r="376" spans="1:21" ht="45" x14ac:dyDescent="0.25">
      <c r="A376" s="29" t="str">
        <f>IF(ISBLANK(M376)=TRUE,"Pending","Done")</f>
        <v>Pending</v>
      </c>
      <c r="B376" s="29" t="s">
        <v>1573</v>
      </c>
      <c r="C376" s="29">
        <v>49</v>
      </c>
      <c r="D376" s="29" t="s">
        <v>864</v>
      </c>
      <c r="E376" s="29" t="s">
        <v>80</v>
      </c>
      <c r="F376" s="29" t="s">
        <v>70</v>
      </c>
      <c r="G376" s="29"/>
      <c r="H376" s="29"/>
      <c r="I376" s="29" t="s">
        <v>1769</v>
      </c>
      <c r="J376" s="29" t="s">
        <v>1769</v>
      </c>
      <c r="K376" s="29"/>
      <c r="L376" s="29"/>
      <c r="M376" s="29"/>
      <c r="N376" s="29"/>
      <c r="O376" s="29" t="s">
        <v>1623</v>
      </c>
      <c r="P376" s="29" t="str" cm="1">
        <f t="array" ref="P376">_xlfn.REGEXEXTRACT(B376,"(?&lt;=//)[^/]+")</f>
        <v>hcbdsm.com</v>
      </c>
      <c r="Q376" s="29" t="s">
        <v>695</v>
      </c>
      <c r="R376" s="29" t="s">
        <v>1769</v>
      </c>
      <c r="S376" s="29" t="str" cm="1">
        <f t="array" ref="S376">IF(R376&lt;&gt;"NotApplicable",_xlfn.REGEXEXTRACT(R376,"\d+(?=p)"),"NotApplicable")</f>
        <v>NotApplicable</v>
      </c>
      <c r="T376" s="29" t="s">
        <v>1769</v>
      </c>
      <c r="U376" s="29" t="b">
        <f>ISNUMBER(SEARCH(",",E376))</f>
        <v>0</v>
      </c>
    </row>
    <row r="377" spans="1:21" ht="60" x14ac:dyDescent="0.25">
      <c r="A377" s="29" t="str">
        <f>IF(ISBLANK(M377)=TRUE,"Pending","Done")</f>
        <v>Pending</v>
      </c>
      <c r="B377" s="29" t="s">
        <v>2057</v>
      </c>
      <c r="C377" s="29">
        <v>49</v>
      </c>
      <c r="D377" s="29" t="s">
        <v>868</v>
      </c>
      <c r="E377" s="29" t="s">
        <v>1658</v>
      </c>
      <c r="F377" s="29" t="s">
        <v>70</v>
      </c>
      <c r="G377" s="29"/>
      <c r="H377" s="29"/>
      <c r="I377" s="29">
        <v>8</v>
      </c>
      <c r="J377" s="29" t="s">
        <v>2058</v>
      </c>
      <c r="K377" s="29"/>
      <c r="L377" s="29"/>
      <c r="M377" s="29"/>
      <c r="N377" s="29"/>
      <c r="O377" s="29"/>
      <c r="P377" s="29" t="str" cm="1">
        <f t="array" ref="P377">_xlfn.REGEXEXTRACT(B377,"(?&lt;=//)[^/]+")</f>
        <v>bdsmstreak.com</v>
      </c>
      <c r="Q377" s="29" t="s">
        <v>695</v>
      </c>
      <c r="R377" s="29" t="s">
        <v>1769</v>
      </c>
      <c r="S377" s="29" t="str" cm="1">
        <f t="array" ref="S377">IF(R377&lt;&gt;"NotApplicable",_xlfn.REGEXEXTRACT(R377,"\d+(?=p)"),"NotApplicable")</f>
        <v>NotApplicable</v>
      </c>
      <c r="T377" s="29" t="s">
        <v>1769</v>
      </c>
      <c r="U377" s="29" t="b">
        <f>ISNUMBER(SEARCH(",",E377))</f>
        <v>0</v>
      </c>
    </row>
    <row r="378" spans="1:21" ht="30" x14ac:dyDescent="0.25">
      <c r="A378" s="29" t="str">
        <f>IF(ISBLANK(M378)=TRUE,"Pending","Done")</f>
        <v>Pending</v>
      </c>
      <c r="B378" s="29" t="s">
        <v>1574</v>
      </c>
      <c r="C378" s="29">
        <v>50</v>
      </c>
      <c r="D378" s="29" t="s">
        <v>868</v>
      </c>
      <c r="E378" s="29" t="s">
        <v>188</v>
      </c>
      <c r="F378" s="29" t="s">
        <v>70</v>
      </c>
      <c r="G378" s="29"/>
      <c r="H378" s="29"/>
      <c r="I378" s="29" t="s">
        <v>1769</v>
      </c>
      <c r="J378" s="29" t="s">
        <v>1769</v>
      </c>
      <c r="K378" s="29"/>
      <c r="L378" s="29"/>
      <c r="M378" s="29"/>
      <c r="N378" s="29"/>
      <c r="O378" s="29"/>
      <c r="P378" s="29" t="str" cm="1">
        <f t="array" ref="P378">_xlfn.REGEXEXTRACT(B378,"(?&lt;=//)[^/]+")</f>
        <v>bdsmstreak.com</v>
      </c>
      <c r="Q378" s="29" t="s">
        <v>695</v>
      </c>
      <c r="R378" s="29" t="s">
        <v>1769</v>
      </c>
      <c r="S378" s="29" t="str" cm="1">
        <f t="array" ref="S378">IF(R378&lt;&gt;"NotApplicable",_xlfn.REGEXEXTRACT(R378,"\d+(?=p)"),"NotApplicable")</f>
        <v>NotApplicable</v>
      </c>
      <c r="T378" s="29" t="s">
        <v>1769</v>
      </c>
      <c r="U378" s="29" t="b">
        <f>ISNUMBER(SEARCH(",",E378))</f>
        <v>0</v>
      </c>
    </row>
    <row r="379" spans="1:21" ht="30" x14ac:dyDescent="0.25">
      <c r="A379" s="29" t="str">
        <f>IF(ISBLANK(M379)=TRUE,"Pending","Done")</f>
        <v>Pending</v>
      </c>
      <c r="B379" s="29" t="s">
        <v>1876</v>
      </c>
      <c r="C379" s="29">
        <v>50</v>
      </c>
      <c r="D379" s="29" t="s">
        <v>868</v>
      </c>
      <c r="E379" s="29" t="s">
        <v>1877</v>
      </c>
      <c r="F379" s="29" t="s">
        <v>70</v>
      </c>
      <c r="G379" s="29"/>
      <c r="H379" s="29"/>
      <c r="I379" s="29">
        <v>6</v>
      </c>
      <c r="J379" s="29" t="s">
        <v>1878</v>
      </c>
      <c r="K379" s="29"/>
      <c r="L379" s="29"/>
      <c r="M379" s="29"/>
      <c r="N379" s="29"/>
      <c r="O379" s="29"/>
      <c r="P379" s="29" t="str" cm="1">
        <f t="array" ref="P379">_xlfn.REGEXEXTRACT(B379,"(?&lt;=//)[^/]+")</f>
        <v>bdsmstreak.com</v>
      </c>
      <c r="Q379" s="29" t="s">
        <v>695</v>
      </c>
      <c r="R379" s="29" t="s">
        <v>1769</v>
      </c>
      <c r="S379" s="29" t="str" cm="1">
        <f t="array" ref="S379">IF(R379&lt;&gt;"NotApplicable",_xlfn.REGEXEXTRACT(R379,"\d+(?=p)"),"NotApplicable")</f>
        <v>NotApplicable</v>
      </c>
      <c r="T379" s="29" t="s">
        <v>1769</v>
      </c>
      <c r="U379" s="29" t="b">
        <f>ISNUMBER(SEARCH(",",E379))</f>
        <v>0</v>
      </c>
    </row>
    <row r="380" spans="1:21" ht="30" x14ac:dyDescent="0.25">
      <c r="A380" s="29" t="str">
        <f>IF(ISBLANK(M380)=TRUE,"Pending","Done")</f>
        <v>Pending</v>
      </c>
      <c r="B380" s="29" t="s">
        <v>1914</v>
      </c>
      <c r="C380" s="29">
        <v>50</v>
      </c>
      <c r="D380" s="29" t="s">
        <v>868</v>
      </c>
      <c r="E380" s="29" t="s">
        <v>246</v>
      </c>
      <c r="F380" s="29" t="s">
        <v>70</v>
      </c>
      <c r="G380" s="29"/>
      <c r="H380" s="29"/>
      <c r="I380" s="29">
        <v>2</v>
      </c>
      <c r="J380" s="29" t="s">
        <v>1621</v>
      </c>
      <c r="K380" s="29"/>
      <c r="L380" s="29"/>
      <c r="M380" s="29"/>
      <c r="N380" s="29"/>
      <c r="O380" s="29"/>
      <c r="P380" s="29" t="str" cm="1">
        <f t="array" ref="P380">_xlfn.REGEXEXTRACT(B380,"(?&lt;=//)[^/]+")</f>
        <v>hcbdsm.com</v>
      </c>
      <c r="Q380" s="29" t="s">
        <v>695</v>
      </c>
      <c r="R380" s="29" t="s">
        <v>1769</v>
      </c>
      <c r="S380" s="29" t="str" cm="1">
        <f t="array" ref="S380">IF(R380&lt;&gt;"NotApplicable",_xlfn.REGEXEXTRACT(R380,"\d+(?=p)"),"NotApplicable")</f>
        <v>NotApplicable</v>
      </c>
      <c r="T380" s="29" t="s">
        <v>1769</v>
      </c>
      <c r="U380" s="29" t="b">
        <f>ISNUMBER(SEARCH(",",E380))</f>
        <v>0</v>
      </c>
    </row>
    <row r="381" spans="1:21" ht="30" x14ac:dyDescent="0.25">
      <c r="A381" s="29" t="str">
        <f>IF(ISBLANK(M381)=TRUE,"Pending","Done")</f>
        <v>Pending</v>
      </c>
      <c r="B381" s="29" t="s">
        <v>1805</v>
      </c>
      <c r="C381" s="29">
        <v>50</v>
      </c>
      <c r="D381" s="29" t="s">
        <v>860</v>
      </c>
      <c r="E381" s="29" t="s">
        <v>1806</v>
      </c>
      <c r="F381" s="29" t="s">
        <v>70</v>
      </c>
      <c r="G381" s="29"/>
      <c r="H381" s="29"/>
      <c r="I381" s="29">
        <v>0</v>
      </c>
      <c r="J381" s="29" t="s">
        <v>1156</v>
      </c>
      <c r="K381" s="29"/>
      <c r="L381" s="29"/>
      <c r="M381" s="29"/>
      <c r="N381" s="29"/>
      <c r="O381" s="29"/>
      <c r="P381" s="29" t="str" cm="1">
        <f t="array" ref="P381">_xlfn.REGEXEXTRACT(B381,"(?&lt;=//)[^/]+")</f>
        <v>bdsmstreak.com</v>
      </c>
      <c r="Q381" s="29" t="s">
        <v>695</v>
      </c>
      <c r="R381" s="29" t="s">
        <v>1769</v>
      </c>
      <c r="S381" s="29" t="str" cm="1">
        <f t="array" ref="S381">IF(R381&lt;&gt;"NotApplicable",_xlfn.REGEXEXTRACT(R381,"\d+(?=p)"),"NotApplicable")</f>
        <v>NotApplicable</v>
      </c>
      <c r="T381" s="29" t="s">
        <v>1769</v>
      </c>
      <c r="U381" s="29" t="b">
        <f>ISNUMBER(SEARCH(",",E381))</f>
        <v>0</v>
      </c>
    </row>
    <row r="382" spans="1:21" ht="30" x14ac:dyDescent="0.25">
      <c r="A382" s="29" t="str">
        <f>IF(ISBLANK(M382)=TRUE,"Pending","Done")</f>
        <v>Pending</v>
      </c>
      <c r="B382" s="29" t="s">
        <v>1829</v>
      </c>
      <c r="C382" s="29">
        <v>50</v>
      </c>
      <c r="D382" s="29" t="s">
        <v>864</v>
      </c>
      <c r="E382" s="29" t="s">
        <v>1830</v>
      </c>
      <c r="F382" s="29" t="s">
        <v>70</v>
      </c>
      <c r="G382" s="29"/>
      <c r="H382" s="29"/>
      <c r="I382" s="29">
        <v>0</v>
      </c>
      <c r="J382" s="29" t="s">
        <v>1156</v>
      </c>
      <c r="K382" s="29"/>
      <c r="L382" s="29"/>
      <c r="M382" s="29"/>
      <c r="N382" s="29"/>
      <c r="O382" s="29"/>
      <c r="P382" s="29" t="str" cm="1">
        <f t="array" ref="P382">_xlfn.REGEXEXTRACT(B382,"(?&lt;=//)[^/]+")</f>
        <v>hcbdsm.com</v>
      </c>
      <c r="Q382" s="29" t="s">
        <v>695</v>
      </c>
      <c r="R382" s="29" t="s">
        <v>1769</v>
      </c>
      <c r="S382" s="29" t="str" cm="1">
        <f t="array" ref="S382">IF(R382&lt;&gt;"NotApplicable",_xlfn.REGEXEXTRACT(R382,"\d+(?=p)"),"NotApplicable")</f>
        <v>NotApplicable</v>
      </c>
      <c r="T382" s="29" t="s">
        <v>1769</v>
      </c>
      <c r="U382" s="29" t="b">
        <f>ISNUMBER(SEARCH(",",E382))</f>
        <v>0</v>
      </c>
    </row>
    <row r="383" spans="1:21" ht="30" x14ac:dyDescent="0.25">
      <c r="A383" s="29" t="str">
        <f>IF(ISBLANK(M383)=TRUE,"Pending","Done")</f>
        <v>Pending</v>
      </c>
      <c r="B383" s="29" t="s">
        <v>1898</v>
      </c>
      <c r="C383" s="29">
        <v>50</v>
      </c>
      <c r="D383" s="29" t="s">
        <v>864</v>
      </c>
      <c r="E383" s="29" t="s">
        <v>1899</v>
      </c>
      <c r="F383" s="29" t="s">
        <v>70</v>
      </c>
      <c r="G383" s="29"/>
      <c r="H383" s="29"/>
      <c r="I383" s="29">
        <v>0</v>
      </c>
      <c r="J383" s="29" t="s">
        <v>1156</v>
      </c>
      <c r="K383" s="29"/>
      <c r="L383" s="29"/>
      <c r="M383" s="29"/>
      <c r="N383" s="29"/>
      <c r="O383" s="29"/>
      <c r="P383" s="29" t="str" cm="1">
        <f t="array" ref="P383">_xlfn.REGEXEXTRACT(B383,"(?&lt;=//)[^/]+")</f>
        <v>bdsmstreak.com</v>
      </c>
      <c r="Q383" s="29" t="s">
        <v>695</v>
      </c>
      <c r="R383" s="29" t="s">
        <v>1769</v>
      </c>
      <c r="S383" s="29" t="str" cm="1">
        <f t="array" ref="S383">IF(R383&lt;&gt;"NotApplicable",_xlfn.REGEXEXTRACT(R383,"\d+(?=p)"),"NotApplicable")</f>
        <v>NotApplicable</v>
      </c>
      <c r="T383" s="29" t="s">
        <v>1769</v>
      </c>
      <c r="U383" s="29" t="b">
        <f>ISNUMBER(SEARCH(",",E383))</f>
        <v>1</v>
      </c>
    </row>
    <row r="384" spans="1:21" ht="30" x14ac:dyDescent="0.25">
      <c r="A384" s="29" t="str">
        <f>IF(ISBLANK(M384)=TRUE,"Pending","Done")</f>
        <v>Pending</v>
      </c>
      <c r="B384" s="29" t="s">
        <v>2125</v>
      </c>
      <c r="C384" s="29">
        <v>50</v>
      </c>
      <c r="D384" s="29" t="s">
        <v>1792</v>
      </c>
      <c r="E384" s="29" t="s">
        <v>2126</v>
      </c>
      <c r="F384" s="29" t="s">
        <v>70</v>
      </c>
      <c r="G384" s="29"/>
      <c r="H384" s="29"/>
      <c r="I384" s="29">
        <v>0</v>
      </c>
      <c r="J384" s="29" t="s">
        <v>1156</v>
      </c>
      <c r="K384" s="29"/>
      <c r="L384" s="29"/>
      <c r="M384" s="29"/>
      <c r="N384" s="29"/>
      <c r="O384" s="29"/>
      <c r="P384" s="29" t="str" cm="1">
        <f t="array" ref="P384">_xlfn.REGEXEXTRACT(B384,"(?&lt;=//)[^/]+")</f>
        <v>bdsmstreak.com</v>
      </c>
      <c r="Q384" s="29" t="s">
        <v>695</v>
      </c>
      <c r="R384" s="29" t="s">
        <v>1769</v>
      </c>
      <c r="S384" s="29" t="str" cm="1">
        <f t="array" ref="S384">IF(R384&lt;&gt;"NotApplicable",_xlfn.REGEXEXTRACT(R384,"\d+(?=p)"),"NotApplicable")</f>
        <v>NotApplicable</v>
      </c>
      <c r="T384" s="29" t="s">
        <v>1769</v>
      </c>
      <c r="U384" s="29" t="b">
        <f>ISNUMBER(SEARCH(",",E384))</f>
        <v>0</v>
      </c>
    </row>
    <row r="385" spans="1:21" ht="30" x14ac:dyDescent="0.25">
      <c r="A385" s="29" t="str">
        <f>IF(ISBLANK(M385)=TRUE,"Pending","Done")</f>
        <v>Pending</v>
      </c>
      <c r="B385" s="29" t="s">
        <v>1647</v>
      </c>
      <c r="C385" s="29">
        <v>51</v>
      </c>
      <c r="D385" s="29" t="s">
        <v>864</v>
      </c>
      <c r="E385" s="29" t="s">
        <v>188</v>
      </c>
      <c r="F385" s="29" t="s">
        <v>70</v>
      </c>
      <c r="G385" s="29"/>
      <c r="H385" s="29"/>
      <c r="I385" s="29" t="s">
        <v>1769</v>
      </c>
      <c r="J385" s="29" t="s">
        <v>1769</v>
      </c>
      <c r="K385" s="29"/>
      <c r="L385" s="29"/>
      <c r="M385" s="29"/>
      <c r="N385" s="29"/>
      <c r="O385" s="29" t="s">
        <v>1159</v>
      </c>
      <c r="P385" s="29" t="str" cm="1">
        <f t="array" ref="P385">_xlfn.REGEXEXTRACT(B385,"(?&lt;=//)[^/]+")</f>
        <v>bdsmstreak.com</v>
      </c>
      <c r="Q385" s="29" t="s">
        <v>695</v>
      </c>
      <c r="R385" s="29" t="s">
        <v>1769</v>
      </c>
      <c r="S385" s="29" t="str" cm="1">
        <f t="array" ref="S385">IF(R385&lt;&gt;"NotApplicable",_xlfn.REGEXEXTRACT(R385,"\d+(?=p)"),"NotApplicable")</f>
        <v>NotApplicable</v>
      </c>
      <c r="T385" s="29" t="s">
        <v>1769</v>
      </c>
      <c r="U385" s="29" t="b">
        <f>ISNUMBER(SEARCH(",",E385))</f>
        <v>0</v>
      </c>
    </row>
    <row r="386" spans="1:21" ht="30" x14ac:dyDescent="0.25">
      <c r="A386" s="29" t="str">
        <f>IF(ISBLANK(M386)=TRUE,"Pending","Done")</f>
        <v>Pending</v>
      </c>
      <c r="B386" s="29" t="s">
        <v>1905</v>
      </c>
      <c r="C386" s="29">
        <v>51</v>
      </c>
      <c r="D386" s="29" t="s">
        <v>868</v>
      </c>
      <c r="E386" s="29" t="s">
        <v>1906</v>
      </c>
      <c r="F386" s="29" t="s">
        <v>70</v>
      </c>
      <c r="G386" s="29"/>
      <c r="H386" s="29"/>
      <c r="I386" s="29">
        <v>6</v>
      </c>
      <c r="J386" s="29" t="s">
        <v>1907</v>
      </c>
      <c r="K386" s="29"/>
      <c r="L386" s="29"/>
      <c r="M386" s="29"/>
      <c r="N386" s="29"/>
      <c r="O386" s="29"/>
      <c r="P386" s="29" t="str" cm="1">
        <f t="array" ref="P386">_xlfn.REGEXEXTRACT(B386,"(?&lt;=//)[^/]+")</f>
        <v>hcbdsm.com</v>
      </c>
      <c r="Q386" s="29" t="s">
        <v>695</v>
      </c>
      <c r="R386" s="29" t="s">
        <v>1769</v>
      </c>
      <c r="S386" s="29" t="str" cm="1">
        <f t="array" ref="S386">IF(R386&lt;&gt;"NotApplicable",_xlfn.REGEXEXTRACT(R386,"\d+(?=p)"),"NotApplicable")</f>
        <v>NotApplicable</v>
      </c>
      <c r="T386" s="29" t="s">
        <v>1769</v>
      </c>
      <c r="U386" s="29" t="b">
        <f>ISNUMBER(SEARCH(",",E386))</f>
        <v>0</v>
      </c>
    </row>
    <row r="387" spans="1:21" ht="30" x14ac:dyDescent="0.25">
      <c r="A387" s="29" t="str">
        <f>IF(ISBLANK(M387)=TRUE,"Pending","Done")</f>
        <v>Pending</v>
      </c>
      <c r="B387" s="29" t="s">
        <v>1948</v>
      </c>
      <c r="C387" s="29">
        <v>52</v>
      </c>
      <c r="D387" s="29" t="s">
        <v>1792</v>
      </c>
      <c r="E387" s="29" t="s">
        <v>1949</v>
      </c>
      <c r="F387" s="29" t="s">
        <v>70</v>
      </c>
      <c r="G387" s="29"/>
      <c r="H387" s="29"/>
      <c r="I387" s="29">
        <v>7</v>
      </c>
      <c r="J387" s="29" t="s">
        <v>1950</v>
      </c>
      <c r="K387" s="29"/>
      <c r="L387" s="29"/>
      <c r="M387" s="29"/>
      <c r="N387" s="29"/>
      <c r="O387" s="29"/>
      <c r="P387" s="29" t="str" cm="1">
        <f t="array" ref="P387">_xlfn.REGEXEXTRACT(B387,"(?&lt;=//)[^/]+")</f>
        <v>bdsmstreak.com</v>
      </c>
      <c r="Q387" s="29" t="s">
        <v>695</v>
      </c>
      <c r="R387" s="29" t="s">
        <v>1769</v>
      </c>
      <c r="S387" s="29" t="str" cm="1">
        <f t="array" ref="S387">IF(R387&lt;&gt;"NotApplicable",_xlfn.REGEXEXTRACT(R387,"\d+(?=p)"),"NotApplicable")</f>
        <v>NotApplicable</v>
      </c>
      <c r="T387" s="29" t="s">
        <v>1769</v>
      </c>
      <c r="U387" s="29" t="b">
        <f>ISNUMBER(SEARCH(",",E387))</f>
        <v>0</v>
      </c>
    </row>
    <row r="388" spans="1:21" ht="30" x14ac:dyDescent="0.25">
      <c r="A388" s="29" t="str">
        <f>IF(ISBLANK(M388)=TRUE,"Pending","Done")</f>
        <v>Pending</v>
      </c>
      <c r="B388" s="29" t="s">
        <v>1802</v>
      </c>
      <c r="C388" s="29">
        <v>52</v>
      </c>
      <c r="D388" s="29" t="s">
        <v>868</v>
      </c>
      <c r="E388" s="29" t="s">
        <v>1803</v>
      </c>
      <c r="F388" s="29" t="s">
        <v>70</v>
      </c>
      <c r="G388" s="29"/>
      <c r="H388" s="29"/>
      <c r="I388" s="29">
        <v>4</v>
      </c>
      <c r="J388" s="29" t="s">
        <v>1804</v>
      </c>
      <c r="K388" s="29"/>
      <c r="L388" s="29"/>
      <c r="M388" s="29"/>
      <c r="N388" s="29"/>
      <c r="O388" s="29"/>
      <c r="P388" s="29" t="str" cm="1">
        <f t="array" ref="P388">_xlfn.REGEXEXTRACT(B388,"(?&lt;=//)[^/]+")</f>
        <v>bdsmstreak.com</v>
      </c>
      <c r="Q388" s="29" t="s">
        <v>695</v>
      </c>
      <c r="R388" s="29" t="s">
        <v>1769</v>
      </c>
      <c r="S388" s="29" t="str" cm="1">
        <f t="array" ref="S388">IF(R388&lt;&gt;"NotApplicable",_xlfn.REGEXEXTRACT(R388,"\d+(?=p)"),"NotApplicable")</f>
        <v>NotApplicable</v>
      </c>
      <c r="T388" s="29" t="s">
        <v>1769</v>
      </c>
      <c r="U388" s="29" t="b">
        <f>ISNUMBER(SEARCH(",",E388))</f>
        <v>0</v>
      </c>
    </row>
    <row r="389" spans="1:21" ht="30" x14ac:dyDescent="0.25">
      <c r="A389" s="29" t="str">
        <f>IF(ISBLANK(M389)=TRUE,"Pending","Done")</f>
        <v>Pending</v>
      </c>
      <c r="B389" s="29" t="s">
        <v>2107</v>
      </c>
      <c r="C389" s="29">
        <v>52</v>
      </c>
      <c r="D389" s="29" t="s">
        <v>1839</v>
      </c>
      <c r="E389" s="29" t="s">
        <v>2108</v>
      </c>
      <c r="F389" s="29" t="s">
        <v>70</v>
      </c>
      <c r="G389" s="29"/>
      <c r="H389" s="29"/>
      <c r="I389" s="29">
        <v>3</v>
      </c>
      <c r="J389" s="29" t="s">
        <v>2109</v>
      </c>
      <c r="K389" s="29"/>
      <c r="L389" s="29"/>
      <c r="M389" s="29"/>
      <c r="N389" s="29"/>
      <c r="O389" s="29"/>
      <c r="P389" s="29" t="str" cm="1">
        <f t="array" ref="P389">_xlfn.REGEXEXTRACT(B389,"(?&lt;=//)[^/]+")</f>
        <v>bdsmstreak.com</v>
      </c>
      <c r="Q389" s="29" t="s">
        <v>695</v>
      </c>
      <c r="R389" s="29" t="s">
        <v>1769</v>
      </c>
      <c r="S389" s="29" t="str" cm="1">
        <f t="array" ref="S389">IF(R389&lt;&gt;"NotApplicable",_xlfn.REGEXEXTRACT(R389,"\d+(?=p)"),"NotApplicable")</f>
        <v>NotApplicable</v>
      </c>
      <c r="T389" s="29" t="s">
        <v>1769</v>
      </c>
      <c r="U389" s="29" t="b">
        <f>ISNUMBER(SEARCH(",",E389))</f>
        <v>0</v>
      </c>
    </row>
    <row r="390" spans="1:21" ht="30" x14ac:dyDescent="0.25">
      <c r="A390" s="29" t="str">
        <f>IF(ISBLANK(M390)=TRUE,"Pending","Done")</f>
        <v>Pending</v>
      </c>
      <c r="B390" s="29" t="s">
        <v>1551</v>
      </c>
      <c r="C390" s="29">
        <v>53</v>
      </c>
      <c r="D390" s="29" t="s">
        <v>868</v>
      </c>
      <c r="E390" s="29" t="s">
        <v>1552</v>
      </c>
      <c r="F390" s="29" t="s">
        <v>70</v>
      </c>
      <c r="G390" s="29"/>
      <c r="H390" s="29"/>
      <c r="I390" s="29" t="s">
        <v>1769</v>
      </c>
      <c r="J390" s="29" t="s">
        <v>1769</v>
      </c>
      <c r="K390" s="29"/>
      <c r="L390" s="29"/>
      <c r="M390" s="29"/>
      <c r="N390" s="29"/>
      <c r="O390" s="29"/>
      <c r="P390" s="29" t="str" cm="1">
        <f t="array" ref="P390">_xlfn.REGEXEXTRACT(B390,"(?&lt;=//)[^/]+")</f>
        <v>bdsmstreak.com</v>
      </c>
      <c r="Q390" s="29" t="s">
        <v>695</v>
      </c>
      <c r="R390" s="29" t="s">
        <v>1769</v>
      </c>
      <c r="S390" s="29" t="str" cm="1">
        <f t="array" ref="S390">IF(R390&lt;&gt;"NotApplicable",_xlfn.REGEXEXTRACT(R390,"\d+(?=p)"),"NotApplicable")</f>
        <v>NotApplicable</v>
      </c>
      <c r="T390" s="29" t="s">
        <v>1769</v>
      </c>
      <c r="U390" s="29" t="b">
        <f>ISNUMBER(SEARCH(",",E390))</f>
        <v>0</v>
      </c>
    </row>
    <row r="391" spans="1:21" ht="30" x14ac:dyDescent="0.25">
      <c r="A391" s="29" t="str">
        <f>IF(ISBLANK(M391)=TRUE,"Pending","Done")</f>
        <v>Pending</v>
      </c>
      <c r="B391" s="29" t="s">
        <v>1676</v>
      </c>
      <c r="C391" s="29">
        <v>53</v>
      </c>
      <c r="D391" s="29" t="s">
        <v>864</v>
      </c>
      <c r="E391" s="29" t="s">
        <v>1677</v>
      </c>
      <c r="F391" s="29" t="s">
        <v>70</v>
      </c>
      <c r="G391" s="29"/>
      <c r="H391" s="29"/>
      <c r="I391" s="29" t="s">
        <v>1769</v>
      </c>
      <c r="J391" s="29" t="s">
        <v>1769</v>
      </c>
      <c r="K391" s="29"/>
      <c r="L391" s="29"/>
      <c r="M391" s="29"/>
      <c r="N391" s="29"/>
      <c r="O391" s="29" t="s">
        <v>1678</v>
      </c>
      <c r="P391" s="29" t="str" cm="1">
        <f t="array" ref="P391">_xlfn.REGEXEXTRACT(B391,"(?&lt;=//)[^/]+")</f>
        <v>bdsmstreak.com</v>
      </c>
      <c r="Q391" s="29" t="s">
        <v>695</v>
      </c>
      <c r="R391" s="29" t="s">
        <v>1769</v>
      </c>
      <c r="S391" s="29" t="str" cm="1">
        <f t="array" ref="S391">IF(R391&lt;&gt;"NotApplicable",_xlfn.REGEXEXTRACT(R391,"\d+(?=p)"),"NotApplicable")</f>
        <v>NotApplicable</v>
      </c>
      <c r="T391" s="29" t="s">
        <v>1769</v>
      </c>
      <c r="U391" s="29" t="b">
        <f>ISNUMBER(SEARCH(",",E391))</f>
        <v>0</v>
      </c>
    </row>
    <row r="392" spans="1:21" ht="45" x14ac:dyDescent="0.25">
      <c r="A392" s="29" t="str">
        <f>IF(ISBLANK(M392)=TRUE,"Pending","Done")</f>
        <v>Pending</v>
      </c>
      <c r="B392" s="29" t="s">
        <v>1936</v>
      </c>
      <c r="C392" s="29">
        <v>53</v>
      </c>
      <c r="D392" s="29" t="s">
        <v>868</v>
      </c>
      <c r="E392" s="29" t="s">
        <v>1633</v>
      </c>
      <c r="F392" s="29" t="s">
        <v>70</v>
      </c>
      <c r="G392" s="29"/>
      <c r="H392" s="29"/>
      <c r="I392" s="29">
        <v>9</v>
      </c>
      <c r="J392" s="29" t="s">
        <v>1937</v>
      </c>
      <c r="K392" s="29"/>
      <c r="L392" s="29"/>
      <c r="M392" s="29"/>
      <c r="N392" s="29"/>
      <c r="O392" s="29"/>
      <c r="P392" s="29" t="str" cm="1">
        <f t="array" ref="P392">_xlfn.REGEXEXTRACT(B392,"(?&lt;=//)[^/]+")</f>
        <v>bdsmstreak.com</v>
      </c>
      <c r="Q392" s="29" t="s">
        <v>695</v>
      </c>
      <c r="R392" s="29" t="s">
        <v>1769</v>
      </c>
      <c r="S392" s="29" t="str" cm="1">
        <f t="array" ref="S392">IF(R392&lt;&gt;"NotApplicable",_xlfn.REGEXEXTRACT(R392,"\d+(?=p)"),"NotApplicable")</f>
        <v>NotApplicable</v>
      </c>
      <c r="T392" s="29" t="s">
        <v>1769</v>
      </c>
      <c r="U392" s="29" t="b">
        <f>ISNUMBER(SEARCH(",",E392))</f>
        <v>0</v>
      </c>
    </row>
    <row r="393" spans="1:21" ht="30" x14ac:dyDescent="0.25">
      <c r="A393" s="29" t="str">
        <f>IF(ISBLANK(M393)=TRUE,"Pending","Done")</f>
        <v>Pending</v>
      </c>
      <c r="B393" s="29" t="s">
        <v>1946</v>
      </c>
      <c r="C393" s="29">
        <v>53</v>
      </c>
      <c r="D393" s="29" t="s">
        <v>860</v>
      </c>
      <c r="E393" s="29" t="s">
        <v>1947</v>
      </c>
      <c r="F393" s="29" t="s">
        <v>70</v>
      </c>
      <c r="G393" s="29"/>
      <c r="H393" s="29"/>
      <c r="I393" s="29">
        <v>2</v>
      </c>
      <c r="J393" s="29" t="s">
        <v>1785</v>
      </c>
      <c r="K393" s="29"/>
      <c r="L393" s="29"/>
      <c r="M393" s="29"/>
      <c r="N393" s="29"/>
      <c r="O393" s="29"/>
      <c r="P393" s="29" t="str" cm="1">
        <f t="array" ref="P393">_xlfn.REGEXEXTRACT(B393,"(?&lt;=//)[^/]+")</f>
        <v>bdsmmansion.com</v>
      </c>
      <c r="Q393" s="29" t="s">
        <v>695</v>
      </c>
      <c r="R393" s="29" t="s">
        <v>1769</v>
      </c>
      <c r="S393" s="29" t="str" cm="1">
        <f t="array" ref="S393">IF(R393&lt;&gt;"NotApplicable",_xlfn.REGEXEXTRACT(R393,"\d+(?=p)"),"NotApplicable")</f>
        <v>NotApplicable</v>
      </c>
      <c r="T393" s="29" t="s">
        <v>1769</v>
      </c>
      <c r="U393" s="29" t="b">
        <f>ISNUMBER(SEARCH(",",E393))</f>
        <v>0</v>
      </c>
    </row>
    <row r="394" spans="1:21" ht="45" x14ac:dyDescent="0.25">
      <c r="A394" s="29" t="str">
        <f>IF(ISBLANK(M394)=TRUE,"Pending","Done")</f>
        <v>Pending</v>
      </c>
      <c r="B394" s="29" t="s">
        <v>1468</v>
      </c>
      <c r="C394" s="29">
        <v>54</v>
      </c>
      <c r="D394" s="29" t="s">
        <v>868</v>
      </c>
      <c r="E394" s="29" t="s">
        <v>1469</v>
      </c>
      <c r="F394" s="29" t="s">
        <v>70</v>
      </c>
      <c r="G394" s="29"/>
      <c r="H394" s="29"/>
      <c r="I394" s="29" t="s">
        <v>1769</v>
      </c>
      <c r="J394" s="29" t="s">
        <v>1769</v>
      </c>
      <c r="K394" s="29"/>
      <c r="L394" s="29"/>
      <c r="M394" s="29"/>
      <c r="N394" s="29"/>
      <c r="O394" s="29"/>
      <c r="P394" s="29" t="str" cm="1">
        <f t="array" ref="P394">_xlfn.REGEXEXTRACT(B394,"(?&lt;=//)[^/]+")</f>
        <v>bdsmstreak.com</v>
      </c>
      <c r="Q394" s="29" t="s">
        <v>695</v>
      </c>
      <c r="R394" s="29" t="s">
        <v>1769</v>
      </c>
      <c r="S394" s="29" t="str" cm="1">
        <f t="array" ref="S394">IF(R394&lt;&gt;"NotApplicable",_xlfn.REGEXEXTRACT(R394,"\d+(?=p)"),"NotApplicable")</f>
        <v>NotApplicable</v>
      </c>
      <c r="T394" s="29" t="s">
        <v>1769</v>
      </c>
      <c r="U394" s="29" t="b">
        <f>ISNUMBER(SEARCH(",",E394))</f>
        <v>0</v>
      </c>
    </row>
    <row r="395" spans="1:21" ht="30" x14ac:dyDescent="0.25">
      <c r="A395" s="29" t="str">
        <f>IF(ISBLANK(M395)=TRUE,"Pending","Done")</f>
        <v>Pending</v>
      </c>
      <c r="B395" s="29" t="s">
        <v>1649</v>
      </c>
      <c r="C395" s="29">
        <v>54</v>
      </c>
      <c r="D395" s="29" t="s">
        <v>864</v>
      </c>
      <c r="E395" s="29" t="s">
        <v>1248</v>
      </c>
      <c r="F395" s="29" t="s">
        <v>70</v>
      </c>
      <c r="G395" s="29"/>
      <c r="H395" s="29"/>
      <c r="I395" s="29" t="s">
        <v>1769</v>
      </c>
      <c r="J395" s="29" t="s">
        <v>1769</v>
      </c>
      <c r="K395" s="29"/>
      <c r="L395" s="29"/>
      <c r="M395" s="29"/>
      <c r="N395" s="29"/>
      <c r="O395" s="29" t="s">
        <v>1622</v>
      </c>
      <c r="P395" s="29" t="str" cm="1">
        <f t="array" ref="P395">_xlfn.REGEXEXTRACT(B395,"(?&lt;=//)[^/]+")</f>
        <v>bdsmstreak.com</v>
      </c>
      <c r="Q395" s="29" t="s">
        <v>695</v>
      </c>
      <c r="R395" s="29" t="s">
        <v>1769</v>
      </c>
      <c r="S395" s="29" t="str" cm="1">
        <f t="array" ref="S395">IF(R395&lt;&gt;"NotApplicable",_xlfn.REGEXEXTRACT(R395,"\d+(?=p)"),"NotApplicable")</f>
        <v>NotApplicable</v>
      </c>
      <c r="T395" s="29" t="s">
        <v>1769</v>
      </c>
      <c r="U395" s="29" t="b">
        <f>ISNUMBER(SEARCH(",",E395))</f>
        <v>0</v>
      </c>
    </row>
    <row r="396" spans="1:21" ht="30" x14ac:dyDescent="0.25">
      <c r="A396" s="29" t="str">
        <f>IF(ISBLANK(M396)=TRUE,"Pending","Done")</f>
        <v>Pending</v>
      </c>
      <c r="B396" s="29" t="s">
        <v>2027</v>
      </c>
      <c r="C396" s="29">
        <v>54</v>
      </c>
      <c r="D396" s="29" t="s">
        <v>868</v>
      </c>
      <c r="E396" s="29" t="s">
        <v>2028</v>
      </c>
      <c r="F396" s="29" t="s">
        <v>70</v>
      </c>
      <c r="G396" s="29"/>
      <c r="H396" s="29"/>
      <c r="I396" s="29">
        <v>2</v>
      </c>
      <c r="J396" s="29" t="s">
        <v>2029</v>
      </c>
      <c r="K396" s="29"/>
      <c r="L396" s="29"/>
      <c r="M396" s="29"/>
      <c r="N396" s="29"/>
      <c r="O396" s="29"/>
      <c r="P396" s="29" t="str" cm="1">
        <f t="array" ref="P396">_xlfn.REGEXEXTRACT(B396,"(?&lt;=//)[^/]+")</f>
        <v>bdsmstreak.com</v>
      </c>
      <c r="Q396" s="29" t="s">
        <v>695</v>
      </c>
      <c r="R396" s="29" t="s">
        <v>1769</v>
      </c>
      <c r="S396" s="29" t="str" cm="1">
        <f t="array" ref="S396">IF(R396&lt;&gt;"NotApplicable",_xlfn.REGEXEXTRACT(R396,"\d+(?=p)"),"NotApplicable")</f>
        <v>NotApplicable</v>
      </c>
      <c r="T396" s="29" t="s">
        <v>1769</v>
      </c>
      <c r="U396" s="29" t="b">
        <f>ISNUMBER(SEARCH(",",E396))</f>
        <v>0</v>
      </c>
    </row>
    <row r="397" spans="1:21" ht="30" x14ac:dyDescent="0.25">
      <c r="A397" s="29" t="str">
        <f>IF(ISBLANK(M397)=TRUE,"Pending","Done")</f>
        <v>Pending</v>
      </c>
      <c r="B397" s="29" t="s">
        <v>1577</v>
      </c>
      <c r="C397" s="29">
        <v>55</v>
      </c>
      <c r="D397" s="29" t="s">
        <v>864</v>
      </c>
      <c r="E397" s="29" t="s">
        <v>1594</v>
      </c>
      <c r="F397" s="29" t="s">
        <v>70</v>
      </c>
      <c r="G397" s="29"/>
      <c r="H397" s="29"/>
      <c r="I397" s="29" t="s">
        <v>1769</v>
      </c>
      <c r="J397" s="29" t="s">
        <v>1769</v>
      </c>
      <c r="K397" s="29"/>
      <c r="L397" s="29"/>
      <c r="M397" s="29"/>
      <c r="N397" s="29"/>
      <c r="O397" s="29" t="s">
        <v>1625</v>
      </c>
      <c r="P397" s="29" t="str" cm="1">
        <f t="array" ref="P397">_xlfn.REGEXEXTRACT(B397,"(?&lt;=//)[^/]+")</f>
        <v>bdsmstreak.com</v>
      </c>
      <c r="Q397" s="29" t="s">
        <v>695</v>
      </c>
      <c r="R397" s="29" t="s">
        <v>1769</v>
      </c>
      <c r="S397" s="29" t="str" cm="1">
        <f t="array" ref="S397">IF(R397&lt;&gt;"NotApplicable",_xlfn.REGEXEXTRACT(R397,"\d+(?=p)"),"NotApplicable")</f>
        <v>NotApplicable</v>
      </c>
      <c r="T397" s="29" t="s">
        <v>1769</v>
      </c>
      <c r="U397" s="29" t="b">
        <f>ISNUMBER(SEARCH(",",E397))</f>
        <v>0</v>
      </c>
    </row>
    <row r="398" spans="1:21" ht="45" x14ac:dyDescent="0.25">
      <c r="A398" s="29" t="str">
        <f>IF(ISBLANK(M398)=TRUE,"Pending","Done")</f>
        <v>Pending</v>
      </c>
      <c r="B398" s="29" t="s">
        <v>1814</v>
      </c>
      <c r="C398" s="29">
        <v>55</v>
      </c>
      <c r="D398" s="29" t="s">
        <v>1815</v>
      </c>
      <c r="E398" s="29" t="s">
        <v>1816</v>
      </c>
      <c r="F398" s="29" t="s">
        <v>70</v>
      </c>
      <c r="G398" s="29"/>
      <c r="H398" s="29"/>
      <c r="I398" s="29">
        <v>8</v>
      </c>
      <c r="J398" s="29" t="s">
        <v>1817</v>
      </c>
      <c r="K398" s="29"/>
      <c r="L398" s="29"/>
      <c r="M398" s="29"/>
      <c r="N398" s="29"/>
      <c r="O398" s="29"/>
      <c r="P398" s="29" t="str" cm="1">
        <f t="array" ref="P398">_xlfn.REGEXEXTRACT(B398,"(?&lt;=//)[^/]+")</f>
        <v>bdsmstreak.com</v>
      </c>
      <c r="Q398" s="29" t="s">
        <v>695</v>
      </c>
      <c r="R398" s="29" t="s">
        <v>1769</v>
      </c>
      <c r="S398" s="29" t="str" cm="1">
        <f t="array" ref="S398">IF(R398&lt;&gt;"NotApplicable",_xlfn.REGEXEXTRACT(R398,"\d+(?=p)"),"NotApplicable")</f>
        <v>NotApplicable</v>
      </c>
      <c r="T398" s="29" t="s">
        <v>1769</v>
      </c>
      <c r="U398" s="29" t="b">
        <f>ISNUMBER(SEARCH(",",E398))</f>
        <v>0</v>
      </c>
    </row>
    <row r="399" spans="1:21" ht="30" x14ac:dyDescent="0.25">
      <c r="A399" s="29" t="str">
        <f>IF(ISBLANK(M399)=TRUE,"Pending","Done")</f>
        <v>Pending</v>
      </c>
      <c r="B399" s="29" t="s">
        <v>2030</v>
      </c>
      <c r="C399" s="29">
        <v>55</v>
      </c>
      <c r="D399" s="29" t="s">
        <v>860</v>
      </c>
      <c r="E399" s="29" t="s">
        <v>1452</v>
      </c>
      <c r="F399" s="29" t="s">
        <v>70</v>
      </c>
      <c r="G399" s="29"/>
      <c r="H399" s="29"/>
      <c r="I399" s="29">
        <v>1</v>
      </c>
      <c r="J399" s="29" t="s">
        <v>1785</v>
      </c>
      <c r="K399" s="29"/>
      <c r="L399" s="29"/>
      <c r="M399" s="29"/>
      <c r="N399" s="29"/>
      <c r="O399" s="29"/>
      <c r="P399" s="29" t="str" cm="1">
        <f t="array" ref="P399">_xlfn.REGEXEXTRACT(B399,"(?&lt;=//)[^/]+")</f>
        <v>hcbdsm.com</v>
      </c>
      <c r="Q399" s="29" t="s">
        <v>695</v>
      </c>
      <c r="R399" s="29" t="s">
        <v>1769</v>
      </c>
      <c r="S399" s="29" t="str" cm="1">
        <f t="array" ref="S399">IF(R399&lt;&gt;"NotApplicable",_xlfn.REGEXEXTRACT(R399,"\d+(?=p)"),"NotApplicable")</f>
        <v>NotApplicable</v>
      </c>
      <c r="T399" s="29" t="s">
        <v>1769</v>
      </c>
      <c r="U399" s="29" t="b">
        <f>ISNUMBER(SEARCH(",",E399))</f>
        <v>0</v>
      </c>
    </row>
    <row r="400" spans="1:21" ht="30" x14ac:dyDescent="0.25">
      <c r="A400" s="29" t="str">
        <f>IF(ISBLANK(M400)=TRUE,"Pending","Done")</f>
        <v>Pending</v>
      </c>
      <c r="B400" s="29" t="s">
        <v>1908</v>
      </c>
      <c r="C400" s="29">
        <v>56</v>
      </c>
      <c r="D400" s="29" t="s">
        <v>864</v>
      </c>
      <c r="E400" s="29" t="s">
        <v>1663</v>
      </c>
      <c r="F400" s="29" t="s">
        <v>70</v>
      </c>
      <c r="G400" s="29"/>
      <c r="H400" s="29"/>
      <c r="I400" s="29">
        <v>6</v>
      </c>
      <c r="J400" s="29" t="s">
        <v>1909</v>
      </c>
      <c r="K400" s="29"/>
      <c r="L400" s="29"/>
      <c r="M400" s="29"/>
      <c r="N400" s="29"/>
      <c r="O400" s="29"/>
      <c r="P400" s="29" t="str" cm="1">
        <f t="array" ref="P400">_xlfn.REGEXEXTRACT(B400,"(?&lt;=//)[^/]+")</f>
        <v>bdsmstreak.com</v>
      </c>
      <c r="Q400" s="29" t="s">
        <v>695</v>
      </c>
      <c r="R400" s="29" t="s">
        <v>1769</v>
      </c>
      <c r="S400" s="29" t="str" cm="1">
        <f t="array" ref="S400">IF(R400&lt;&gt;"NotApplicable",_xlfn.REGEXEXTRACT(R400,"\d+(?=p)"),"NotApplicable")</f>
        <v>NotApplicable</v>
      </c>
      <c r="T400" s="29" t="s">
        <v>1769</v>
      </c>
      <c r="U400" s="29" t="b">
        <f>ISNUMBER(SEARCH(",",E400))</f>
        <v>0</v>
      </c>
    </row>
    <row r="401" spans="1:21" ht="30" x14ac:dyDescent="0.25">
      <c r="A401" s="29" t="str">
        <f>IF(ISBLANK(M401)=TRUE,"Pending","Done")</f>
        <v>Pending</v>
      </c>
      <c r="B401" s="29" t="s">
        <v>1786</v>
      </c>
      <c r="C401" s="29">
        <v>56</v>
      </c>
      <c r="D401" s="29" t="s">
        <v>1589</v>
      </c>
      <c r="E401" s="29" t="s">
        <v>1787</v>
      </c>
      <c r="F401" s="29" t="s">
        <v>70</v>
      </c>
      <c r="G401" s="29"/>
      <c r="H401" s="29"/>
      <c r="I401" s="29">
        <v>0</v>
      </c>
      <c r="J401" s="29" t="s">
        <v>1156</v>
      </c>
      <c r="K401" s="29"/>
      <c r="L401" s="29"/>
      <c r="M401" s="29"/>
      <c r="N401" s="29"/>
      <c r="O401" s="29"/>
      <c r="P401" s="29" t="str" cm="1">
        <f t="array" ref="P401">_xlfn.REGEXEXTRACT(B401,"(?&lt;=//)[^/]+")</f>
        <v>bdsmmansion.com</v>
      </c>
      <c r="Q401" s="29" t="s">
        <v>695</v>
      </c>
      <c r="R401" s="29" t="s">
        <v>1769</v>
      </c>
      <c r="S401" s="29" t="str" cm="1">
        <f t="array" ref="S401">IF(R401&lt;&gt;"NotApplicable",_xlfn.REGEXEXTRACT(R401,"\d+(?=p)"),"NotApplicable")</f>
        <v>NotApplicable</v>
      </c>
      <c r="T401" s="29" t="s">
        <v>1769</v>
      </c>
      <c r="U401" s="29" t="b">
        <f>ISNUMBER(SEARCH(",",E401))</f>
        <v>0</v>
      </c>
    </row>
    <row r="402" spans="1:21" ht="30" x14ac:dyDescent="0.25">
      <c r="A402" s="29" t="str">
        <f>IF(ISBLANK(M402)=TRUE,"Pending","Done")</f>
        <v>Pending</v>
      </c>
      <c r="B402" s="29" t="s">
        <v>2103</v>
      </c>
      <c r="C402" s="29">
        <v>57</v>
      </c>
      <c r="D402" s="29" t="s">
        <v>860</v>
      </c>
      <c r="E402" s="29" t="s">
        <v>453</v>
      </c>
      <c r="F402" s="29" t="s">
        <v>70</v>
      </c>
      <c r="G402" s="29"/>
      <c r="H402" s="29"/>
      <c r="I402" s="29">
        <v>4</v>
      </c>
      <c r="J402" s="29" t="s">
        <v>2104</v>
      </c>
      <c r="K402" s="29"/>
      <c r="L402" s="29"/>
      <c r="M402" s="29"/>
      <c r="N402" s="29"/>
      <c r="O402" s="29"/>
      <c r="P402" s="29" t="str" cm="1">
        <f t="array" ref="P402">_xlfn.REGEXEXTRACT(B402,"(?&lt;=//)[^/]+")</f>
        <v>bdsmstreak.com</v>
      </c>
      <c r="Q402" s="29" t="s">
        <v>695</v>
      </c>
      <c r="R402" s="29" t="s">
        <v>1769</v>
      </c>
      <c r="S402" s="29" t="str" cm="1">
        <f t="array" ref="S402">IF(R402&lt;&gt;"NotApplicable",_xlfn.REGEXEXTRACT(R402,"\d+(?=p)"),"NotApplicable")</f>
        <v>NotApplicable</v>
      </c>
      <c r="T402" s="29" t="s">
        <v>1769</v>
      </c>
      <c r="U402" s="29" t="b">
        <f>ISNUMBER(SEARCH(",",E402))</f>
        <v>0</v>
      </c>
    </row>
    <row r="403" spans="1:21" ht="45" x14ac:dyDescent="0.25">
      <c r="A403" s="29" t="str">
        <f>IF(ISBLANK(M403)=TRUE,"Pending","Done")</f>
        <v>Pending</v>
      </c>
      <c r="B403" s="29" t="s">
        <v>1637</v>
      </c>
      <c r="C403" s="29">
        <v>58</v>
      </c>
      <c r="D403" s="29" t="s">
        <v>859</v>
      </c>
      <c r="E403" s="29" t="s">
        <v>1653</v>
      </c>
      <c r="F403" s="29" t="s">
        <v>70</v>
      </c>
      <c r="G403" s="29"/>
      <c r="H403" s="29"/>
      <c r="I403" s="29" t="s">
        <v>1769</v>
      </c>
      <c r="J403" s="29" t="s">
        <v>1769</v>
      </c>
      <c r="K403" s="29" t="s">
        <v>1704</v>
      </c>
      <c r="L403" s="29"/>
      <c r="M403" s="29"/>
      <c r="N403" s="29"/>
      <c r="O403" s="29"/>
      <c r="P403" s="29" t="str" cm="1">
        <f t="array" ref="P403">_xlfn.REGEXEXTRACT(B403,"(?&lt;=//)[^/]+")</f>
        <v>bdsmstreak.com</v>
      </c>
      <c r="Q403" s="29" t="s">
        <v>695</v>
      </c>
      <c r="R403" s="29" t="s">
        <v>1769</v>
      </c>
      <c r="S403" s="29" t="str" cm="1">
        <f t="array" ref="S403">IF(R403&lt;&gt;"NotApplicable",_xlfn.REGEXEXTRACT(R403,"\d+(?=p)"),"NotApplicable")</f>
        <v>NotApplicable</v>
      </c>
      <c r="T403" s="29" t="s">
        <v>1769</v>
      </c>
      <c r="U403" s="29" t="b">
        <f>ISNUMBER(SEARCH(",",E403))</f>
        <v>1</v>
      </c>
    </row>
    <row r="404" spans="1:21" ht="30" x14ac:dyDescent="0.25">
      <c r="A404" s="29" t="str">
        <f>IF(ISBLANK(M404)=TRUE,"Pending","Done")</f>
        <v>Pending</v>
      </c>
      <c r="B404" s="29" t="s">
        <v>1856</v>
      </c>
      <c r="C404" s="29">
        <v>58</v>
      </c>
      <c r="D404" s="29" t="s">
        <v>864</v>
      </c>
      <c r="E404" s="29" t="s">
        <v>747</v>
      </c>
      <c r="F404" s="29" t="s">
        <v>70</v>
      </c>
      <c r="G404" s="29"/>
      <c r="H404" s="29"/>
      <c r="I404" s="29">
        <v>6</v>
      </c>
      <c r="J404" s="29" t="s">
        <v>1857</v>
      </c>
      <c r="K404" s="29"/>
      <c r="L404" s="29"/>
      <c r="M404" s="29"/>
      <c r="N404" s="29"/>
      <c r="O404" s="29"/>
      <c r="P404" s="29" t="str" cm="1">
        <f t="array" ref="P404">_xlfn.REGEXEXTRACT(B404,"(?&lt;=//)[^/]+")</f>
        <v>hcbdsm.com</v>
      </c>
      <c r="Q404" s="29" t="s">
        <v>695</v>
      </c>
      <c r="R404" s="29" t="s">
        <v>1769</v>
      </c>
      <c r="S404" s="29" t="str" cm="1">
        <f t="array" ref="S404">IF(R404&lt;&gt;"NotApplicable",_xlfn.REGEXEXTRACT(R404,"\d+(?=p)"),"NotApplicable")</f>
        <v>NotApplicable</v>
      </c>
      <c r="T404" s="29" t="s">
        <v>1769</v>
      </c>
      <c r="U404" s="29" t="b">
        <f>ISNUMBER(SEARCH(",",E404))</f>
        <v>0</v>
      </c>
    </row>
    <row r="405" spans="1:21" ht="30" x14ac:dyDescent="0.25">
      <c r="A405" s="29" t="str">
        <f>IF(ISBLANK(M405)=TRUE,"Pending","Done")</f>
        <v>Pending</v>
      </c>
      <c r="B405" s="29" t="s">
        <v>1846</v>
      </c>
      <c r="C405" s="29">
        <v>58</v>
      </c>
      <c r="D405" s="29" t="s">
        <v>864</v>
      </c>
      <c r="E405" s="29" t="s">
        <v>1847</v>
      </c>
      <c r="F405" s="29" t="s">
        <v>70</v>
      </c>
      <c r="G405" s="29"/>
      <c r="H405" s="29"/>
      <c r="I405" s="29">
        <v>0</v>
      </c>
      <c r="J405" s="29" t="s">
        <v>1156</v>
      </c>
      <c r="K405" s="29"/>
      <c r="L405" s="29"/>
      <c r="M405" s="29"/>
      <c r="N405" s="29"/>
      <c r="O405" s="29"/>
      <c r="P405" s="29" t="str" cm="1">
        <f t="array" ref="P405">_xlfn.REGEXEXTRACT(B405,"(?&lt;=//)[^/]+")</f>
        <v>hcbdsm.com</v>
      </c>
      <c r="Q405" s="29" t="s">
        <v>695</v>
      </c>
      <c r="R405" s="29" t="s">
        <v>1769</v>
      </c>
      <c r="S405" s="29" t="str" cm="1">
        <f t="array" ref="S405">IF(R405&lt;&gt;"NotApplicable",_xlfn.REGEXEXTRACT(R405,"\d+(?=p)"),"NotApplicable")</f>
        <v>NotApplicable</v>
      </c>
      <c r="T405" s="29" t="s">
        <v>1769</v>
      </c>
      <c r="U405" s="29" t="b">
        <f>ISNUMBER(SEARCH(",",E405))</f>
        <v>0</v>
      </c>
    </row>
    <row r="406" spans="1:21" ht="45" x14ac:dyDescent="0.25">
      <c r="A406" s="29" t="str">
        <f>IF(ISBLANK(M406)=TRUE,"Pending","Done")</f>
        <v>Pending</v>
      </c>
      <c r="B406" s="29" t="s">
        <v>2033</v>
      </c>
      <c r="C406" s="29">
        <v>58</v>
      </c>
      <c r="D406" s="29" t="s">
        <v>868</v>
      </c>
      <c r="E406" s="29" t="s">
        <v>1340</v>
      </c>
      <c r="F406" s="29" t="s">
        <v>70</v>
      </c>
      <c r="G406" s="29"/>
      <c r="H406" s="29"/>
      <c r="I406" s="29">
        <v>0</v>
      </c>
      <c r="J406" s="29" t="s">
        <v>1156</v>
      </c>
      <c r="K406" s="29"/>
      <c r="L406" s="29"/>
      <c r="M406" s="29"/>
      <c r="N406" s="29"/>
      <c r="O406" s="29"/>
      <c r="P406" s="29" t="str" cm="1">
        <f t="array" ref="P406">_xlfn.REGEXEXTRACT(B406,"(?&lt;=//)[^/]+")</f>
        <v>bdsmstreak.com</v>
      </c>
      <c r="Q406" s="29" t="s">
        <v>695</v>
      </c>
      <c r="R406" s="29" t="s">
        <v>1769</v>
      </c>
      <c r="S406" s="29" t="str" cm="1">
        <f t="array" ref="S406">IF(R406&lt;&gt;"NotApplicable",_xlfn.REGEXEXTRACT(R406,"\d+(?=p)"),"NotApplicable")</f>
        <v>NotApplicable</v>
      </c>
      <c r="T406" s="29" t="s">
        <v>1769</v>
      </c>
      <c r="U406" s="29" t="b">
        <f>ISNUMBER(SEARCH(",",E406))</f>
        <v>0</v>
      </c>
    </row>
    <row r="407" spans="1:21" ht="30" x14ac:dyDescent="0.25">
      <c r="A407" s="29" t="str">
        <f>IF(ISBLANK(M407)=TRUE,"Pending","Done")</f>
        <v>Pending</v>
      </c>
      <c r="B407" s="29" t="s">
        <v>1642</v>
      </c>
      <c r="C407" s="29">
        <v>59</v>
      </c>
      <c r="D407" s="29" t="s">
        <v>864</v>
      </c>
      <c r="E407" s="29" t="s">
        <v>1658</v>
      </c>
      <c r="F407" s="29" t="s">
        <v>70</v>
      </c>
      <c r="G407" s="29"/>
      <c r="H407" s="29"/>
      <c r="I407" s="29" t="s">
        <v>1769</v>
      </c>
      <c r="J407" s="29" t="s">
        <v>1769</v>
      </c>
      <c r="K407" s="29"/>
      <c r="L407" s="29"/>
      <c r="M407" s="29"/>
      <c r="N407" s="29"/>
      <c r="O407" s="29"/>
      <c r="P407" s="29" t="str" cm="1">
        <f t="array" ref="P407">_xlfn.REGEXEXTRACT(B407,"(?&lt;=//)[^/]+")</f>
        <v>bdsmstreak.com</v>
      </c>
      <c r="Q407" s="29" t="s">
        <v>695</v>
      </c>
      <c r="R407" s="29" t="s">
        <v>1769</v>
      </c>
      <c r="S407" s="29" t="str" cm="1">
        <f t="array" ref="S407">IF(R407&lt;&gt;"NotApplicable",_xlfn.REGEXEXTRACT(R407,"\d+(?=p)"),"NotApplicable")</f>
        <v>NotApplicable</v>
      </c>
      <c r="T407" s="29" t="s">
        <v>1769</v>
      </c>
      <c r="U407" s="29" t="b">
        <f>ISNUMBER(SEARCH(",",E407))</f>
        <v>0</v>
      </c>
    </row>
    <row r="408" spans="1:21" ht="30" x14ac:dyDescent="0.25">
      <c r="A408" s="29" t="str">
        <f>IF(ISBLANK(M408)=TRUE,"Pending","Done")</f>
        <v>Pending</v>
      </c>
      <c r="B408" s="29" t="s">
        <v>1638</v>
      </c>
      <c r="C408" s="29">
        <v>59</v>
      </c>
      <c r="D408" s="29" t="s">
        <v>864</v>
      </c>
      <c r="E408" s="29" t="s">
        <v>1654</v>
      </c>
      <c r="F408" s="29" t="s">
        <v>70</v>
      </c>
      <c r="G408" s="29"/>
      <c r="H408" s="29"/>
      <c r="I408" s="29" t="s">
        <v>1769</v>
      </c>
      <c r="J408" s="29" t="s">
        <v>1769</v>
      </c>
      <c r="K408" s="29"/>
      <c r="L408" s="29"/>
      <c r="M408" s="29"/>
      <c r="N408" s="29"/>
      <c r="O408" s="29" t="s">
        <v>1666</v>
      </c>
      <c r="P408" s="29" t="str" cm="1">
        <f t="array" ref="P408">_xlfn.REGEXEXTRACT(B408,"(?&lt;=//)[^/]+")</f>
        <v>hcbdsm.com</v>
      </c>
      <c r="Q408" s="29" t="s">
        <v>695</v>
      </c>
      <c r="R408" s="29" t="s">
        <v>1769</v>
      </c>
      <c r="S408" s="29" t="str" cm="1">
        <f t="array" ref="S408">IF(R408&lt;&gt;"NotApplicable",_xlfn.REGEXEXTRACT(R408,"\d+(?=p)"),"NotApplicable")</f>
        <v>NotApplicable</v>
      </c>
      <c r="T408" s="29" t="s">
        <v>1769</v>
      </c>
      <c r="U408" s="29" t="b">
        <f>ISNUMBER(SEARCH(",",E408))</f>
        <v>0</v>
      </c>
    </row>
    <row r="409" spans="1:21" ht="30" x14ac:dyDescent="0.25">
      <c r="A409" s="29" t="str">
        <f>IF(ISBLANK(M409)=TRUE,"Pending","Done")</f>
        <v>Pending</v>
      </c>
      <c r="B409" s="29" t="s">
        <v>2144</v>
      </c>
      <c r="C409" s="29">
        <v>59</v>
      </c>
      <c r="D409" s="29" t="s">
        <v>1780</v>
      </c>
      <c r="E409" s="29" t="s">
        <v>2145</v>
      </c>
      <c r="F409" s="29" t="s">
        <v>70</v>
      </c>
      <c r="G409" s="29"/>
      <c r="H409" s="29"/>
      <c r="I409" s="29">
        <v>8</v>
      </c>
      <c r="J409" s="29" t="s">
        <v>2146</v>
      </c>
      <c r="K409" s="29"/>
      <c r="L409" s="29"/>
      <c r="M409" s="29"/>
      <c r="N409" s="29"/>
      <c r="O409" s="29"/>
      <c r="P409" s="29" t="str" cm="1">
        <f t="array" ref="P409">_xlfn.REGEXEXTRACT(B409,"(?&lt;=//)[^/]+")</f>
        <v>hcbdsm.com</v>
      </c>
      <c r="Q409" s="29" t="s">
        <v>695</v>
      </c>
      <c r="R409" s="29" t="s">
        <v>1769</v>
      </c>
      <c r="S409" s="29" t="str" cm="1">
        <f t="array" ref="S409">IF(R409&lt;&gt;"NotApplicable",_xlfn.REGEXEXTRACT(R409,"\d+(?=p)"),"NotApplicable")</f>
        <v>NotApplicable</v>
      </c>
      <c r="T409" s="29" t="s">
        <v>1769</v>
      </c>
      <c r="U409" s="29" t="b">
        <f>ISNUMBER(SEARCH(",",E409))</f>
        <v>0</v>
      </c>
    </row>
    <row r="410" spans="1:21" ht="30" x14ac:dyDescent="0.25">
      <c r="A410" s="29" t="str">
        <f>IF(ISBLANK(M410)=TRUE,"Pending","Done")</f>
        <v>Pending</v>
      </c>
      <c r="B410" s="29" t="s">
        <v>1818</v>
      </c>
      <c r="C410" s="29">
        <v>59</v>
      </c>
      <c r="D410" s="29" t="s">
        <v>864</v>
      </c>
      <c r="E410" s="29" t="s">
        <v>223</v>
      </c>
      <c r="F410" s="29" t="s">
        <v>70</v>
      </c>
      <c r="G410" s="29"/>
      <c r="H410" s="29"/>
      <c r="I410" s="29">
        <v>6</v>
      </c>
      <c r="J410" s="29" t="s">
        <v>1785</v>
      </c>
      <c r="K410" s="29"/>
      <c r="L410" s="29"/>
      <c r="M410" s="29"/>
      <c r="N410" s="29"/>
      <c r="O410" s="29"/>
      <c r="P410" s="29" t="str" cm="1">
        <f t="array" ref="P410">_xlfn.REGEXEXTRACT(B410,"(?&lt;=//)[^/]+")</f>
        <v>hcbdsm.com</v>
      </c>
      <c r="Q410" s="29" t="s">
        <v>695</v>
      </c>
      <c r="R410" s="29" t="s">
        <v>1769</v>
      </c>
      <c r="S410" s="29" t="str" cm="1">
        <f t="array" ref="S410">IF(R410&lt;&gt;"NotApplicable",_xlfn.REGEXEXTRACT(R410,"\d+(?=p)"),"NotApplicable")</f>
        <v>NotApplicable</v>
      </c>
      <c r="T410" s="29" t="s">
        <v>1769</v>
      </c>
      <c r="U410" s="29" t="b">
        <f>ISNUMBER(SEARCH(",",E410))</f>
        <v>0</v>
      </c>
    </row>
    <row r="411" spans="1:21" ht="30" x14ac:dyDescent="0.25">
      <c r="A411" s="29" t="str">
        <f>IF(ISBLANK(M411)=TRUE,"Pending","Done")</f>
        <v>Pending</v>
      </c>
      <c r="B411" s="29" t="s">
        <v>1993</v>
      </c>
      <c r="C411" s="29">
        <v>59</v>
      </c>
      <c r="D411" s="29" t="s">
        <v>864</v>
      </c>
      <c r="E411" s="29" t="s">
        <v>1994</v>
      </c>
      <c r="F411" s="29" t="s">
        <v>70</v>
      </c>
      <c r="G411" s="29"/>
      <c r="H411" s="29"/>
      <c r="I411" s="29">
        <v>2</v>
      </c>
      <c r="J411" s="29" t="s">
        <v>1622</v>
      </c>
      <c r="K411" s="29"/>
      <c r="L411" s="29"/>
      <c r="M411" s="29"/>
      <c r="N411" s="29"/>
      <c r="O411" s="29"/>
      <c r="P411" s="29" t="str" cm="1">
        <f t="array" ref="P411">_xlfn.REGEXEXTRACT(B411,"(?&lt;=//)[^/]+")</f>
        <v>bdsmstreak.com</v>
      </c>
      <c r="Q411" s="29" t="s">
        <v>695</v>
      </c>
      <c r="R411" s="29" t="s">
        <v>1769</v>
      </c>
      <c r="S411" s="29" t="str" cm="1">
        <f t="array" ref="S411">IF(R411&lt;&gt;"NotApplicable",_xlfn.REGEXEXTRACT(R411,"\d+(?=p)"),"NotApplicable")</f>
        <v>NotApplicable</v>
      </c>
      <c r="T411" s="29" t="s">
        <v>1769</v>
      </c>
      <c r="U411" s="29" t="b">
        <f>ISNUMBER(SEARCH(",",E411))</f>
        <v>0</v>
      </c>
    </row>
    <row r="412" spans="1:21" ht="30" x14ac:dyDescent="0.25">
      <c r="A412" s="29" t="str">
        <f>IF(ISBLANK(M412)=TRUE,"Pending","Done")</f>
        <v>Pending</v>
      </c>
      <c r="B412" s="29" t="s">
        <v>1578</v>
      </c>
      <c r="C412" s="29">
        <v>60</v>
      </c>
      <c r="D412" s="29" t="s">
        <v>864</v>
      </c>
      <c r="E412" s="29" t="s">
        <v>1604</v>
      </c>
      <c r="F412" s="29" t="s">
        <v>70</v>
      </c>
      <c r="G412" s="29"/>
      <c r="H412" s="29"/>
      <c r="I412" s="29" t="s">
        <v>1769</v>
      </c>
      <c r="J412" s="29" t="s">
        <v>1769</v>
      </c>
      <c r="K412" s="29"/>
      <c r="L412" s="29"/>
      <c r="M412" s="29"/>
      <c r="N412" s="29"/>
      <c r="O412" s="29" t="s">
        <v>1626</v>
      </c>
      <c r="P412" s="29" t="str" cm="1">
        <f t="array" ref="P412">_xlfn.REGEXEXTRACT(B412,"(?&lt;=//)[^/]+")</f>
        <v>bdsmstreak.com</v>
      </c>
      <c r="Q412" s="29" t="s">
        <v>695</v>
      </c>
      <c r="R412" s="29" t="s">
        <v>1769</v>
      </c>
      <c r="S412" s="29" t="str" cm="1">
        <f t="array" ref="S412">IF(R412&lt;&gt;"NotApplicable",_xlfn.REGEXEXTRACT(R412,"\d+(?=p)"),"NotApplicable")</f>
        <v>NotApplicable</v>
      </c>
      <c r="T412" s="29" t="s">
        <v>1769</v>
      </c>
      <c r="U412" s="29" t="b">
        <f>ISNUMBER(SEARCH(",",E412))</f>
        <v>0</v>
      </c>
    </row>
    <row r="413" spans="1:21" ht="30" x14ac:dyDescent="0.25">
      <c r="A413" s="29" t="str">
        <f>IF(ISBLANK(M413)=TRUE,"Pending","Done")</f>
        <v>Pending</v>
      </c>
      <c r="B413" s="29" t="s">
        <v>1838</v>
      </c>
      <c r="C413" s="29">
        <v>60</v>
      </c>
      <c r="D413" s="29" t="s">
        <v>1839</v>
      </c>
      <c r="E413" s="29" t="s">
        <v>1840</v>
      </c>
      <c r="F413" s="29" t="s">
        <v>70</v>
      </c>
      <c r="G413" s="29"/>
      <c r="H413" s="29"/>
      <c r="I413" s="29">
        <v>0</v>
      </c>
      <c r="J413" s="29" t="s">
        <v>1156</v>
      </c>
      <c r="K413" s="29"/>
      <c r="L413" s="29"/>
      <c r="M413" s="29"/>
      <c r="N413" s="29"/>
      <c r="O413" s="29"/>
      <c r="P413" s="29" t="str" cm="1">
        <f t="array" ref="P413">_xlfn.REGEXEXTRACT(B413,"(?&lt;=//)[^/]+")</f>
        <v>bdsmstreak.com</v>
      </c>
      <c r="Q413" s="29" t="s">
        <v>695</v>
      </c>
      <c r="R413" s="29" t="s">
        <v>1769</v>
      </c>
      <c r="S413" s="29" t="str" cm="1">
        <f t="array" ref="S413">IF(R413&lt;&gt;"NotApplicable",_xlfn.REGEXEXTRACT(R413,"\d+(?=p)"),"NotApplicable")</f>
        <v>NotApplicable</v>
      </c>
      <c r="T413" s="29" t="s">
        <v>1769</v>
      </c>
      <c r="U413" s="29" t="b">
        <f>ISNUMBER(SEARCH(",",E413))</f>
        <v>0</v>
      </c>
    </row>
    <row r="414" spans="1:21" ht="30" x14ac:dyDescent="0.25">
      <c r="A414" s="29" t="str">
        <f>IF(ISBLANK(M414)=TRUE,"Pending","Done")</f>
        <v>Pending</v>
      </c>
      <c r="B414" s="29" t="s">
        <v>1650</v>
      </c>
      <c r="C414" s="29">
        <v>61</v>
      </c>
      <c r="D414" s="29" t="s">
        <v>864</v>
      </c>
      <c r="E414" s="29" t="s">
        <v>1663</v>
      </c>
      <c r="F414" s="29" t="s">
        <v>70</v>
      </c>
      <c r="G414" s="29"/>
      <c r="H414" s="29"/>
      <c r="I414" s="29" t="s">
        <v>1769</v>
      </c>
      <c r="J414" s="29" t="s">
        <v>1769</v>
      </c>
      <c r="K414" s="29"/>
      <c r="L414" s="29"/>
      <c r="M414" s="29"/>
      <c r="N414" s="29"/>
      <c r="O414" s="29" t="s">
        <v>1622</v>
      </c>
      <c r="P414" s="29" t="str" cm="1">
        <f t="array" ref="P414">_xlfn.REGEXEXTRACT(B414,"(?&lt;=//)[^/]+")</f>
        <v>hcbdsm.com</v>
      </c>
      <c r="Q414" s="29" t="s">
        <v>695</v>
      </c>
      <c r="R414" s="29" t="s">
        <v>1769</v>
      </c>
      <c r="S414" s="29" t="str" cm="1">
        <f t="array" ref="S414">IF(R414&lt;&gt;"NotApplicable",_xlfn.REGEXEXTRACT(R414,"\d+(?=p)"),"NotApplicable")</f>
        <v>NotApplicable</v>
      </c>
      <c r="T414" s="29" t="s">
        <v>1769</v>
      </c>
      <c r="U414" s="29" t="b">
        <f>ISNUMBER(SEARCH(",",E414))</f>
        <v>0</v>
      </c>
    </row>
    <row r="415" spans="1:21" ht="30" x14ac:dyDescent="0.25">
      <c r="A415" s="29" t="str">
        <f>IF(ISBLANK(M415)=TRUE,"Pending","Done")</f>
        <v>Pending</v>
      </c>
      <c r="B415" s="29" t="s">
        <v>1980</v>
      </c>
      <c r="C415" s="29">
        <v>61</v>
      </c>
      <c r="D415" s="29" t="s">
        <v>860</v>
      </c>
      <c r="E415" s="29" t="s">
        <v>1981</v>
      </c>
      <c r="F415" s="29" t="s">
        <v>70</v>
      </c>
      <c r="G415" s="29"/>
      <c r="H415" s="29"/>
      <c r="I415" s="29">
        <v>2</v>
      </c>
      <c r="J415" s="29" t="s">
        <v>1696</v>
      </c>
      <c r="K415" s="29"/>
      <c r="L415" s="29"/>
      <c r="M415" s="29"/>
      <c r="N415" s="29"/>
      <c r="O415" s="29"/>
      <c r="P415" s="29" t="str" cm="1">
        <f t="array" ref="P415">_xlfn.REGEXEXTRACT(B415,"(?&lt;=//)[^/]+")</f>
        <v>bdsmstreak.com</v>
      </c>
      <c r="Q415" s="29" t="s">
        <v>695</v>
      </c>
      <c r="R415" s="29" t="s">
        <v>1769</v>
      </c>
      <c r="S415" s="29" t="str" cm="1">
        <f t="array" ref="S415">IF(R415&lt;&gt;"NotApplicable",_xlfn.REGEXEXTRACT(R415,"\d+(?=p)"),"NotApplicable")</f>
        <v>NotApplicable</v>
      </c>
      <c r="T415" s="29" t="s">
        <v>1769</v>
      </c>
      <c r="U415" s="29" t="b">
        <f>ISNUMBER(SEARCH(",",E415))</f>
        <v>1</v>
      </c>
    </row>
    <row r="416" spans="1:21" ht="30" x14ac:dyDescent="0.25">
      <c r="A416" s="29" t="str">
        <f>IF(ISBLANK(M416)=TRUE,"Pending","Done")</f>
        <v>Pending</v>
      </c>
      <c r="B416" s="29" t="s">
        <v>2135</v>
      </c>
      <c r="C416" s="29">
        <v>61</v>
      </c>
      <c r="D416" s="29" t="s">
        <v>868</v>
      </c>
      <c r="E416" s="29" t="s">
        <v>2136</v>
      </c>
      <c r="F416" s="29" t="s">
        <v>70</v>
      </c>
      <c r="G416" s="29"/>
      <c r="H416" s="29"/>
      <c r="I416" s="29">
        <v>2</v>
      </c>
      <c r="J416" s="29" t="s">
        <v>2137</v>
      </c>
      <c r="K416" s="29"/>
      <c r="L416" s="29"/>
      <c r="M416" s="29"/>
      <c r="N416" s="29"/>
      <c r="O416" s="29"/>
      <c r="P416" s="29" t="str" cm="1">
        <f t="array" ref="P416">_xlfn.REGEXEXTRACT(B416,"(?&lt;=//)[^/]+")</f>
        <v>bdsmstreak.com</v>
      </c>
      <c r="Q416" s="29" t="s">
        <v>695</v>
      </c>
      <c r="R416" s="29" t="s">
        <v>1769</v>
      </c>
      <c r="S416" s="29" t="str" cm="1">
        <f t="array" ref="S416">IF(R416&lt;&gt;"NotApplicable",_xlfn.REGEXEXTRACT(R416,"\d+(?=p)"),"NotApplicable")</f>
        <v>NotApplicable</v>
      </c>
      <c r="T416" s="29" t="s">
        <v>1769</v>
      </c>
      <c r="U416" s="29" t="b">
        <f>ISNUMBER(SEARCH(",",E416))</f>
        <v>0</v>
      </c>
    </row>
    <row r="417" spans="1:21" ht="30" x14ac:dyDescent="0.25">
      <c r="A417" s="29" t="str">
        <f>IF(ISBLANK(M417)=TRUE,"Pending","Done")</f>
        <v>Pending</v>
      </c>
      <c r="B417" s="29" t="s">
        <v>1643</v>
      </c>
      <c r="C417" s="29">
        <v>62</v>
      </c>
      <c r="D417" s="29" t="s">
        <v>864</v>
      </c>
      <c r="E417" s="29" t="s">
        <v>207</v>
      </c>
      <c r="F417" s="29" t="s">
        <v>70</v>
      </c>
      <c r="G417" s="29"/>
      <c r="H417" s="29"/>
      <c r="I417" s="29" t="s">
        <v>1769</v>
      </c>
      <c r="J417" s="29" t="s">
        <v>1769</v>
      </c>
      <c r="K417" s="29"/>
      <c r="L417" s="29"/>
      <c r="M417" s="29"/>
      <c r="N417" s="29"/>
      <c r="O417" s="29" t="s">
        <v>1622</v>
      </c>
      <c r="P417" s="29" t="str" cm="1">
        <f t="array" ref="P417">_xlfn.REGEXEXTRACT(B417,"(?&lt;=//)[^/]+")</f>
        <v>bdsmstreak.com</v>
      </c>
      <c r="Q417" s="29" t="s">
        <v>695</v>
      </c>
      <c r="R417" s="29" t="s">
        <v>1769</v>
      </c>
      <c r="S417" s="29" t="str" cm="1">
        <f t="array" ref="S417">IF(R417&lt;&gt;"NotApplicable",_xlfn.REGEXEXTRACT(R417,"\d+(?=p)"),"NotApplicable")</f>
        <v>NotApplicable</v>
      </c>
      <c r="T417" s="29" t="s">
        <v>1769</v>
      </c>
      <c r="U417" s="29" t="b">
        <f>ISNUMBER(SEARCH(",",E417))</f>
        <v>0</v>
      </c>
    </row>
    <row r="418" spans="1:21" ht="30" x14ac:dyDescent="0.25">
      <c r="A418" s="29" t="str">
        <f>IF(ISBLANK(M418)=TRUE,"Pending","Done")</f>
        <v>Pending</v>
      </c>
      <c r="B418" s="29" t="s">
        <v>1648</v>
      </c>
      <c r="C418" s="29">
        <v>62</v>
      </c>
      <c r="D418" s="29" t="s">
        <v>864</v>
      </c>
      <c r="E418" s="29" t="s">
        <v>1662</v>
      </c>
      <c r="F418" s="29" t="s">
        <v>70</v>
      </c>
      <c r="G418" s="29"/>
      <c r="H418" s="29"/>
      <c r="I418" s="29" t="s">
        <v>1769</v>
      </c>
      <c r="J418" s="29" t="s">
        <v>1769</v>
      </c>
      <c r="K418" s="29"/>
      <c r="L418" s="29"/>
      <c r="M418" s="29"/>
      <c r="N418" s="29"/>
      <c r="O418" s="29" t="s">
        <v>1668</v>
      </c>
      <c r="P418" s="29" t="str" cm="1">
        <f t="array" ref="P418">_xlfn.REGEXEXTRACT(B418,"(?&lt;=//)[^/]+")</f>
        <v>bdsmstreak.com</v>
      </c>
      <c r="Q418" s="29" t="s">
        <v>695</v>
      </c>
      <c r="R418" s="29" t="s">
        <v>1769</v>
      </c>
      <c r="S418" s="29" t="str" cm="1">
        <f t="array" ref="S418">IF(R418&lt;&gt;"NotApplicable",_xlfn.REGEXEXTRACT(R418,"\d+(?=p)"),"NotApplicable")</f>
        <v>NotApplicable</v>
      </c>
      <c r="T418" s="29" t="s">
        <v>1769</v>
      </c>
      <c r="U418" s="29" t="b">
        <f>ISNUMBER(SEARCH(",",E418))</f>
        <v>0</v>
      </c>
    </row>
    <row r="419" spans="1:21" ht="30" x14ac:dyDescent="0.25">
      <c r="A419" s="29" t="str">
        <f>IF(ISBLANK(M419)=TRUE,"Pending","Done")</f>
        <v>Pending</v>
      </c>
      <c r="B419" s="29" t="s">
        <v>2105</v>
      </c>
      <c r="C419" s="29">
        <v>62</v>
      </c>
      <c r="D419" s="29" t="s">
        <v>868</v>
      </c>
      <c r="E419" s="29" t="s">
        <v>1606</v>
      </c>
      <c r="F419" s="29" t="s">
        <v>70</v>
      </c>
      <c r="G419" s="29"/>
      <c r="H419" s="29"/>
      <c r="I419" s="29">
        <v>8</v>
      </c>
      <c r="J419" s="29" t="s">
        <v>2106</v>
      </c>
      <c r="K419" s="29"/>
      <c r="L419" s="29"/>
      <c r="M419" s="29"/>
      <c r="N419" s="29"/>
      <c r="O419" s="29"/>
      <c r="P419" s="29" t="str" cm="1">
        <f t="array" ref="P419">_xlfn.REGEXEXTRACT(B419,"(?&lt;=//)[^/]+")</f>
        <v>bdsmstreak.com</v>
      </c>
      <c r="Q419" s="29" t="s">
        <v>695</v>
      </c>
      <c r="R419" s="29" t="s">
        <v>1769</v>
      </c>
      <c r="S419" s="29" t="str" cm="1">
        <f t="array" ref="S419">IF(R419&lt;&gt;"NotApplicable",_xlfn.REGEXEXTRACT(R419,"\d+(?=p)"),"NotApplicable")</f>
        <v>NotApplicable</v>
      </c>
      <c r="T419" s="29" t="s">
        <v>1769</v>
      </c>
      <c r="U419" s="29" t="b">
        <f>ISNUMBER(SEARCH(",",E419))</f>
        <v>0</v>
      </c>
    </row>
    <row r="420" spans="1:21" ht="30" x14ac:dyDescent="0.25">
      <c r="A420" s="29" t="str">
        <f>IF(ISBLANK(M420)=TRUE,"Pending","Done")</f>
        <v>Pending</v>
      </c>
      <c r="B420" s="29" t="s">
        <v>1852</v>
      </c>
      <c r="C420" s="29">
        <v>62</v>
      </c>
      <c r="D420" s="29" t="s">
        <v>864</v>
      </c>
      <c r="E420" s="29" t="s">
        <v>1853</v>
      </c>
      <c r="F420" s="29" t="s">
        <v>70</v>
      </c>
      <c r="G420" s="29"/>
      <c r="H420" s="29"/>
      <c r="I420" s="29">
        <v>6</v>
      </c>
      <c r="J420" s="29" t="s">
        <v>1854</v>
      </c>
      <c r="K420" s="29"/>
      <c r="L420" s="29"/>
      <c r="M420" s="29"/>
      <c r="N420" s="29"/>
      <c r="O420" s="29"/>
      <c r="P420" s="29" t="str" cm="1">
        <f t="array" ref="P420">_xlfn.REGEXEXTRACT(B420,"(?&lt;=//)[^/]+")</f>
        <v>bdsmstreak.com</v>
      </c>
      <c r="Q420" s="29" t="s">
        <v>695</v>
      </c>
      <c r="R420" s="29" t="s">
        <v>1769</v>
      </c>
      <c r="S420" s="29" t="str" cm="1">
        <f t="array" ref="S420">IF(R420&lt;&gt;"NotApplicable",_xlfn.REGEXEXTRACT(R420,"\d+(?=p)"),"NotApplicable")</f>
        <v>NotApplicable</v>
      </c>
      <c r="T420" s="29" t="s">
        <v>1769</v>
      </c>
      <c r="U420" s="29" t="b">
        <f>ISNUMBER(SEARCH(",",E420))</f>
        <v>0</v>
      </c>
    </row>
    <row r="421" spans="1:21" ht="30" x14ac:dyDescent="0.25">
      <c r="A421" s="29" t="str">
        <f>IF(ISBLANK(M421)=TRUE,"Pending","Done")</f>
        <v>Pending</v>
      </c>
      <c r="B421" s="29" t="s">
        <v>1831</v>
      </c>
      <c r="C421" s="29">
        <v>62</v>
      </c>
      <c r="D421" s="29" t="s">
        <v>868</v>
      </c>
      <c r="E421" s="29" t="s">
        <v>1787</v>
      </c>
      <c r="F421" s="29" t="s">
        <v>70</v>
      </c>
      <c r="G421" s="29"/>
      <c r="H421" s="29"/>
      <c r="I421" s="29">
        <v>4</v>
      </c>
      <c r="J421" s="29" t="s">
        <v>1672</v>
      </c>
      <c r="K421" s="29"/>
      <c r="L421" s="29"/>
      <c r="M421" s="29"/>
      <c r="N421" s="29"/>
      <c r="O421" s="29"/>
      <c r="P421" s="29" t="str" cm="1">
        <f t="array" ref="P421">_xlfn.REGEXEXTRACT(B421,"(?&lt;=//)[^/]+")</f>
        <v>bdsmstreak.com</v>
      </c>
      <c r="Q421" s="29" t="s">
        <v>695</v>
      </c>
      <c r="R421" s="29" t="s">
        <v>1769</v>
      </c>
      <c r="S421" s="29" t="str" cm="1">
        <f t="array" ref="S421">IF(R421&lt;&gt;"NotApplicable",_xlfn.REGEXEXTRACT(R421,"\d+(?=p)"),"NotApplicable")</f>
        <v>NotApplicable</v>
      </c>
      <c r="T421" s="29" t="s">
        <v>1769</v>
      </c>
      <c r="U421" s="29" t="b">
        <f>ISNUMBER(SEARCH(",",E421))</f>
        <v>0</v>
      </c>
    </row>
    <row r="422" spans="1:21" ht="45" x14ac:dyDescent="0.25">
      <c r="A422" s="29" t="str">
        <f>IF(ISBLANK(M422)=TRUE,"Pending","Done")</f>
        <v>Pending</v>
      </c>
      <c r="B422" s="29" t="s">
        <v>1973</v>
      </c>
      <c r="C422" s="29">
        <v>62</v>
      </c>
      <c r="D422" s="29" t="s">
        <v>1815</v>
      </c>
      <c r="E422" s="29" t="s">
        <v>1974</v>
      </c>
      <c r="F422" s="29" t="s">
        <v>70</v>
      </c>
      <c r="G422" s="29"/>
      <c r="H422" s="29"/>
      <c r="I422" s="29">
        <v>0</v>
      </c>
      <c r="J422" s="29" t="s">
        <v>1156</v>
      </c>
      <c r="K422" s="29"/>
      <c r="L422" s="29"/>
      <c r="M422" s="29"/>
      <c r="N422" s="29"/>
      <c r="O422" s="29"/>
      <c r="P422" s="29" t="str" cm="1">
        <f t="array" ref="P422">_xlfn.REGEXEXTRACT(B422,"(?&lt;=//)[^/]+")</f>
        <v>hcbdsm.com</v>
      </c>
      <c r="Q422" s="29" t="s">
        <v>695</v>
      </c>
      <c r="R422" s="29" t="s">
        <v>1769</v>
      </c>
      <c r="S422" s="29" t="str" cm="1">
        <f t="array" ref="S422">IF(R422&lt;&gt;"NotApplicable",_xlfn.REGEXEXTRACT(R422,"\d+(?=p)"),"NotApplicable")</f>
        <v>NotApplicable</v>
      </c>
      <c r="T422" s="29" t="s">
        <v>1769</v>
      </c>
      <c r="U422" s="29" t="b">
        <f>ISNUMBER(SEARCH(",",E422))</f>
        <v>0</v>
      </c>
    </row>
    <row r="423" spans="1:21" ht="30" x14ac:dyDescent="0.25">
      <c r="A423" s="29" t="str">
        <f>IF(ISBLANK(M423)=TRUE,"Pending","Done")</f>
        <v>Pending</v>
      </c>
      <c r="B423" s="29" t="s">
        <v>2149</v>
      </c>
      <c r="C423" s="29">
        <v>63</v>
      </c>
      <c r="D423" s="29" t="s">
        <v>864</v>
      </c>
      <c r="E423" s="29" t="s">
        <v>1658</v>
      </c>
      <c r="F423" s="29" t="s">
        <v>70</v>
      </c>
      <c r="G423" s="29"/>
      <c r="H423" s="29"/>
      <c r="I423" s="29">
        <v>3</v>
      </c>
      <c r="J423" s="29" t="s">
        <v>2150</v>
      </c>
      <c r="K423" s="29"/>
      <c r="L423" s="29"/>
      <c r="M423" s="29"/>
      <c r="N423" s="29"/>
      <c r="O423" s="29"/>
      <c r="P423" s="29" t="str" cm="1">
        <f t="array" ref="P423">_xlfn.REGEXEXTRACT(B423,"(?&lt;=//)[^/]+")</f>
        <v>bdsmstreak.com</v>
      </c>
      <c r="Q423" s="29" t="s">
        <v>695</v>
      </c>
      <c r="R423" s="29" t="s">
        <v>1769</v>
      </c>
      <c r="S423" s="29" t="str" cm="1">
        <f t="array" ref="S423">IF(R423&lt;&gt;"NotApplicable",_xlfn.REGEXEXTRACT(R423,"\d+(?=p)"),"NotApplicable")</f>
        <v>NotApplicable</v>
      </c>
      <c r="T423" s="29" t="s">
        <v>1769</v>
      </c>
      <c r="U423" s="29" t="b">
        <f>ISNUMBER(SEARCH(",",E423))</f>
        <v>0</v>
      </c>
    </row>
    <row r="424" spans="1:21" ht="30" x14ac:dyDescent="0.25">
      <c r="A424" s="29" t="str">
        <f>IF(ISBLANK(M424)=TRUE,"Pending","Done")</f>
        <v>Pending</v>
      </c>
      <c r="B424" s="29" t="s">
        <v>2015</v>
      </c>
      <c r="C424" s="29">
        <v>63</v>
      </c>
      <c r="D424" s="29" t="s">
        <v>868</v>
      </c>
      <c r="E424" s="29" t="s">
        <v>207</v>
      </c>
      <c r="F424" s="29" t="s">
        <v>70</v>
      </c>
      <c r="G424" s="29"/>
      <c r="H424" s="29"/>
      <c r="I424" s="29">
        <v>2</v>
      </c>
      <c r="J424" s="29" t="s">
        <v>1785</v>
      </c>
      <c r="K424" s="29"/>
      <c r="L424" s="29"/>
      <c r="M424" s="29"/>
      <c r="N424" s="29"/>
      <c r="O424" s="29"/>
      <c r="P424" s="29" t="str" cm="1">
        <f t="array" ref="P424">_xlfn.REGEXEXTRACT(B424,"(?&lt;=//)[^/]+")</f>
        <v>bdsmstreak.com</v>
      </c>
      <c r="Q424" s="29" t="s">
        <v>695</v>
      </c>
      <c r="R424" s="29" t="s">
        <v>1769</v>
      </c>
      <c r="S424" s="29" t="str" cm="1">
        <f t="array" ref="S424">IF(R424&lt;&gt;"NotApplicable",_xlfn.REGEXEXTRACT(R424,"\d+(?=p)"),"NotApplicable")</f>
        <v>NotApplicable</v>
      </c>
      <c r="T424" s="29" t="s">
        <v>1769</v>
      </c>
      <c r="U424" s="29" t="b">
        <f>ISNUMBER(SEARCH(",",E424))</f>
        <v>0</v>
      </c>
    </row>
    <row r="425" spans="1:21" ht="30" x14ac:dyDescent="0.25">
      <c r="A425" s="29" t="str">
        <f>IF(ISBLANK(M425)=TRUE,"Pending","Done")</f>
        <v>Pending</v>
      </c>
      <c r="B425" s="29" t="s">
        <v>1887</v>
      </c>
      <c r="C425" s="29">
        <v>63</v>
      </c>
      <c r="D425" s="29" t="s">
        <v>868</v>
      </c>
      <c r="E425" s="29" t="s">
        <v>1659</v>
      </c>
      <c r="F425" s="29" t="s">
        <v>70</v>
      </c>
      <c r="G425" s="29"/>
      <c r="H425" s="29"/>
      <c r="I425" s="29">
        <v>0</v>
      </c>
      <c r="J425" s="29" t="s">
        <v>1156</v>
      </c>
      <c r="K425" s="29"/>
      <c r="L425" s="29"/>
      <c r="M425" s="29"/>
      <c r="N425" s="29"/>
      <c r="O425" s="29"/>
      <c r="P425" s="29" t="str" cm="1">
        <f t="array" ref="P425">_xlfn.REGEXEXTRACT(B425,"(?&lt;=//)[^/]+")</f>
        <v>bdsmstreak.com</v>
      </c>
      <c r="Q425" s="29" t="s">
        <v>695</v>
      </c>
      <c r="R425" s="29" t="s">
        <v>1769</v>
      </c>
      <c r="S425" s="29" t="str" cm="1">
        <f t="array" ref="S425">IF(R425&lt;&gt;"NotApplicable",_xlfn.REGEXEXTRACT(R425,"\d+(?=p)"),"NotApplicable")</f>
        <v>NotApplicable</v>
      </c>
      <c r="T425" s="29" t="s">
        <v>1769</v>
      </c>
      <c r="U425" s="29" t="b">
        <f>ISNUMBER(SEARCH(",",E425))</f>
        <v>0</v>
      </c>
    </row>
    <row r="426" spans="1:21" ht="30" x14ac:dyDescent="0.25">
      <c r="A426" s="29" t="str">
        <f>IF(ISBLANK(M426)=TRUE,"Pending","Done")</f>
        <v>Pending</v>
      </c>
      <c r="B426" s="29" t="s">
        <v>1985</v>
      </c>
      <c r="C426" s="29">
        <v>63</v>
      </c>
      <c r="D426" s="29" t="s">
        <v>860</v>
      </c>
      <c r="E426" s="29" t="s">
        <v>192</v>
      </c>
      <c r="F426" s="29" t="s">
        <v>70</v>
      </c>
      <c r="G426" s="29"/>
      <c r="H426" s="29"/>
      <c r="I426" s="29">
        <v>0</v>
      </c>
      <c r="J426" s="29" t="s">
        <v>1156</v>
      </c>
      <c r="K426" s="29"/>
      <c r="L426" s="29"/>
      <c r="M426" s="29"/>
      <c r="N426" s="29"/>
      <c r="O426" s="29"/>
      <c r="P426" s="29" t="str" cm="1">
        <f t="array" ref="P426">_xlfn.REGEXEXTRACT(B426,"(?&lt;=//)[^/]+")</f>
        <v>bdsmstreak.com</v>
      </c>
      <c r="Q426" s="29" t="s">
        <v>695</v>
      </c>
      <c r="R426" s="29" t="s">
        <v>1769</v>
      </c>
      <c r="S426" s="29" t="str" cm="1">
        <f t="array" ref="S426">IF(R426&lt;&gt;"NotApplicable",_xlfn.REGEXEXTRACT(R426,"\d+(?=p)"),"NotApplicable")</f>
        <v>NotApplicable</v>
      </c>
      <c r="T426" s="29" t="s">
        <v>1769</v>
      </c>
      <c r="U426" s="29" t="b">
        <f>ISNUMBER(SEARCH(",",E426))</f>
        <v>0</v>
      </c>
    </row>
    <row r="427" spans="1:21" ht="30" x14ac:dyDescent="0.25">
      <c r="A427" s="29" t="str">
        <f>IF(ISBLANK(M427)=TRUE,"Pending","Done")</f>
        <v>Pending</v>
      </c>
      <c r="B427" s="29" t="s">
        <v>1454</v>
      </c>
      <c r="C427" s="29">
        <v>64</v>
      </c>
      <c r="D427" s="29" t="s">
        <v>864</v>
      </c>
      <c r="E427" s="29" t="s">
        <v>1453</v>
      </c>
      <c r="F427" s="29" t="s">
        <v>70</v>
      </c>
      <c r="G427" s="29"/>
      <c r="H427" s="29"/>
      <c r="I427" s="29" t="s">
        <v>1769</v>
      </c>
      <c r="J427" s="29" t="s">
        <v>1769</v>
      </c>
      <c r="K427" s="29"/>
      <c r="L427" s="29"/>
      <c r="M427" s="29"/>
      <c r="N427" s="29"/>
      <c r="O427" s="29"/>
      <c r="P427" s="29" t="str" cm="1">
        <f t="array" ref="P427">_xlfn.REGEXEXTRACT(B427,"(?&lt;=//)[^/]+")</f>
        <v>bdsmlust.com</v>
      </c>
      <c r="Q427" s="29" t="s">
        <v>695</v>
      </c>
      <c r="R427" s="29" t="s">
        <v>1769</v>
      </c>
      <c r="S427" s="29" t="str" cm="1">
        <f t="array" ref="S427">IF(R427&lt;&gt;"NotApplicable",_xlfn.REGEXEXTRACT(R427,"\d+(?=p)"),"NotApplicable")</f>
        <v>NotApplicable</v>
      </c>
      <c r="T427" s="29" t="s">
        <v>1769</v>
      </c>
      <c r="U427" s="29" t="b">
        <f>ISNUMBER(SEARCH(",",E427))</f>
        <v>0</v>
      </c>
    </row>
    <row r="428" spans="1:21" ht="30" x14ac:dyDescent="0.25">
      <c r="A428" s="29" t="str">
        <f>IF(ISBLANK(M428)=TRUE,"Pending","Done")</f>
        <v>Pending</v>
      </c>
      <c r="B428" s="29" t="s">
        <v>1644</v>
      </c>
      <c r="C428" s="29">
        <v>64</v>
      </c>
      <c r="D428" s="29" t="s">
        <v>868</v>
      </c>
      <c r="E428" s="29" t="s">
        <v>1659</v>
      </c>
      <c r="F428" s="29" t="s">
        <v>70</v>
      </c>
      <c r="G428" s="29"/>
      <c r="H428" s="29"/>
      <c r="I428" s="29" t="s">
        <v>1769</v>
      </c>
      <c r="J428" s="29" t="s">
        <v>1769</v>
      </c>
      <c r="K428" s="29"/>
      <c r="L428" s="29"/>
      <c r="M428" s="29"/>
      <c r="N428" s="29"/>
      <c r="O428" s="29"/>
      <c r="P428" s="29" t="str" cm="1">
        <f t="array" ref="P428">_xlfn.REGEXEXTRACT(B428,"(?&lt;=//)[^/]+")</f>
        <v>bdsmstreak.com</v>
      </c>
      <c r="Q428" s="29" t="s">
        <v>695</v>
      </c>
      <c r="R428" s="29" t="s">
        <v>1769</v>
      </c>
      <c r="S428" s="29" t="str" cm="1">
        <f t="array" ref="S428">IF(R428&lt;&gt;"NotApplicable",_xlfn.REGEXEXTRACT(R428,"\d+(?=p)"),"NotApplicable")</f>
        <v>NotApplicable</v>
      </c>
      <c r="T428" s="29" t="s">
        <v>1769</v>
      </c>
      <c r="U428" s="29" t="b">
        <f>ISNUMBER(SEARCH(",",E428))</f>
        <v>0</v>
      </c>
    </row>
    <row r="429" spans="1:21" ht="30" x14ac:dyDescent="0.25">
      <c r="A429" s="29" t="str">
        <f>IF(ISBLANK(M429)=TRUE,"Pending","Done")</f>
        <v>Pending</v>
      </c>
      <c r="B429" s="29" t="s">
        <v>1848</v>
      </c>
      <c r="C429" s="29">
        <v>64</v>
      </c>
      <c r="D429" s="29" t="s">
        <v>868</v>
      </c>
      <c r="E429" s="29" t="s">
        <v>1806</v>
      </c>
      <c r="F429" s="29" t="s">
        <v>70</v>
      </c>
      <c r="G429" s="29"/>
      <c r="H429" s="29"/>
      <c r="I429" s="29">
        <v>5</v>
      </c>
      <c r="J429" s="29" t="s">
        <v>1849</v>
      </c>
      <c r="K429" s="29"/>
      <c r="L429" s="29"/>
      <c r="M429" s="29"/>
      <c r="N429" s="29"/>
      <c r="O429" s="29"/>
      <c r="P429" s="29" t="str" cm="1">
        <f t="array" ref="P429">_xlfn.REGEXEXTRACT(B429,"(?&lt;=//)[^/]+")</f>
        <v>hcbdsm.com</v>
      </c>
      <c r="Q429" s="29" t="s">
        <v>695</v>
      </c>
      <c r="R429" s="29" t="s">
        <v>1769</v>
      </c>
      <c r="S429" s="29" t="str" cm="1">
        <f t="array" ref="S429">IF(R429&lt;&gt;"NotApplicable",_xlfn.REGEXEXTRACT(R429,"\d+(?=p)"),"NotApplicable")</f>
        <v>NotApplicable</v>
      </c>
      <c r="T429" s="29" t="s">
        <v>1769</v>
      </c>
      <c r="U429" s="29" t="b">
        <f>ISNUMBER(SEARCH(",",E429))</f>
        <v>0</v>
      </c>
    </row>
    <row r="430" spans="1:21" ht="30" x14ac:dyDescent="0.25">
      <c r="A430" s="29" t="str">
        <f>IF(ISBLANK(M430)=TRUE,"Pending","Done")</f>
        <v>Pending</v>
      </c>
      <c r="B430" s="29" t="s">
        <v>1892</v>
      </c>
      <c r="C430" s="29">
        <v>64</v>
      </c>
      <c r="D430" s="29" t="s">
        <v>868</v>
      </c>
      <c r="E430" s="29" t="s">
        <v>1859</v>
      </c>
      <c r="F430" s="29" t="s">
        <v>70</v>
      </c>
      <c r="G430" s="29"/>
      <c r="H430" s="29"/>
      <c r="I430" s="29">
        <v>3</v>
      </c>
      <c r="J430" s="29" t="s">
        <v>1893</v>
      </c>
      <c r="K430" s="29"/>
      <c r="L430" s="29"/>
      <c r="M430" s="29"/>
      <c r="N430" s="29"/>
      <c r="O430" s="29"/>
      <c r="P430" s="29" t="str" cm="1">
        <f t="array" ref="P430">_xlfn.REGEXEXTRACT(B430,"(?&lt;=//)[^/]+")</f>
        <v>bdsmstreak.com</v>
      </c>
      <c r="Q430" s="29" t="s">
        <v>695</v>
      </c>
      <c r="R430" s="29" t="s">
        <v>1769</v>
      </c>
      <c r="S430" s="29" t="str" cm="1">
        <f t="array" ref="S430">IF(R430&lt;&gt;"NotApplicable",_xlfn.REGEXEXTRACT(R430,"\d+(?=p)"),"NotApplicable")</f>
        <v>NotApplicable</v>
      </c>
      <c r="T430" s="29" t="s">
        <v>1769</v>
      </c>
      <c r="U430" s="29" t="b">
        <f>ISNUMBER(SEARCH(",",E430))</f>
        <v>0</v>
      </c>
    </row>
    <row r="431" spans="1:21" ht="30" x14ac:dyDescent="0.25">
      <c r="A431" s="29" t="str">
        <f>IF(ISBLANK(M431)=TRUE,"Pending","Done")</f>
        <v>Pending</v>
      </c>
      <c r="B431" s="29" t="s">
        <v>1902</v>
      </c>
      <c r="C431" s="29">
        <v>64</v>
      </c>
      <c r="D431" s="29" t="s">
        <v>864</v>
      </c>
      <c r="E431" s="29" t="s">
        <v>1903</v>
      </c>
      <c r="F431" s="29" t="s">
        <v>70</v>
      </c>
      <c r="G431" s="29"/>
      <c r="H431" s="29"/>
      <c r="I431" s="29">
        <v>2</v>
      </c>
      <c r="J431" s="29" t="s">
        <v>1904</v>
      </c>
      <c r="K431" s="29"/>
      <c r="L431" s="29"/>
      <c r="M431" s="29"/>
      <c r="N431" s="29"/>
      <c r="O431" s="29"/>
      <c r="P431" s="29" t="str" cm="1">
        <f t="array" ref="P431">_xlfn.REGEXEXTRACT(B431,"(?&lt;=//)[^/]+")</f>
        <v>bdsmstreak.com</v>
      </c>
      <c r="Q431" s="29" t="s">
        <v>695</v>
      </c>
      <c r="R431" s="29" t="s">
        <v>1769</v>
      </c>
      <c r="S431" s="29" t="str" cm="1">
        <f t="array" ref="S431">IF(R431&lt;&gt;"NotApplicable",_xlfn.REGEXEXTRACT(R431,"\d+(?=p)"),"NotApplicable")</f>
        <v>NotApplicable</v>
      </c>
      <c r="T431" s="29" t="s">
        <v>1769</v>
      </c>
      <c r="U431" s="29" t="b">
        <f>ISNUMBER(SEARCH(",",E431))</f>
        <v>0</v>
      </c>
    </row>
    <row r="432" spans="1:21" ht="30" x14ac:dyDescent="0.25">
      <c r="A432" s="29" t="str">
        <f>IF(ISBLANK(M432)=TRUE,"Pending","Done")</f>
        <v>Pending</v>
      </c>
      <c r="B432" s="29" t="s">
        <v>1858</v>
      </c>
      <c r="C432" s="29">
        <v>65</v>
      </c>
      <c r="D432" s="29" t="s">
        <v>868</v>
      </c>
      <c r="E432" s="29" t="s">
        <v>1859</v>
      </c>
      <c r="F432" s="29" t="s">
        <v>70</v>
      </c>
      <c r="G432" s="29"/>
      <c r="H432" s="29"/>
      <c r="I432" s="29">
        <v>3</v>
      </c>
      <c r="J432" s="29" t="s">
        <v>1621</v>
      </c>
      <c r="K432" s="29"/>
      <c r="L432" s="29"/>
      <c r="M432" s="29"/>
      <c r="N432" s="29"/>
      <c r="O432" s="29"/>
      <c r="P432" s="29" t="str" cm="1">
        <f t="array" ref="P432">_xlfn.REGEXEXTRACT(B432,"(?&lt;=//)[^/]+")</f>
        <v>bdsmstreak.com</v>
      </c>
      <c r="Q432" s="29" t="s">
        <v>695</v>
      </c>
      <c r="R432" s="29" t="s">
        <v>1769</v>
      </c>
      <c r="S432" s="29" t="str" cm="1">
        <f t="array" ref="S432">IF(R432&lt;&gt;"NotApplicable",_xlfn.REGEXEXTRACT(R432,"\d+(?=p)"),"NotApplicable")</f>
        <v>NotApplicable</v>
      </c>
      <c r="T432" s="29" t="s">
        <v>1769</v>
      </c>
      <c r="U432" s="29" t="b">
        <f>ISNUMBER(SEARCH(",",E432))</f>
        <v>0</v>
      </c>
    </row>
    <row r="433" spans="1:21" ht="30" x14ac:dyDescent="0.25">
      <c r="A433" s="29" t="str">
        <f>IF(ISBLANK(M433)=TRUE,"Pending","Done")</f>
        <v>Pending</v>
      </c>
      <c r="B433" s="29" t="s">
        <v>2139</v>
      </c>
      <c r="C433" s="29">
        <v>66</v>
      </c>
      <c r="D433" s="29" t="s">
        <v>864</v>
      </c>
      <c r="E433" s="29" t="s">
        <v>1436</v>
      </c>
      <c r="F433" s="29" t="s">
        <v>70</v>
      </c>
      <c r="G433" s="29"/>
      <c r="H433" s="29"/>
      <c r="I433" s="29">
        <v>0</v>
      </c>
      <c r="J433" s="29" t="s">
        <v>1156</v>
      </c>
      <c r="K433" s="29"/>
      <c r="L433" s="29"/>
      <c r="M433" s="29"/>
      <c r="N433" s="29"/>
      <c r="O433" s="29"/>
      <c r="P433" s="29" t="str" cm="1">
        <f t="array" ref="P433">_xlfn.REGEXEXTRACT(B433,"(?&lt;=//)[^/]+")</f>
        <v>bdsmstreak.com</v>
      </c>
      <c r="Q433" s="29" t="s">
        <v>695</v>
      </c>
      <c r="R433" s="29" t="s">
        <v>1769</v>
      </c>
      <c r="S433" s="29" t="str" cm="1">
        <f t="array" ref="S433">IF(R433&lt;&gt;"NotApplicable",_xlfn.REGEXEXTRACT(R433,"\d+(?=p)"),"NotApplicable")</f>
        <v>NotApplicable</v>
      </c>
      <c r="T433" s="29" t="s">
        <v>1769</v>
      </c>
      <c r="U433" s="29" t="b">
        <f>ISNUMBER(SEARCH(",",E433))</f>
        <v>0</v>
      </c>
    </row>
    <row r="434" spans="1:21" ht="30" x14ac:dyDescent="0.25">
      <c r="A434" s="29" t="str">
        <f>IF(ISBLANK(M434)=TRUE,"Pending","Done")</f>
        <v>Pending</v>
      </c>
      <c r="B434" s="29" t="s">
        <v>1788</v>
      </c>
      <c r="C434" s="29">
        <v>67</v>
      </c>
      <c r="D434" s="29" t="s">
        <v>864</v>
      </c>
      <c r="E434" s="29" t="s">
        <v>438</v>
      </c>
      <c r="F434" s="29" t="s">
        <v>70</v>
      </c>
      <c r="G434" s="29"/>
      <c r="H434" s="29"/>
      <c r="I434" s="29">
        <v>0</v>
      </c>
      <c r="J434" s="29" t="s">
        <v>1159</v>
      </c>
      <c r="K434" s="29"/>
      <c r="L434" s="29"/>
      <c r="M434" s="29"/>
      <c r="N434" s="29"/>
      <c r="O434" s="29"/>
      <c r="P434" s="29" t="str" cm="1">
        <f t="array" ref="P434">_xlfn.REGEXEXTRACT(B434,"(?&lt;=//)[^/]+")</f>
        <v>bdsmstreak.com</v>
      </c>
      <c r="Q434" s="29" t="s">
        <v>695</v>
      </c>
      <c r="R434" s="29" t="s">
        <v>1769</v>
      </c>
      <c r="S434" s="29" t="str" cm="1">
        <f t="array" ref="S434">IF(R434&lt;&gt;"NotApplicable",_xlfn.REGEXEXTRACT(R434,"\d+(?=p)"),"NotApplicable")</f>
        <v>NotApplicable</v>
      </c>
      <c r="T434" s="29" t="s">
        <v>1769</v>
      </c>
      <c r="U434" s="29" t="b">
        <f>ISNUMBER(SEARCH(",",E434))</f>
        <v>0</v>
      </c>
    </row>
    <row r="435" spans="1:21" ht="30" x14ac:dyDescent="0.25">
      <c r="A435" s="29" t="str">
        <f>IF(ISBLANK(M435)=TRUE,"Pending","Done")</f>
        <v>Pending</v>
      </c>
      <c r="B435" s="29" t="s">
        <v>2121</v>
      </c>
      <c r="C435" s="29">
        <v>67</v>
      </c>
      <c r="D435" s="29" t="s">
        <v>859</v>
      </c>
      <c r="E435" s="29" t="s">
        <v>1610</v>
      </c>
      <c r="F435" s="29" t="s">
        <v>70</v>
      </c>
      <c r="G435" s="29"/>
      <c r="H435" s="29"/>
      <c r="I435" s="29">
        <v>0</v>
      </c>
      <c r="J435" s="29" t="s">
        <v>2026</v>
      </c>
      <c r="K435" s="29"/>
      <c r="L435" s="29"/>
      <c r="M435" s="29"/>
      <c r="N435" s="29"/>
      <c r="O435" s="29"/>
      <c r="P435" s="29" t="str" cm="1">
        <f t="array" ref="P435">_xlfn.REGEXEXTRACT(B435,"(?&lt;=//)[^/]+")</f>
        <v>hcbdsm.com</v>
      </c>
      <c r="Q435" s="29" t="s">
        <v>695</v>
      </c>
      <c r="R435" s="29" t="s">
        <v>1769</v>
      </c>
      <c r="S435" s="29" t="str" cm="1">
        <f t="array" ref="S435">IF(R435&lt;&gt;"NotApplicable",_xlfn.REGEXEXTRACT(R435,"\d+(?=p)"),"NotApplicable")</f>
        <v>NotApplicable</v>
      </c>
      <c r="T435" s="29" t="s">
        <v>1769</v>
      </c>
      <c r="U435" s="29" t="b">
        <f>ISNUMBER(SEARCH(",",E435))</f>
        <v>0</v>
      </c>
    </row>
    <row r="436" spans="1:21" ht="45" x14ac:dyDescent="0.25">
      <c r="A436" s="29" t="str">
        <f>IF(ISBLANK(M436)=TRUE,"Pending","Done")</f>
        <v>Pending</v>
      </c>
      <c r="B436" s="29" t="s">
        <v>2147</v>
      </c>
      <c r="C436" s="29">
        <v>67</v>
      </c>
      <c r="D436" s="29" t="s">
        <v>1815</v>
      </c>
      <c r="E436" s="29" t="s">
        <v>2148</v>
      </c>
      <c r="F436" s="29" t="s">
        <v>70</v>
      </c>
      <c r="G436" s="29"/>
      <c r="H436" s="29"/>
      <c r="I436" s="29">
        <v>0</v>
      </c>
      <c r="J436" s="29" t="s">
        <v>1156</v>
      </c>
      <c r="K436" s="29"/>
      <c r="L436" s="29"/>
      <c r="M436" s="29"/>
      <c r="N436" s="29"/>
      <c r="O436" s="29"/>
      <c r="P436" s="29" t="str" cm="1">
        <f t="array" ref="P436">_xlfn.REGEXEXTRACT(B436,"(?&lt;=//)[^/]+")</f>
        <v>bdsmstreak.com</v>
      </c>
      <c r="Q436" s="29" t="s">
        <v>695</v>
      </c>
      <c r="R436" s="29" t="s">
        <v>1769</v>
      </c>
      <c r="S436" s="29" t="str" cm="1">
        <f t="array" ref="S436">IF(R436&lt;&gt;"NotApplicable",_xlfn.REGEXEXTRACT(R436,"\d+(?=p)"),"NotApplicable")</f>
        <v>NotApplicable</v>
      </c>
      <c r="T436" s="29" t="s">
        <v>1769</v>
      </c>
      <c r="U436" s="29" t="b">
        <f>ISNUMBER(SEARCH(",",E436))</f>
        <v>0</v>
      </c>
    </row>
    <row r="437" spans="1:21" ht="30" x14ac:dyDescent="0.25">
      <c r="A437" s="29" t="str">
        <f>IF(ISBLANK(M437)=TRUE,"Pending","Done")</f>
        <v>Pending</v>
      </c>
      <c r="B437" s="29" t="s">
        <v>1998</v>
      </c>
      <c r="C437" s="29">
        <v>69</v>
      </c>
      <c r="D437" s="29" t="s">
        <v>868</v>
      </c>
      <c r="E437" s="29" t="s">
        <v>1999</v>
      </c>
      <c r="F437" s="29" t="s">
        <v>70</v>
      </c>
      <c r="G437" s="29"/>
      <c r="H437" s="29"/>
      <c r="I437" s="29">
        <v>6</v>
      </c>
      <c r="J437" s="29" t="s">
        <v>2000</v>
      </c>
      <c r="K437" s="29"/>
      <c r="L437" s="29"/>
      <c r="M437" s="29"/>
      <c r="N437" s="29"/>
      <c r="O437" s="29"/>
      <c r="P437" s="29" t="str" cm="1">
        <f t="array" ref="P437">_xlfn.REGEXEXTRACT(B437,"(?&lt;=//)[^/]+")</f>
        <v>bdsmstreak.com</v>
      </c>
      <c r="Q437" s="29" t="s">
        <v>695</v>
      </c>
      <c r="R437" s="29" t="s">
        <v>1769</v>
      </c>
      <c r="S437" s="29" t="str" cm="1">
        <f t="array" ref="S437">IF(R437&lt;&gt;"NotApplicable",_xlfn.REGEXEXTRACT(R437,"\d+(?=p)"),"NotApplicable")</f>
        <v>NotApplicable</v>
      </c>
      <c r="T437" s="29" t="s">
        <v>1769</v>
      </c>
      <c r="U437" s="29" t="b">
        <f>ISNUMBER(SEARCH(",",E437))</f>
        <v>0</v>
      </c>
    </row>
    <row r="438" spans="1:21" ht="30" x14ac:dyDescent="0.25">
      <c r="A438" s="29" t="str">
        <f>IF(ISBLANK(M438)=TRUE,"Pending","Done")</f>
        <v>Pending</v>
      </c>
      <c r="B438" s="29" t="s">
        <v>2154</v>
      </c>
      <c r="C438" s="29">
        <v>69</v>
      </c>
      <c r="D438" s="29" t="s">
        <v>1839</v>
      </c>
      <c r="E438" s="29" t="s">
        <v>85</v>
      </c>
      <c r="F438" s="29" t="s">
        <v>70</v>
      </c>
      <c r="G438" s="29"/>
      <c r="H438" s="29"/>
      <c r="I438" s="29">
        <v>0</v>
      </c>
      <c r="J438" s="29" t="s">
        <v>1156</v>
      </c>
      <c r="K438" s="29"/>
      <c r="L438" s="29"/>
      <c r="M438" s="29"/>
      <c r="N438" s="29"/>
      <c r="O438" s="29"/>
      <c r="P438" s="29" t="str" cm="1">
        <f t="array" ref="P438">_xlfn.REGEXEXTRACT(B438,"(?&lt;=//)[^/]+")</f>
        <v>bdsmstreak.com</v>
      </c>
      <c r="Q438" s="29" t="s">
        <v>695</v>
      </c>
      <c r="R438" s="29" t="s">
        <v>1769</v>
      </c>
      <c r="S438" s="29" t="str" cm="1">
        <f t="array" ref="S438">IF(R438&lt;&gt;"NotApplicable",_xlfn.REGEXEXTRACT(R438,"\d+(?=p)"),"NotApplicable")</f>
        <v>NotApplicable</v>
      </c>
      <c r="T438" s="29" t="s">
        <v>1769</v>
      </c>
      <c r="U438" s="29" t="b">
        <f>ISNUMBER(SEARCH(",",E438))</f>
        <v>0</v>
      </c>
    </row>
    <row r="439" spans="1:21" ht="30" x14ac:dyDescent="0.25">
      <c r="A439" s="29" t="str">
        <f>IF(ISBLANK(M439)=TRUE,"Pending","Done")</f>
        <v>Pending</v>
      </c>
      <c r="B439" s="29" t="s">
        <v>2098</v>
      </c>
      <c r="C439" s="29">
        <v>70</v>
      </c>
      <c r="D439" s="29" t="s">
        <v>864</v>
      </c>
      <c r="E439" s="29" t="s">
        <v>2099</v>
      </c>
      <c r="F439" s="29" t="s">
        <v>70</v>
      </c>
      <c r="G439" s="29"/>
      <c r="H439" s="29"/>
      <c r="I439" s="29">
        <v>1</v>
      </c>
      <c r="J439" s="29" t="s">
        <v>2100</v>
      </c>
      <c r="K439" s="29"/>
      <c r="L439" s="29"/>
      <c r="M439" s="29"/>
      <c r="N439" s="29"/>
      <c r="O439" s="29"/>
      <c r="P439" s="29" t="str" cm="1">
        <f t="array" ref="P439">_xlfn.REGEXEXTRACT(B439,"(?&lt;=//)[^/]+")</f>
        <v>bdsmstreak.com</v>
      </c>
      <c r="Q439" s="29" t="s">
        <v>695</v>
      </c>
      <c r="R439" s="29" t="s">
        <v>1769</v>
      </c>
      <c r="S439" s="29" t="str" cm="1">
        <f t="array" ref="S439">IF(R439&lt;&gt;"NotApplicable",_xlfn.REGEXEXTRACT(R439,"\d+(?=p)"),"NotApplicable")</f>
        <v>NotApplicable</v>
      </c>
      <c r="T439" s="29" t="s">
        <v>1769</v>
      </c>
      <c r="U439" s="29" t="b">
        <f>ISNUMBER(SEARCH(",",E439))</f>
        <v>0</v>
      </c>
    </row>
    <row r="440" spans="1:21" ht="30" x14ac:dyDescent="0.25">
      <c r="A440" s="29" t="str">
        <f>IF(ISBLANK(M440)=TRUE,"Pending","Done")</f>
        <v>Pending</v>
      </c>
      <c r="B440" s="29" t="s">
        <v>2061</v>
      </c>
      <c r="C440" s="29">
        <v>70</v>
      </c>
      <c r="D440" s="29" t="s">
        <v>866</v>
      </c>
      <c r="E440" s="29" t="s">
        <v>2062</v>
      </c>
      <c r="F440" s="29" t="s">
        <v>70</v>
      </c>
      <c r="G440" s="29"/>
      <c r="H440" s="29"/>
      <c r="I440" s="29">
        <v>0</v>
      </c>
      <c r="J440" s="29" t="s">
        <v>1696</v>
      </c>
      <c r="K440" s="29"/>
      <c r="L440" s="29"/>
      <c r="M440" s="29"/>
      <c r="N440" s="29"/>
      <c r="O440" s="29"/>
      <c r="P440" s="29" t="str" cm="1">
        <f t="array" ref="P440">_xlfn.REGEXEXTRACT(B440,"(?&lt;=//)[^/]+")</f>
        <v>bdsmstreak.com</v>
      </c>
      <c r="Q440" s="29" t="s">
        <v>695</v>
      </c>
      <c r="R440" s="29" t="s">
        <v>1769</v>
      </c>
      <c r="S440" s="29" t="str" cm="1">
        <f t="array" ref="S440">IF(R440&lt;&gt;"NotApplicable",_xlfn.REGEXEXTRACT(R440,"\d+(?=p)"),"NotApplicable")</f>
        <v>NotApplicable</v>
      </c>
      <c r="T440" s="29" t="s">
        <v>1769</v>
      </c>
      <c r="U440" s="29" t="b">
        <f>ISNUMBER(SEARCH(",",E440))</f>
        <v>1</v>
      </c>
    </row>
    <row r="441" spans="1:21" ht="30" x14ac:dyDescent="0.25">
      <c r="A441" s="29" t="str">
        <f>IF(ISBLANK(M441)=TRUE,"Pending","Done")</f>
        <v>Pending</v>
      </c>
      <c r="B441" s="29" t="s">
        <v>2066</v>
      </c>
      <c r="C441" s="29">
        <v>70</v>
      </c>
      <c r="D441" s="29" t="s">
        <v>860</v>
      </c>
      <c r="E441" s="29" t="s">
        <v>2067</v>
      </c>
      <c r="F441" s="29" t="s">
        <v>70</v>
      </c>
      <c r="G441" s="29"/>
      <c r="H441" s="29"/>
      <c r="I441" s="29">
        <v>0</v>
      </c>
      <c r="J441" s="29" t="s">
        <v>1156</v>
      </c>
      <c r="K441" s="29"/>
      <c r="L441" s="29"/>
      <c r="M441" s="29"/>
      <c r="N441" s="29"/>
      <c r="O441" s="29"/>
      <c r="P441" s="29" t="str" cm="1">
        <f t="array" ref="P441">_xlfn.REGEXEXTRACT(B441,"(?&lt;=//)[^/]+")</f>
        <v>bdsmstreak.com</v>
      </c>
      <c r="Q441" s="29" t="s">
        <v>695</v>
      </c>
      <c r="R441" s="29" t="s">
        <v>1769</v>
      </c>
      <c r="S441" s="29" t="str" cm="1">
        <f t="array" ref="S441">IF(R441&lt;&gt;"NotApplicable",_xlfn.REGEXEXTRACT(R441,"\d+(?=p)"),"NotApplicable")</f>
        <v>NotApplicable</v>
      </c>
      <c r="T441" s="29" t="s">
        <v>1769</v>
      </c>
      <c r="U441" s="29" t="b">
        <f>ISNUMBER(SEARCH(",",E441))</f>
        <v>0</v>
      </c>
    </row>
    <row r="442" spans="1:21" ht="30" x14ac:dyDescent="0.25">
      <c r="A442" s="29" t="str">
        <f>IF(ISBLANK(M442)=TRUE,"Pending","Done")</f>
        <v>Pending</v>
      </c>
      <c r="B442" s="29" t="s">
        <v>2068</v>
      </c>
      <c r="C442" s="29">
        <v>70</v>
      </c>
      <c r="D442" s="29" t="s">
        <v>2355</v>
      </c>
      <c r="E442" s="29" t="s">
        <v>2069</v>
      </c>
      <c r="F442" s="29" t="s">
        <v>70</v>
      </c>
      <c r="G442" s="29"/>
      <c r="H442" s="29"/>
      <c r="I442" s="29">
        <v>0</v>
      </c>
      <c r="J442" s="29" t="s">
        <v>1156</v>
      </c>
      <c r="K442" s="29"/>
      <c r="L442" s="29"/>
      <c r="M442" s="29"/>
      <c r="N442" s="29"/>
      <c r="O442" s="29"/>
      <c r="P442" s="29" t="str" cm="1">
        <f t="array" ref="P442">_xlfn.REGEXEXTRACT(B442,"(?&lt;=//)[^/]+")</f>
        <v>bdsmstreak.com</v>
      </c>
      <c r="Q442" s="29" t="s">
        <v>695</v>
      </c>
      <c r="R442" s="29" t="s">
        <v>1769</v>
      </c>
      <c r="S442" s="29" t="str" cm="1">
        <f t="array" ref="S442">IF(R442&lt;&gt;"NotApplicable",_xlfn.REGEXEXTRACT(R442,"\d+(?=p)"),"NotApplicable")</f>
        <v>NotApplicable</v>
      </c>
      <c r="T442" s="29" t="s">
        <v>1769</v>
      </c>
      <c r="U442" s="29" t="b">
        <f>ISNUMBER(SEARCH(",",E442))</f>
        <v>0</v>
      </c>
    </row>
    <row r="443" spans="1:21" ht="30" x14ac:dyDescent="0.25">
      <c r="A443" s="29" t="str">
        <f>IF(ISBLANK(M443)=TRUE,"Pending","Done")</f>
        <v>Pending</v>
      </c>
      <c r="B443" s="29" t="s">
        <v>1834</v>
      </c>
      <c r="C443" s="29">
        <v>71</v>
      </c>
      <c r="D443" s="29" t="s">
        <v>1589</v>
      </c>
      <c r="E443" s="29" t="s">
        <v>1835</v>
      </c>
      <c r="F443" s="29" t="s">
        <v>70</v>
      </c>
      <c r="G443" s="29"/>
      <c r="H443" s="29"/>
      <c r="I443" s="29">
        <v>0</v>
      </c>
      <c r="J443" s="29" t="s">
        <v>1156</v>
      </c>
      <c r="K443" s="29"/>
      <c r="L443" s="29"/>
      <c r="M443" s="29"/>
      <c r="N443" s="29"/>
      <c r="O443" s="29"/>
      <c r="P443" s="29" t="str" cm="1">
        <f t="array" ref="P443">_xlfn.REGEXEXTRACT(B443,"(?&lt;=//)[^/]+")</f>
        <v>bdsmstreak.com</v>
      </c>
      <c r="Q443" s="29" t="s">
        <v>695</v>
      </c>
      <c r="R443" s="29" t="s">
        <v>1769</v>
      </c>
      <c r="S443" s="29" t="str" cm="1">
        <f t="array" ref="S443">IF(R443&lt;&gt;"NotApplicable",_xlfn.REGEXEXTRACT(R443,"\d+(?=p)"),"NotApplicable")</f>
        <v>NotApplicable</v>
      </c>
      <c r="T443" s="29" t="s">
        <v>1769</v>
      </c>
      <c r="U443" s="29" t="b">
        <f>ISNUMBER(SEARCH(",",E443))</f>
        <v>1</v>
      </c>
    </row>
    <row r="444" spans="1:21" ht="30" x14ac:dyDescent="0.25">
      <c r="A444" s="29" t="str">
        <f>IF(ISBLANK(M444)=TRUE,"Pending","Done")</f>
        <v>Pending</v>
      </c>
      <c r="B444" s="29" t="s">
        <v>1935</v>
      </c>
      <c r="C444" s="29">
        <v>73</v>
      </c>
      <c r="D444" s="29" t="s">
        <v>864</v>
      </c>
      <c r="E444" s="29" t="s">
        <v>1633</v>
      </c>
      <c r="F444" s="29" t="s">
        <v>70</v>
      </c>
      <c r="G444" s="29"/>
      <c r="H444" s="29"/>
      <c r="I444" s="29">
        <v>6</v>
      </c>
      <c r="J444" s="29" t="s">
        <v>1623</v>
      </c>
      <c r="K444" s="29"/>
      <c r="L444" s="29"/>
      <c r="M444" s="29"/>
      <c r="N444" s="29"/>
      <c r="O444" s="29"/>
      <c r="P444" s="29" t="str" cm="1">
        <f t="array" ref="P444">_xlfn.REGEXEXTRACT(B444,"(?&lt;=//)[^/]+")</f>
        <v>bdsmstreak.com</v>
      </c>
      <c r="Q444" s="29" t="s">
        <v>695</v>
      </c>
      <c r="R444" s="29" t="s">
        <v>1769</v>
      </c>
      <c r="S444" s="29" t="str" cm="1">
        <f t="array" ref="S444">IF(R444&lt;&gt;"NotApplicable",_xlfn.REGEXEXTRACT(R444,"\d+(?=p)"),"NotApplicable")</f>
        <v>NotApplicable</v>
      </c>
      <c r="T444" s="29" t="s">
        <v>1769</v>
      </c>
      <c r="U444" s="29" t="b">
        <f>ISNUMBER(SEARCH(",",E444))</f>
        <v>0</v>
      </c>
    </row>
    <row r="445" spans="1:21" ht="30" x14ac:dyDescent="0.25">
      <c r="A445" s="29" t="str">
        <f>IF(ISBLANK(M445)=TRUE,"Pending","Done")</f>
        <v>Pending</v>
      </c>
      <c r="B445" s="29" t="s">
        <v>1924</v>
      </c>
      <c r="C445" s="29">
        <v>75</v>
      </c>
      <c r="D445" s="29" t="s">
        <v>866</v>
      </c>
      <c r="E445" s="29" t="s">
        <v>1598</v>
      </c>
      <c r="F445" s="29" t="s">
        <v>70</v>
      </c>
      <c r="G445" s="29"/>
      <c r="H445" s="29"/>
      <c r="I445" s="29">
        <v>3</v>
      </c>
      <c r="J445" s="29" t="s">
        <v>1620</v>
      </c>
      <c r="K445" s="29"/>
      <c r="L445" s="29"/>
      <c r="M445" s="29"/>
      <c r="N445" s="29"/>
      <c r="O445" s="29"/>
      <c r="P445" s="29" t="str" cm="1">
        <f t="array" ref="P445">_xlfn.REGEXEXTRACT(B445,"(?&lt;=//)[^/]+")</f>
        <v>bdsmstreak.com</v>
      </c>
      <c r="Q445" s="29" t="s">
        <v>695</v>
      </c>
      <c r="R445" s="29" t="s">
        <v>1769</v>
      </c>
      <c r="S445" s="29" t="str" cm="1">
        <f t="array" ref="S445">IF(R445&lt;&gt;"NotApplicable",_xlfn.REGEXEXTRACT(R445,"\d+(?=p)"),"NotApplicable")</f>
        <v>NotApplicable</v>
      </c>
      <c r="T445" s="29" t="s">
        <v>1769</v>
      </c>
      <c r="U445" s="29" t="b">
        <f>ISNUMBER(SEARCH(",",E445))</f>
        <v>0</v>
      </c>
    </row>
    <row r="446" spans="1:21" ht="30" x14ac:dyDescent="0.25">
      <c r="A446" s="29" t="str">
        <f>IF(ISBLANK(M446)=TRUE,"Pending","Done")</f>
        <v>Pending</v>
      </c>
      <c r="B446" s="29" t="s">
        <v>2011</v>
      </c>
      <c r="C446" s="29">
        <v>75</v>
      </c>
      <c r="D446" s="29" t="s">
        <v>2012</v>
      </c>
      <c r="E446" s="29" t="s">
        <v>2013</v>
      </c>
      <c r="F446" s="29" t="s">
        <v>70</v>
      </c>
      <c r="G446" s="29"/>
      <c r="H446" s="29"/>
      <c r="I446" s="29">
        <v>1</v>
      </c>
      <c r="J446" s="29" t="s">
        <v>2014</v>
      </c>
      <c r="K446" s="29"/>
      <c r="L446" s="29"/>
      <c r="M446" s="29"/>
      <c r="N446" s="29"/>
      <c r="O446" s="29"/>
      <c r="P446" s="29" t="str" cm="1">
        <f t="array" ref="P446">_xlfn.REGEXEXTRACT(B446,"(?&lt;=//)[^/]+")</f>
        <v>bdsmstreak.com</v>
      </c>
      <c r="Q446" s="29" t="s">
        <v>695</v>
      </c>
      <c r="R446" s="29" t="s">
        <v>1769</v>
      </c>
      <c r="S446" s="29" t="str" cm="1">
        <f t="array" ref="S446">IF(R446&lt;&gt;"NotApplicable",_xlfn.REGEXEXTRACT(R446,"\d+(?=p)"),"NotApplicable")</f>
        <v>NotApplicable</v>
      </c>
      <c r="T446" s="29" t="s">
        <v>1769</v>
      </c>
      <c r="U446" s="29" t="b">
        <f>ISNUMBER(SEARCH(",",E446))</f>
        <v>0</v>
      </c>
    </row>
    <row r="447" spans="1:21" ht="30" x14ac:dyDescent="0.25">
      <c r="A447" s="29" t="str">
        <f>IF(ISBLANK(M447)=TRUE,"Pending","Done")</f>
        <v>Pending</v>
      </c>
      <c r="B447" s="29" t="s">
        <v>1584</v>
      </c>
      <c r="C447" s="29">
        <v>78</v>
      </c>
      <c r="D447" s="29" t="s">
        <v>864</v>
      </c>
      <c r="E447" s="29" t="s">
        <v>1610</v>
      </c>
      <c r="F447" s="29" t="s">
        <v>70</v>
      </c>
      <c r="G447" s="29"/>
      <c r="H447" s="29"/>
      <c r="I447" s="29" t="s">
        <v>1769</v>
      </c>
      <c r="J447" s="29" t="s">
        <v>1769</v>
      </c>
      <c r="K447" s="29"/>
      <c r="L447" s="29"/>
      <c r="M447" s="29"/>
      <c r="N447" s="29"/>
      <c r="O447" s="29"/>
      <c r="P447" s="29" t="str" cm="1">
        <f t="array" ref="P447">_xlfn.REGEXEXTRACT(B447,"(?&lt;=//)[^/]+")</f>
        <v>bdsmstreak.com</v>
      </c>
      <c r="Q447" s="29" t="s">
        <v>695</v>
      </c>
      <c r="R447" s="29" t="s">
        <v>1769</v>
      </c>
      <c r="S447" s="29" t="str" cm="1">
        <f t="array" ref="S447">IF(R447&lt;&gt;"NotApplicable",_xlfn.REGEXEXTRACT(R447,"\d+(?=p)"),"NotApplicable")</f>
        <v>NotApplicable</v>
      </c>
      <c r="T447" s="29" t="s">
        <v>1769</v>
      </c>
      <c r="U447" s="29" t="b">
        <f>ISNUMBER(SEARCH(",",E447))</f>
        <v>0</v>
      </c>
    </row>
    <row r="448" spans="1:21" ht="30" x14ac:dyDescent="0.25">
      <c r="A448" s="29" t="str">
        <f>IF(ISBLANK(M448)=TRUE,"Pending","Done")</f>
        <v>Pending</v>
      </c>
      <c r="B448" s="29" t="s">
        <v>2038</v>
      </c>
      <c r="C448" s="29">
        <v>78</v>
      </c>
      <c r="D448" s="29" t="s">
        <v>868</v>
      </c>
      <c r="E448" s="29" t="s">
        <v>2039</v>
      </c>
      <c r="F448" s="29" t="s">
        <v>70</v>
      </c>
      <c r="G448" s="29"/>
      <c r="H448" s="29"/>
      <c r="I448" s="29">
        <v>1</v>
      </c>
      <c r="J448" s="29" t="s">
        <v>2040</v>
      </c>
      <c r="K448" s="29"/>
      <c r="L448" s="29"/>
      <c r="M448" s="29"/>
      <c r="N448" s="29"/>
      <c r="O448" s="29"/>
      <c r="P448" s="29" t="str" cm="1">
        <f t="array" ref="P448">_xlfn.REGEXEXTRACT(B448,"(?&lt;=//)[^/]+")</f>
        <v>bdsmstreak.com</v>
      </c>
      <c r="Q448" s="29" t="s">
        <v>695</v>
      </c>
      <c r="R448" s="29" t="s">
        <v>1769</v>
      </c>
      <c r="S448" s="29" t="str" cm="1">
        <f t="array" ref="S448">IF(R448&lt;&gt;"NotApplicable",_xlfn.REGEXEXTRACT(R448,"\d+(?=p)"),"NotApplicable")</f>
        <v>NotApplicable</v>
      </c>
      <c r="T448" s="29" t="s">
        <v>1769</v>
      </c>
      <c r="U448" s="29" t="b">
        <f>ISNUMBER(SEARCH(",",E448))</f>
        <v>1</v>
      </c>
    </row>
    <row r="449" spans="1:21" ht="30" x14ac:dyDescent="0.25">
      <c r="A449" s="29" t="str">
        <f>IF(ISBLANK(M449)=TRUE,"Pending","Done")</f>
        <v>Pending</v>
      </c>
      <c r="B449" s="29" t="s">
        <v>2070</v>
      </c>
      <c r="C449" s="29">
        <v>79</v>
      </c>
      <c r="D449" s="29" t="s">
        <v>860</v>
      </c>
      <c r="E449" s="29" t="s">
        <v>2071</v>
      </c>
      <c r="F449" s="29" t="s">
        <v>70</v>
      </c>
      <c r="G449" s="29"/>
      <c r="H449" s="29"/>
      <c r="I449" s="29">
        <v>0</v>
      </c>
      <c r="J449" s="29" t="s">
        <v>2072</v>
      </c>
      <c r="K449" s="29"/>
      <c r="L449" s="29"/>
      <c r="M449" s="29"/>
      <c r="N449" s="29"/>
      <c r="O449" s="29"/>
      <c r="P449" s="29" t="str" cm="1">
        <f t="array" ref="P449">_xlfn.REGEXEXTRACT(B449,"(?&lt;=//)[^/]+")</f>
        <v>bdsmstreak.com</v>
      </c>
      <c r="Q449" s="29" t="s">
        <v>695</v>
      </c>
      <c r="R449" s="29" t="s">
        <v>1769</v>
      </c>
      <c r="S449" s="29" t="str" cm="1">
        <f t="array" ref="S449">IF(R449&lt;&gt;"NotApplicable",_xlfn.REGEXEXTRACT(R449,"\d+(?=p)"),"NotApplicable")</f>
        <v>NotApplicable</v>
      </c>
      <c r="T449" s="29" t="s">
        <v>1769</v>
      </c>
      <c r="U449" s="29" t="b">
        <f>ISNUMBER(SEARCH(",",E449))</f>
        <v>1</v>
      </c>
    </row>
    <row r="450" spans="1:21" ht="30" x14ac:dyDescent="0.25">
      <c r="A450" s="29" t="str">
        <f>IF(ISBLANK(M450)=TRUE,"Pending","Done")</f>
        <v>Pending</v>
      </c>
      <c r="B450" s="29" t="s">
        <v>1890</v>
      </c>
      <c r="C450" s="29">
        <v>80</v>
      </c>
      <c r="D450" s="29" t="s">
        <v>868</v>
      </c>
      <c r="E450" s="29" t="s">
        <v>1891</v>
      </c>
      <c r="F450" s="29" t="s">
        <v>70</v>
      </c>
      <c r="G450" s="29"/>
      <c r="H450" s="29"/>
      <c r="I450" s="29">
        <v>0</v>
      </c>
      <c r="J450" s="29" t="s">
        <v>1156</v>
      </c>
      <c r="K450" s="29"/>
      <c r="L450" s="29"/>
      <c r="M450" s="29"/>
      <c r="N450" s="29"/>
      <c r="O450" s="29"/>
      <c r="P450" s="29" t="str" cm="1">
        <f t="array" ref="P450">_xlfn.REGEXEXTRACT(B450,"(?&lt;=//)[^/]+")</f>
        <v>hcbdsm.com</v>
      </c>
      <c r="Q450" s="29" t="s">
        <v>695</v>
      </c>
      <c r="R450" s="29" t="s">
        <v>1769</v>
      </c>
      <c r="S450" s="29" t="str" cm="1">
        <f t="array" ref="S450">IF(R450&lt;&gt;"NotApplicable",_xlfn.REGEXEXTRACT(R450,"\d+(?=p)"),"NotApplicable")</f>
        <v>NotApplicable</v>
      </c>
      <c r="T450" s="29" t="s">
        <v>1769</v>
      </c>
      <c r="U450" s="29" t="b">
        <f>ISNUMBER(SEARCH(",",E450))</f>
        <v>0</v>
      </c>
    </row>
    <row r="451" spans="1:21" ht="30" x14ac:dyDescent="0.25">
      <c r="A451" s="29" t="str">
        <f>IF(ISBLANK(M451)=TRUE,"Pending","Done")</f>
        <v>Pending</v>
      </c>
      <c r="B451" s="29" t="s">
        <v>1850</v>
      </c>
      <c r="C451" s="29">
        <v>81</v>
      </c>
      <c r="D451" s="29" t="s">
        <v>1591</v>
      </c>
      <c r="E451" s="29" t="s">
        <v>1851</v>
      </c>
      <c r="F451" s="29" t="s">
        <v>70</v>
      </c>
      <c r="G451" s="29"/>
      <c r="H451" s="29"/>
      <c r="I451" s="29">
        <v>0</v>
      </c>
      <c r="J451" s="29" t="s">
        <v>1156</v>
      </c>
      <c r="K451" s="29"/>
      <c r="L451" s="29"/>
      <c r="M451" s="29"/>
      <c r="N451" s="29"/>
      <c r="O451" s="29"/>
      <c r="P451" s="29" t="str" cm="1">
        <f t="array" ref="P451">_xlfn.REGEXEXTRACT(B451,"(?&lt;=//)[^/]+")</f>
        <v>bdsmstreak.com</v>
      </c>
      <c r="Q451" s="29" t="s">
        <v>695</v>
      </c>
      <c r="R451" s="29" t="s">
        <v>1769</v>
      </c>
      <c r="S451" s="29" t="str" cm="1">
        <f t="array" ref="S451">IF(R451&lt;&gt;"NotApplicable",_xlfn.REGEXEXTRACT(R451,"\d+(?=p)"),"NotApplicable")</f>
        <v>NotApplicable</v>
      </c>
      <c r="T451" s="29" t="s">
        <v>1769</v>
      </c>
      <c r="U451" s="29" t="b">
        <f>ISNUMBER(SEARCH(",",E451))</f>
        <v>1</v>
      </c>
    </row>
    <row r="452" spans="1:21" ht="30" x14ac:dyDescent="0.25">
      <c r="A452" s="29" t="str">
        <f>IF(ISBLANK(M452)=TRUE,"Pending","Done")</f>
        <v>Pending</v>
      </c>
      <c r="B452" s="29" t="s">
        <v>1585</v>
      </c>
      <c r="C452" s="29">
        <v>90</v>
      </c>
      <c r="D452" s="29" t="s">
        <v>864</v>
      </c>
      <c r="E452" s="29" t="s">
        <v>1594</v>
      </c>
      <c r="F452" s="29" t="s">
        <v>70</v>
      </c>
      <c r="G452" s="29"/>
      <c r="H452" s="29"/>
      <c r="I452" s="29" t="s">
        <v>1769</v>
      </c>
      <c r="J452" s="29" t="s">
        <v>1769</v>
      </c>
      <c r="K452" s="29"/>
      <c r="L452" s="29"/>
      <c r="M452" s="29"/>
      <c r="N452" s="29"/>
      <c r="O452" s="29" t="s">
        <v>1619</v>
      </c>
      <c r="P452" s="29" t="str" cm="1">
        <f t="array" ref="P452">_xlfn.REGEXEXTRACT(B452,"(?&lt;=//)[^/]+")</f>
        <v>bdsmstreak.com</v>
      </c>
      <c r="Q452" s="29" t="s">
        <v>695</v>
      </c>
      <c r="R452" s="29" t="s">
        <v>1769</v>
      </c>
      <c r="S452" s="29" t="str" cm="1">
        <f t="array" ref="S452">IF(R452&lt;&gt;"NotApplicable",_xlfn.REGEXEXTRACT(R452,"\d+(?=p)"),"NotApplicable")</f>
        <v>NotApplicable</v>
      </c>
      <c r="T452" s="29" t="s">
        <v>1769</v>
      </c>
      <c r="U452" s="29" t="b">
        <f>ISNUMBER(SEARCH(",",E452))</f>
        <v>0</v>
      </c>
    </row>
    <row r="453" spans="1:21" ht="45" x14ac:dyDescent="0.25">
      <c r="A453" s="29" t="str">
        <f>IF(ISBLANK(M453)=TRUE,"Pending","Done")</f>
        <v>Pending</v>
      </c>
      <c r="B453" s="29" t="s">
        <v>2138</v>
      </c>
      <c r="C453" s="29">
        <v>90</v>
      </c>
      <c r="D453" s="29" t="s">
        <v>864</v>
      </c>
      <c r="E453" s="29" t="s">
        <v>279</v>
      </c>
      <c r="F453" s="29" t="s">
        <v>70</v>
      </c>
      <c r="G453" s="29"/>
      <c r="H453" s="29"/>
      <c r="I453" s="29">
        <v>0</v>
      </c>
      <c r="J453" s="29" t="s">
        <v>1837</v>
      </c>
      <c r="K453" s="29"/>
      <c r="L453" s="29"/>
      <c r="M453" s="29"/>
      <c r="N453" s="29"/>
      <c r="O453" s="29"/>
      <c r="P453" s="29" t="str" cm="1">
        <f t="array" ref="P453">_xlfn.REGEXEXTRACT(B453,"(?&lt;=//)[^/]+")</f>
        <v>hcbdsm.com</v>
      </c>
      <c r="Q453" s="29" t="s">
        <v>695</v>
      </c>
      <c r="R453" s="29" t="s">
        <v>1769</v>
      </c>
      <c r="S453" s="29" t="str" cm="1">
        <f t="array" ref="S453">IF(R453&lt;&gt;"NotApplicable",_xlfn.REGEXEXTRACT(R453,"\d+(?=p)"),"NotApplicable")</f>
        <v>NotApplicable</v>
      </c>
      <c r="T453" s="29" t="s">
        <v>1769</v>
      </c>
      <c r="U453" s="29" t="b">
        <f>ISNUMBER(SEARCH(",",E453))</f>
        <v>0</v>
      </c>
    </row>
    <row r="454" spans="1:21" ht="30" x14ac:dyDescent="0.25">
      <c r="A454" s="29" t="str">
        <f>IF(ISBLANK(M454)=TRUE,"Pending","Done")</f>
        <v>Pending</v>
      </c>
      <c r="B454" s="29" t="s">
        <v>1951</v>
      </c>
      <c r="C454" s="29">
        <v>92</v>
      </c>
      <c r="D454" s="29" t="s">
        <v>1590</v>
      </c>
      <c r="E454" s="29" t="s">
        <v>1952</v>
      </c>
      <c r="F454" s="29" t="s">
        <v>70</v>
      </c>
      <c r="G454" s="29"/>
      <c r="H454" s="29"/>
      <c r="I454" s="29">
        <v>3</v>
      </c>
      <c r="J454" s="29" t="s">
        <v>1953</v>
      </c>
      <c r="K454" s="29"/>
      <c r="L454" s="29"/>
      <c r="M454" s="29"/>
      <c r="N454" s="29"/>
      <c r="O454" s="29"/>
      <c r="P454" s="29" t="str" cm="1">
        <f t="array" ref="P454">_xlfn.REGEXEXTRACT(B454,"(?&lt;=//)[^/]+")</f>
        <v>bdsmmansion.com</v>
      </c>
      <c r="Q454" s="29" t="s">
        <v>695</v>
      </c>
      <c r="R454" s="29" t="s">
        <v>1769</v>
      </c>
      <c r="S454" s="29" t="str" cm="1">
        <f t="array" ref="S454">IF(R454&lt;&gt;"NotApplicable",_xlfn.REGEXEXTRACT(R454,"\d+(?=p)"),"NotApplicable")</f>
        <v>NotApplicable</v>
      </c>
      <c r="T454" s="29" t="s">
        <v>1769</v>
      </c>
      <c r="U454" s="29" t="b">
        <f>ISNUMBER(SEARCH(",",E454))</f>
        <v>1</v>
      </c>
    </row>
    <row r="455" spans="1:21" ht="30" x14ac:dyDescent="0.25">
      <c r="A455" s="29" t="str">
        <f>IF(ISBLANK(M455)=TRUE,"Pending","Done")</f>
        <v>Pending</v>
      </c>
      <c r="B455" s="29" t="s">
        <v>2022</v>
      </c>
      <c r="C455" s="29">
        <v>97</v>
      </c>
      <c r="D455" s="29" t="s">
        <v>859</v>
      </c>
      <c r="E455" s="29" t="s">
        <v>2023</v>
      </c>
      <c r="F455" s="29" t="s">
        <v>70</v>
      </c>
      <c r="G455" s="29"/>
      <c r="H455" s="29"/>
      <c r="I455" s="29">
        <v>3</v>
      </c>
      <c r="J455" s="29" t="s">
        <v>1704</v>
      </c>
      <c r="K455" s="29"/>
      <c r="L455" s="29"/>
      <c r="M455" s="29"/>
      <c r="N455" s="29"/>
      <c r="O455" s="29"/>
      <c r="P455" s="29" t="str" cm="1">
        <f t="array" ref="P455">_xlfn.REGEXEXTRACT(B455,"(?&lt;=//)[^/]+")</f>
        <v>bdsmstreak.com</v>
      </c>
      <c r="Q455" s="29" t="s">
        <v>695</v>
      </c>
      <c r="R455" s="29" t="s">
        <v>1769</v>
      </c>
      <c r="S455" s="29" t="str" cm="1">
        <f t="array" ref="S455">IF(R455&lt;&gt;"NotApplicable",_xlfn.REGEXEXTRACT(R455,"\d+(?=p)"),"NotApplicable")</f>
        <v>NotApplicable</v>
      </c>
      <c r="T455" s="29" t="s">
        <v>1769</v>
      </c>
      <c r="U455" s="29" t="b">
        <f>ISNUMBER(SEARCH(",",E455))</f>
        <v>1</v>
      </c>
    </row>
    <row r="456" spans="1:21" ht="30" x14ac:dyDescent="0.25">
      <c r="A456" s="29" t="str">
        <f>IF(ISBLANK(M456)=TRUE,"Pending","Done")</f>
        <v>Pending</v>
      </c>
      <c r="B456" s="29" t="s">
        <v>1845</v>
      </c>
      <c r="C456" s="29">
        <v>105</v>
      </c>
      <c r="D456" s="29" t="s">
        <v>864</v>
      </c>
      <c r="E456" s="29" t="s">
        <v>223</v>
      </c>
      <c r="F456" s="29" t="s">
        <v>70</v>
      </c>
      <c r="G456" s="29"/>
      <c r="H456" s="29"/>
      <c r="I456" s="29">
        <v>0</v>
      </c>
      <c r="J456" s="29" t="s">
        <v>1156</v>
      </c>
      <c r="K456" s="29"/>
      <c r="L456" s="29"/>
      <c r="M456" s="29"/>
      <c r="N456" s="29"/>
      <c r="O456" s="29"/>
      <c r="P456" s="29" t="str" cm="1">
        <f t="array" ref="P456">_xlfn.REGEXEXTRACT(B456,"(?&lt;=//)[^/]+")</f>
        <v>bdsmstreak.com</v>
      </c>
      <c r="Q456" s="29" t="s">
        <v>695</v>
      </c>
      <c r="R456" s="29" t="s">
        <v>1769</v>
      </c>
      <c r="S456" s="29" t="str" cm="1">
        <f t="array" ref="S456">IF(R456&lt;&gt;"NotApplicable",_xlfn.REGEXEXTRACT(R456,"\d+(?=p)"),"NotApplicable")</f>
        <v>NotApplicable</v>
      </c>
      <c r="T456" s="29" t="s">
        <v>1769</v>
      </c>
      <c r="U456" s="29" t="b">
        <f>ISNUMBER(SEARCH(",",E456))</f>
        <v>0</v>
      </c>
    </row>
    <row r="457" spans="1:21" ht="30" x14ac:dyDescent="0.25">
      <c r="A457" s="29" t="str">
        <f>IF(ISBLANK(M457)=TRUE,"Pending","Done")</f>
        <v>Pending</v>
      </c>
      <c r="B457" s="29" t="s">
        <v>1554</v>
      </c>
      <c r="C457" s="29">
        <v>153</v>
      </c>
      <c r="D457" s="29" t="s">
        <v>868</v>
      </c>
      <c r="E457" s="29" t="s">
        <v>1555</v>
      </c>
      <c r="F457" s="29" t="s">
        <v>70</v>
      </c>
      <c r="G457" s="29"/>
      <c r="H457" s="29"/>
      <c r="I457" s="29" t="s">
        <v>1769</v>
      </c>
      <c r="J457" s="29" t="s">
        <v>1769</v>
      </c>
      <c r="K457" s="29" t="s">
        <v>1696</v>
      </c>
      <c r="L457" s="29"/>
      <c r="M457" s="29"/>
      <c r="N457" s="29"/>
      <c r="O457" s="29" t="s">
        <v>1694</v>
      </c>
      <c r="P457" s="29" t="str" cm="1">
        <f t="array" ref="P457">_xlfn.REGEXEXTRACT(B457,"(?&lt;=//)[^/]+")</f>
        <v>bdsmstreak.com</v>
      </c>
      <c r="Q457" s="29" t="s">
        <v>695</v>
      </c>
      <c r="R457" s="29" t="s">
        <v>1769</v>
      </c>
      <c r="S457" s="29" t="str" cm="1">
        <f t="array" ref="S457">IF(R457&lt;&gt;"NotApplicable",_xlfn.REGEXEXTRACT(R457,"\d+(?=p)"),"NotApplicable")</f>
        <v>NotApplicable</v>
      </c>
      <c r="T457" s="29" t="s">
        <v>1769</v>
      </c>
      <c r="U457" s="29" t="b">
        <f>ISNUMBER(SEARCH(",",E457))</f>
        <v>1</v>
      </c>
    </row>
    <row r="458" spans="1:21" ht="30" x14ac:dyDescent="0.25">
      <c r="A458" s="29" t="str">
        <f>IF(ISBLANK(M458)=TRUE,"Pending","Done")</f>
        <v>Pending</v>
      </c>
      <c r="B458" s="29" t="s">
        <v>1879</v>
      </c>
      <c r="C458" s="29" t="s">
        <v>1156</v>
      </c>
      <c r="D458" s="29" t="s">
        <v>2355</v>
      </c>
      <c r="E458" s="29" t="s">
        <v>1880</v>
      </c>
      <c r="F458" s="29" t="s">
        <v>70</v>
      </c>
      <c r="G458" s="29"/>
      <c r="H458" s="29"/>
      <c r="I458" s="29">
        <v>0</v>
      </c>
      <c r="J458" s="29" t="s">
        <v>1627</v>
      </c>
      <c r="K458" s="29"/>
      <c r="L458" s="29"/>
      <c r="M458" s="29"/>
      <c r="N458" s="29"/>
      <c r="O458" s="29"/>
      <c r="P458" s="29" t="str" cm="1">
        <f t="array" ref="P458">_xlfn.REGEXEXTRACT(B458,"(?&lt;=//)[^/]+")</f>
        <v>bdsmstreak.com</v>
      </c>
      <c r="Q458" s="29" t="s">
        <v>695</v>
      </c>
      <c r="R458" s="29" t="s">
        <v>1769</v>
      </c>
      <c r="S458" s="29" t="str" cm="1">
        <f t="array" ref="S458">IF(R458&lt;&gt;"NotApplicable",_xlfn.REGEXEXTRACT(R458,"\d+(?=p)"),"NotApplicable")</f>
        <v>NotApplicable</v>
      </c>
      <c r="T458" s="29" t="s">
        <v>1769</v>
      </c>
      <c r="U458" s="29" t="b">
        <f>ISNUMBER(SEARCH(",",E458))</f>
        <v>0</v>
      </c>
    </row>
    <row r="459" spans="1:21" ht="30" x14ac:dyDescent="0.25">
      <c r="A459" s="29" t="str">
        <f>IF(ISBLANK(M459)=TRUE,"Pending","Done")</f>
        <v>Pending</v>
      </c>
      <c r="B459" s="29" t="s">
        <v>1582</v>
      </c>
      <c r="C459" s="29">
        <v>76</v>
      </c>
      <c r="D459" s="29" t="s">
        <v>866</v>
      </c>
      <c r="E459" s="29" t="s">
        <v>1608</v>
      </c>
      <c r="F459" s="29" t="s">
        <v>200</v>
      </c>
      <c r="G459" s="29" t="s">
        <v>2488</v>
      </c>
      <c r="H459" s="29" t="s">
        <v>2488</v>
      </c>
      <c r="I459" s="29" t="s">
        <v>1769</v>
      </c>
      <c r="J459" s="29" t="s">
        <v>1769</v>
      </c>
      <c r="K459" s="29" t="s">
        <v>1709</v>
      </c>
      <c r="L459" s="29"/>
      <c r="M459" s="29"/>
      <c r="N459" s="29"/>
      <c r="O459" s="29" t="s">
        <v>1628</v>
      </c>
      <c r="P459" s="29" t="str" cm="1">
        <f t="array" ref="P459">_xlfn.REGEXEXTRACT(B459,"(?&lt;=//)[^/]+")</f>
        <v>bdsmstreak.com</v>
      </c>
      <c r="Q459" s="29" t="s">
        <v>695</v>
      </c>
      <c r="R459" s="29" t="s">
        <v>1769</v>
      </c>
      <c r="S459" s="29" t="str" cm="1">
        <f t="array" ref="S459">IF(R459&lt;&gt;"NotApplicable",_xlfn.REGEXEXTRACT(R459,"\d+(?=p)"),"NotApplicable")</f>
        <v>NotApplicable</v>
      </c>
      <c r="T459" s="29" t="s">
        <v>1769</v>
      </c>
      <c r="U459" s="29" t="b">
        <f>ISNUMBER(SEARCH(",",E459))</f>
        <v>1</v>
      </c>
    </row>
    <row r="460" spans="1:21" ht="30" x14ac:dyDescent="0.25">
      <c r="A460" s="29" t="str">
        <f>IF(ISBLANK(M460)=TRUE,"Pending","Done")</f>
        <v>Pending</v>
      </c>
      <c r="B460" s="29" t="s">
        <v>1863</v>
      </c>
      <c r="C460" s="29">
        <v>87</v>
      </c>
      <c r="D460" s="29" t="s">
        <v>866</v>
      </c>
      <c r="E460" s="29" t="s">
        <v>1864</v>
      </c>
      <c r="F460" s="29" t="s">
        <v>200</v>
      </c>
      <c r="G460" s="29" t="s">
        <v>2489</v>
      </c>
      <c r="H460" s="29" t="s">
        <v>2489</v>
      </c>
      <c r="I460" s="29">
        <v>3</v>
      </c>
      <c r="J460" s="29" t="s">
        <v>1628</v>
      </c>
      <c r="K460" s="29"/>
      <c r="L460" s="29"/>
      <c r="M460" s="29"/>
      <c r="N460" s="29"/>
      <c r="O460" s="29"/>
      <c r="P460" s="29" t="str" cm="1">
        <f t="array" ref="P460">_xlfn.REGEXEXTRACT(B460,"(?&lt;=//)[^/]+")</f>
        <v>bdsmstreak.com</v>
      </c>
      <c r="Q460" s="29" t="s">
        <v>695</v>
      </c>
      <c r="R460" s="29" t="s">
        <v>1769</v>
      </c>
      <c r="S460" s="29" t="str" cm="1">
        <f t="array" ref="S460">IF(R460&lt;&gt;"NotApplicable",_xlfn.REGEXEXTRACT(R460,"\d+(?=p)"),"NotApplicable")</f>
        <v>NotApplicable</v>
      </c>
      <c r="T460" s="29" t="s">
        <v>1769</v>
      </c>
      <c r="U460" s="29" t="b">
        <f>ISNUMBER(SEARCH(",",E460))</f>
        <v>1</v>
      </c>
    </row>
    <row r="461" spans="1:21" x14ac:dyDescent="0.25">
      <c r="A461" s="29" t="str">
        <f>IF(ISBLANK(M461)=TRUE,"Pending","Done")</f>
        <v>Pending</v>
      </c>
      <c r="B461" s="29" t="s">
        <v>1873</v>
      </c>
      <c r="C461" s="29">
        <v>55</v>
      </c>
      <c r="D461" s="29" t="s">
        <v>862</v>
      </c>
      <c r="E461" s="29" t="s">
        <v>1874</v>
      </c>
      <c r="F461" s="29" t="s">
        <v>200</v>
      </c>
      <c r="G461" s="29" t="s">
        <v>2487</v>
      </c>
      <c r="H461" s="29" t="s">
        <v>2487</v>
      </c>
      <c r="I461" s="29">
        <v>3</v>
      </c>
      <c r="J461" s="29" t="s">
        <v>1875</v>
      </c>
      <c r="K461" s="29"/>
      <c r="L461" s="29"/>
      <c r="M461" s="29"/>
      <c r="N461" s="29"/>
      <c r="O461" s="29"/>
      <c r="P461" s="29" t="str" cm="1">
        <f t="array" ref="P461">_xlfn.REGEXEXTRACT(B461,"(?&lt;=//)[^/]+")</f>
        <v>bdsmstreak.com</v>
      </c>
      <c r="Q461" s="29" t="s">
        <v>695</v>
      </c>
      <c r="R461" s="29" t="s">
        <v>1769</v>
      </c>
      <c r="S461" s="29" t="str" cm="1">
        <f t="array" ref="S461">IF(R461&lt;&gt;"NotApplicable",_xlfn.REGEXEXTRACT(R461,"\d+(?=p)"),"NotApplicable")</f>
        <v>NotApplicable</v>
      </c>
      <c r="T461" s="29" t="s">
        <v>1769</v>
      </c>
      <c r="U461" s="29" t="b">
        <f>ISNUMBER(SEARCH(",",E461))</f>
        <v>1</v>
      </c>
    </row>
    <row r="462" spans="1:21" ht="30" x14ac:dyDescent="0.25">
      <c r="A462" s="29" t="str">
        <f>IF(ISBLANK(M462)=TRUE,"Pending","Done")</f>
        <v>Pending</v>
      </c>
      <c r="B462" s="29" t="s">
        <v>1680</v>
      </c>
      <c r="C462" s="29">
        <v>44</v>
      </c>
      <c r="D462" s="29" t="s">
        <v>1681</v>
      </c>
      <c r="E462" s="29" t="s">
        <v>1682</v>
      </c>
      <c r="F462" s="29" t="s">
        <v>69</v>
      </c>
      <c r="G462" s="29" t="s">
        <v>2203</v>
      </c>
      <c r="H462" s="29" t="s">
        <v>2203</v>
      </c>
      <c r="I462" s="29" t="s">
        <v>1769</v>
      </c>
      <c r="J462" s="29" t="s">
        <v>1769</v>
      </c>
      <c r="K462" s="29"/>
      <c r="L462" s="29"/>
      <c r="M462" s="29"/>
      <c r="N462" s="29"/>
      <c r="O462" s="29" t="s">
        <v>1683</v>
      </c>
      <c r="P462" s="29" t="str" cm="1">
        <f t="array" ref="P462">_xlfn.REGEXEXTRACT(B462,"(?&lt;=//)[^/]+")</f>
        <v>www.twistedfactory.com</v>
      </c>
      <c r="Q462" s="29" t="s">
        <v>695</v>
      </c>
      <c r="R462" s="29" t="s">
        <v>1769</v>
      </c>
      <c r="S462" s="29" t="str" cm="1">
        <f t="array" ref="S462">IF(R462&lt;&gt;"NotApplicable",_xlfn.REGEXEXTRACT(R462,"\d+(?=p)"),"NotApplicable")</f>
        <v>NotApplicable</v>
      </c>
      <c r="T462" s="29" t="s">
        <v>1769</v>
      </c>
      <c r="U462" s="29" t="b">
        <f>ISNUMBER(SEARCH(",",E462))</f>
        <v>0</v>
      </c>
    </row>
    <row r="463" spans="1:21" ht="30" x14ac:dyDescent="0.25">
      <c r="A463" s="29" t="str">
        <f>IF(ISBLANK(M463)=TRUE,"Pending","Done")</f>
        <v>Pending</v>
      </c>
      <c r="B463" s="29" t="s">
        <v>1484</v>
      </c>
      <c r="C463" s="29">
        <v>26</v>
      </c>
      <c r="D463" s="29" t="s">
        <v>864</v>
      </c>
      <c r="E463" s="29" t="s">
        <v>1485</v>
      </c>
      <c r="F463" s="29" t="s">
        <v>69</v>
      </c>
      <c r="G463" s="29"/>
      <c r="H463" s="29"/>
      <c r="I463" s="29" t="s">
        <v>1769</v>
      </c>
      <c r="J463" s="29" t="s">
        <v>1769</v>
      </c>
      <c r="K463" s="29"/>
      <c r="L463" s="29"/>
      <c r="M463" s="29"/>
      <c r="N463" s="29"/>
      <c r="O463" s="29" t="s">
        <v>1159</v>
      </c>
      <c r="P463" s="29" t="str" cm="1">
        <f t="array" ref="P463">_xlfn.REGEXEXTRACT(B463,"(?&lt;=//)[^/]+")</f>
        <v>hcbdsm.com</v>
      </c>
      <c r="Q463" s="29" t="s">
        <v>695</v>
      </c>
      <c r="R463" s="29" t="s">
        <v>1769</v>
      </c>
      <c r="S463" s="29" t="str" cm="1">
        <f t="array" ref="S463">IF(R463&lt;&gt;"NotApplicable",_xlfn.REGEXEXTRACT(R463,"\d+(?=p)"),"NotApplicable")</f>
        <v>NotApplicable</v>
      </c>
      <c r="T463" s="29" t="s">
        <v>1769</v>
      </c>
      <c r="U463" s="29" t="b">
        <f>ISNUMBER(SEARCH(",",E463))</f>
        <v>0</v>
      </c>
    </row>
    <row r="464" spans="1:21" ht="30" x14ac:dyDescent="0.25">
      <c r="A464" s="29" t="str">
        <f>IF(ISBLANK(M464)=TRUE,"Pending","Done")</f>
        <v>Pending</v>
      </c>
      <c r="B464" s="29" t="s">
        <v>1553</v>
      </c>
      <c r="C464" s="29">
        <v>42</v>
      </c>
      <c r="D464" s="29" t="s">
        <v>860</v>
      </c>
      <c r="E464" s="29" t="s">
        <v>737</v>
      </c>
      <c r="F464" s="29" t="s">
        <v>69</v>
      </c>
      <c r="G464" s="29"/>
      <c r="H464" s="29"/>
      <c r="I464" s="29" t="s">
        <v>1769</v>
      </c>
      <c r="J464" s="29" t="s">
        <v>1769</v>
      </c>
      <c r="K464" s="29"/>
      <c r="L464" s="29"/>
      <c r="M464" s="29"/>
      <c r="N464" s="29"/>
      <c r="O464" s="29"/>
      <c r="P464" s="29" t="str" cm="1">
        <f t="array" ref="P464">_xlfn.REGEXEXTRACT(B464,"(?&lt;=//)[^/]+")</f>
        <v>bdsmmansion.com</v>
      </c>
      <c r="Q464" s="29" t="s">
        <v>695</v>
      </c>
      <c r="R464" s="29" t="s">
        <v>1769</v>
      </c>
      <c r="S464" s="29" t="str" cm="1">
        <f t="array" ref="S464">IF(R464&lt;&gt;"NotApplicable",_xlfn.REGEXEXTRACT(R464,"\d+(?=p)"),"NotApplicable")</f>
        <v>NotApplicable</v>
      </c>
      <c r="T464" s="29" t="s">
        <v>1769</v>
      </c>
      <c r="U464" s="29" t="b">
        <f>ISNUMBER(SEARCH(",",E464))</f>
        <v>0</v>
      </c>
    </row>
    <row r="465" spans="1:21" ht="30" x14ac:dyDescent="0.25">
      <c r="A465" s="29" t="str">
        <f>IF(ISBLANK(M465)=TRUE,"Pending","Done")</f>
        <v>Pending</v>
      </c>
      <c r="B465" s="29" t="s">
        <v>1473</v>
      </c>
      <c r="C465" s="29">
        <v>49</v>
      </c>
      <c r="D465" s="29" t="s">
        <v>860</v>
      </c>
      <c r="E465" s="29" t="s">
        <v>1475</v>
      </c>
      <c r="F465" s="29" t="s">
        <v>69</v>
      </c>
      <c r="G465" s="29"/>
      <c r="H465" s="29"/>
      <c r="I465" s="29" t="s">
        <v>1769</v>
      </c>
      <c r="J465" s="29" t="s">
        <v>1769</v>
      </c>
      <c r="K465" s="29"/>
      <c r="L465" s="29"/>
      <c r="M465" s="29"/>
      <c r="N465" s="29"/>
      <c r="O465" s="29" t="s">
        <v>1476</v>
      </c>
      <c r="P465" s="29" t="str" cm="1">
        <f t="array" ref="P465">_xlfn.REGEXEXTRACT(B465,"(?&lt;=//)[^/]+")</f>
        <v>bdsmstreak.com</v>
      </c>
      <c r="Q465" s="29" t="s">
        <v>695</v>
      </c>
      <c r="R465" s="29" t="s">
        <v>1769</v>
      </c>
      <c r="S465" s="29" t="str" cm="1">
        <f t="array" ref="S465">IF(R465&lt;&gt;"NotApplicable",_xlfn.REGEXEXTRACT(R465,"\d+(?=p)"),"NotApplicable")</f>
        <v>NotApplicable</v>
      </c>
      <c r="T465" s="29" t="s">
        <v>1769</v>
      </c>
      <c r="U465" s="29" t="b">
        <f>ISNUMBER(SEARCH(",",E465))</f>
        <v>0</v>
      </c>
    </row>
    <row r="466" spans="1:21" ht="30" x14ac:dyDescent="0.25">
      <c r="A466" s="29" t="str">
        <f>IF(ISBLANK(M466)=TRUE,"Pending","Done")</f>
        <v>Pending</v>
      </c>
      <c r="B466" s="29" t="s">
        <v>1639</v>
      </c>
      <c r="C466" s="29">
        <v>74</v>
      </c>
      <c r="D466" s="29" t="s">
        <v>1591</v>
      </c>
      <c r="E466" s="29" t="s">
        <v>1655</v>
      </c>
      <c r="F466" s="29" t="s">
        <v>69</v>
      </c>
      <c r="G466" s="29"/>
      <c r="H466" s="29"/>
      <c r="I466" s="29" t="s">
        <v>1769</v>
      </c>
      <c r="J466" s="29" t="s">
        <v>1769</v>
      </c>
      <c r="K466" s="29" t="s">
        <v>1696</v>
      </c>
      <c r="L466" s="29"/>
      <c r="M466" s="29"/>
      <c r="N466" s="29"/>
      <c r="O466" s="29"/>
      <c r="P466" s="29" t="str" cm="1">
        <f t="array" ref="P466">_xlfn.REGEXEXTRACT(B466,"(?&lt;=//)[^/]+")</f>
        <v>heavyfetish.com</v>
      </c>
      <c r="Q466" s="29" t="s">
        <v>695</v>
      </c>
      <c r="R466" s="29" t="s">
        <v>1769</v>
      </c>
      <c r="S466" s="29" t="str" cm="1">
        <f t="array" ref="S466">IF(R466&lt;&gt;"NotApplicable",_xlfn.REGEXEXTRACT(R466,"\d+(?=p)"),"NotApplicable")</f>
        <v>NotApplicable</v>
      </c>
      <c r="T466" s="29" t="s">
        <v>1769</v>
      </c>
      <c r="U466" s="29" t="b">
        <f>ISNUMBER(SEARCH(",",E466))</f>
        <v>1</v>
      </c>
    </row>
    <row r="467" spans="1:21" ht="30" x14ac:dyDescent="0.25">
      <c r="A467" s="29" t="str">
        <f>IF(ISBLANK(M467)=TRUE,"Pending","Done")</f>
        <v>Pending</v>
      </c>
      <c r="B467" s="29" t="s">
        <v>2501</v>
      </c>
      <c r="C467" s="29">
        <v>81</v>
      </c>
      <c r="D467" s="29" t="s">
        <v>1591</v>
      </c>
      <c r="E467" s="29" t="s">
        <v>2047</v>
      </c>
      <c r="F467" s="29" t="s">
        <v>2048</v>
      </c>
      <c r="G467" s="29" t="s">
        <v>2233</v>
      </c>
      <c r="H467" s="29" t="s">
        <v>2502</v>
      </c>
      <c r="I467" s="29">
        <v>0</v>
      </c>
      <c r="J467" s="29" t="s">
        <v>1696</v>
      </c>
      <c r="K467" s="29" t="s">
        <v>1696</v>
      </c>
      <c r="L467" s="29"/>
      <c r="M467" s="29"/>
      <c r="N467" s="29"/>
      <c r="O467" s="29"/>
      <c r="P467" s="29" t="str" cm="1">
        <f t="array" ref="P467">_xlfn.REGEXEXTRACT(B467,"(?&lt;=//)[^/]+")</f>
        <v>www.porntry.com</v>
      </c>
      <c r="Q467" s="29" t="s">
        <v>695</v>
      </c>
      <c r="R467" s="29" t="s">
        <v>1769</v>
      </c>
      <c r="S467" s="29" t="str" cm="1">
        <f t="array" ref="S467">IF(R467&lt;&gt;"NotApplicable",_xlfn.REGEXEXTRACT(R467,"\d+(?=p)"),"NotApplicable")</f>
        <v>NotApplicable</v>
      </c>
      <c r="T467" s="29" t="s">
        <v>1769</v>
      </c>
      <c r="U467" s="29" t="b">
        <f>ISNUMBER(SEARCH(",",E467))</f>
        <v>1</v>
      </c>
    </row>
  </sheetData>
  <autoFilter ref="A1:U467" xr:uid="{84BC93B7-B882-48B2-AAF6-D1E0B3702CB8}">
    <sortState xmlns:xlrd2="http://schemas.microsoft.com/office/spreadsheetml/2017/richdata2" ref="A2:U467">
      <sortCondition descending="1" ref="N1:N467"/>
    </sortState>
  </autoFilter>
  <sortState xmlns:xlrd2="http://schemas.microsoft.com/office/spreadsheetml/2017/richdata2" ref="A2:U468">
    <sortCondition ref="H1:H468"/>
  </sortState>
  <phoneticPr fontId="1" type="noConversion"/>
  <conditionalFormatting sqref="A1:U2003">
    <cfRule type="expression" dxfId="2" priority="5">
      <formula>$A1="Pending"</formula>
    </cfRule>
  </conditionalFormatting>
  <conditionalFormatting sqref="B1:B1048576">
    <cfRule type="duplicateValues" dxfId="1" priority="2"/>
  </conditionalFormatting>
  <hyperlinks>
    <hyperlink ref="B43" r:id="rId1" xr:uid="{2E147CF4-F9A8-4362-BC23-7A0D81E0545C}"/>
    <hyperlink ref="B103" r:id="rId2" xr:uid="{67D640FB-30E4-4DE4-8404-82A48C872AA6}"/>
    <hyperlink ref="B243" r:id="rId3" xr:uid="{5E047F66-E887-4633-BD76-F0226DDAE0B6}"/>
    <hyperlink ref="B456" r:id="rId4" xr:uid="{6F39F461-3FF1-45B0-B4B9-0DF4EB1071EC}"/>
    <hyperlink ref="B104" r:id="rId5" xr:uid="{2C50A944-FF4F-4286-869A-0332AC022F70}"/>
    <hyperlink ref="B205" r:id="rId6" xr:uid="{1B53BC7D-6016-4861-B1EF-CD88940D6D3E}"/>
  </hyperlinks>
  <printOptions horizontalCentered="1" verticalCentered="1"/>
  <pageMargins left="0" right="0" top="0" bottom="0" header="0" footer="0"/>
  <pageSetup paperSize="8" orientation="landscape"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5F2D5-8484-4D0C-86D0-D24E81A20C64}">
  <dimension ref="A1:J17"/>
  <sheetViews>
    <sheetView workbookViewId="0">
      <selection activeCell="E17" sqref="E17"/>
    </sheetView>
  </sheetViews>
  <sheetFormatPr defaultRowHeight="15" x14ac:dyDescent="0.25"/>
  <cols>
    <col min="1" max="1" width="7.28515625" bestFit="1" customWidth="1"/>
    <col min="2" max="2" width="7.7109375" bestFit="1" customWidth="1"/>
    <col min="3" max="3" width="9.42578125" bestFit="1" customWidth="1"/>
    <col min="4" max="4" width="9.42578125" customWidth="1"/>
    <col min="5" max="5" width="24.28515625" bestFit="1" customWidth="1"/>
    <col min="6" max="6" width="7.28515625" bestFit="1" customWidth="1"/>
    <col min="7" max="7" width="8" bestFit="1" customWidth="1"/>
    <col min="8" max="8" width="15.140625" bestFit="1" customWidth="1"/>
    <col min="9" max="9" width="25.140625" bestFit="1" customWidth="1"/>
    <col min="10" max="10" width="9.42578125" bestFit="1" customWidth="1"/>
    <col min="12" max="12" width="85.5703125" bestFit="1" customWidth="1"/>
    <col min="19" max="19" width="7.28515625" bestFit="1" customWidth="1"/>
    <col min="20" max="20" width="7.7109375" bestFit="1" customWidth="1"/>
    <col min="21" max="21" width="9.42578125" bestFit="1" customWidth="1"/>
  </cols>
  <sheetData>
    <row r="1" spans="1:10" x14ac:dyDescent="0.25">
      <c r="A1" s="10" t="s">
        <v>159</v>
      </c>
      <c r="B1" s="11" t="s">
        <v>160</v>
      </c>
      <c r="C1" s="3" t="s">
        <v>162</v>
      </c>
      <c r="D1" s="9"/>
      <c r="E1" s="18" t="str">
        <f>_xlfn.CONCAT(A1,"-",B1,"-",C1)</f>
        <v>bdsm-soft-maledom</v>
      </c>
      <c r="J1" s="28"/>
    </row>
    <row r="2" spans="1:10" x14ac:dyDescent="0.25">
      <c r="A2" s="10" t="s">
        <v>159</v>
      </c>
      <c r="B2" s="11" t="s">
        <v>160</v>
      </c>
      <c r="C2" s="4" t="s">
        <v>163</v>
      </c>
      <c r="D2" s="8"/>
      <c r="E2" s="18" t="str">
        <f t="shared" ref="E2:E6" si="0">_xlfn.CONCAT(A2,"-",B2,"-",C2)</f>
        <v>bdsm-soft-femdom</v>
      </c>
      <c r="J2" s="28"/>
    </row>
    <row r="3" spans="1:10" x14ac:dyDescent="0.25">
      <c r="A3" s="10" t="s">
        <v>159</v>
      </c>
      <c r="B3" s="11" t="s">
        <v>160</v>
      </c>
      <c r="C3" s="5" t="s">
        <v>164</v>
      </c>
      <c r="D3" s="8"/>
      <c r="E3" s="18" t="str">
        <f t="shared" si="0"/>
        <v>bdsm-soft-lesdom</v>
      </c>
      <c r="J3" s="28"/>
    </row>
    <row r="4" spans="1:10" x14ac:dyDescent="0.25">
      <c r="A4" s="10" t="s">
        <v>159</v>
      </c>
      <c r="B4" s="12" t="s">
        <v>161</v>
      </c>
      <c r="C4" s="3" t="s">
        <v>162</v>
      </c>
      <c r="D4" s="8"/>
      <c r="E4" s="19" t="str">
        <f t="shared" si="0"/>
        <v>bdsm-hard-maledom</v>
      </c>
      <c r="J4" s="28"/>
    </row>
    <row r="5" spans="1:10" x14ac:dyDescent="0.25">
      <c r="A5" s="10" t="s">
        <v>159</v>
      </c>
      <c r="B5" s="12" t="s">
        <v>161</v>
      </c>
      <c r="C5" s="4" t="s">
        <v>163</v>
      </c>
      <c r="D5" s="8"/>
      <c r="E5" s="19" t="str">
        <f t="shared" si="0"/>
        <v>bdsm-hard-femdom</v>
      </c>
      <c r="J5" s="28"/>
    </row>
    <row r="6" spans="1:10" x14ac:dyDescent="0.25">
      <c r="A6" s="13" t="s">
        <v>159</v>
      </c>
      <c r="B6" s="14" t="s">
        <v>161</v>
      </c>
      <c r="C6" s="15" t="s">
        <v>164</v>
      </c>
      <c r="D6" s="8"/>
      <c r="E6" s="20" t="str">
        <f t="shared" si="0"/>
        <v>bdsm-hard-lesdom</v>
      </c>
      <c r="J6" s="28"/>
    </row>
    <row r="7" spans="1:10" x14ac:dyDescent="0.25">
      <c r="J7" s="28"/>
    </row>
    <row r="8" spans="1:10" x14ac:dyDescent="0.25">
      <c r="A8" s="2" t="s">
        <v>165</v>
      </c>
      <c r="B8" s="16" t="s">
        <v>166</v>
      </c>
      <c r="C8" s="1" t="s">
        <v>168</v>
      </c>
      <c r="D8" s="8"/>
      <c r="E8" s="16" t="str">
        <f>_xlfn.CONCAT(A8,"-",B8,"-",C8)</f>
        <v>normal-rough-cis</v>
      </c>
      <c r="J8" s="28"/>
    </row>
    <row r="9" spans="1:10" x14ac:dyDescent="0.25">
      <c r="A9" s="2" t="s">
        <v>165</v>
      </c>
      <c r="B9" s="16" t="s">
        <v>166</v>
      </c>
      <c r="C9" s="3" t="s">
        <v>162</v>
      </c>
      <c r="D9" s="8"/>
      <c r="E9" s="21" t="str">
        <f t="shared" ref="E9:E17" si="1">_xlfn.CONCAT(A9,"-",B9,"-",C9)</f>
        <v>normal-rough-maledom</v>
      </c>
      <c r="J9" s="28"/>
    </row>
    <row r="10" spans="1:10" x14ac:dyDescent="0.25">
      <c r="A10" s="2" t="s">
        <v>165</v>
      </c>
      <c r="B10" s="16" t="s">
        <v>166</v>
      </c>
      <c r="C10" s="4" t="s">
        <v>163</v>
      </c>
      <c r="D10" s="8"/>
      <c r="E10" s="21" t="str">
        <f t="shared" si="1"/>
        <v>normal-rough-femdom</v>
      </c>
      <c r="J10" s="28"/>
    </row>
    <row r="11" spans="1:10" x14ac:dyDescent="0.25">
      <c r="A11" s="2" t="s">
        <v>165</v>
      </c>
      <c r="B11" s="16" t="s">
        <v>166</v>
      </c>
      <c r="C11" s="5" t="s">
        <v>164</v>
      </c>
      <c r="D11" s="8"/>
      <c r="E11" s="21" t="str">
        <f t="shared" si="1"/>
        <v>normal-rough-lesdom</v>
      </c>
      <c r="J11" s="28"/>
    </row>
    <row r="12" spans="1:10" x14ac:dyDescent="0.25">
      <c r="A12" s="2" t="s">
        <v>165</v>
      </c>
      <c r="B12" s="16" t="s">
        <v>166</v>
      </c>
      <c r="C12" s="7" t="s">
        <v>68</v>
      </c>
      <c r="D12" s="8"/>
      <c r="E12" s="21" t="str">
        <f t="shared" si="1"/>
        <v>normal-rough-lesbian</v>
      </c>
      <c r="J12" s="28"/>
    </row>
    <row r="13" spans="1:10" x14ac:dyDescent="0.25">
      <c r="A13" s="2" t="s">
        <v>165</v>
      </c>
      <c r="B13" s="17" t="s">
        <v>167</v>
      </c>
      <c r="C13" s="6" t="s">
        <v>168</v>
      </c>
      <c r="D13" s="8"/>
      <c r="E13" s="22" t="str">
        <f t="shared" si="1"/>
        <v>normal-sensual-cis</v>
      </c>
      <c r="J13" s="28"/>
    </row>
    <row r="14" spans="1:10" x14ac:dyDescent="0.25">
      <c r="A14" s="2" t="s">
        <v>165</v>
      </c>
      <c r="B14" s="17" t="s">
        <v>167</v>
      </c>
      <c r="C14" s="3" t="s">
        <v>162</v>
      </c>
      <c r="D14" s="8"/>
      <c r="E14" s="22" t="str">
        <f t="shared" si="1"/>
        <v>normal-sensual-maledom</v>
      </c>
      <c r="J14" s="28"/>
    </row>
    <row r="15" spans="1:10" x14ac:dyDescent="0.25">
      <c r="A15" s="2" t="s">
        <v>165</v>
      </c>
      <c r="B15" s="17" t="s">
        <v>167</v>
      </c>
      <c r="C15" s="4" t="s">
        <v>163</v>
      </c>
      <c r="D15" s="8"/>
      <c r="E15" s="22" t="str">
        <f t="shared" si="1"/>
        <v>normal-sensual-femdom</v>
      </c>
    </row>
    <row r="16" spans="1:10" x14ac:dyDescent="0.25">
      <c r="A16" s="2" t="s">
        <v>165</v>
      </c>
      <c r="B16" s="17" t="s">
        <v>167</v>
      </c>
      <c r="C16" s="5" t="s">
        <v>164</v>
      </c>
      <c r="D16" s="8"/>
      <c r="E16" s="22" t="str">
        <f t="shared" si="1"/>
        <v>normal-sensual-lesdom</v>
      </c>
    </row>
    <row r="17" spans="1:5" x14ac:dyDescent="0.25">
      <c r="A17" s="2" t="s">
        <v>165</v>
      </c>
      <c r="B17" s="17" t="s">
        <v>167</v>
      </c>
      <c r="C17" s="25" t="s">
        <v>68</v>
      </c>
      <c r="E17" s="17" t="str">
        <f t="shared" si="1"/>
        <v>normal-sensual-lesbian</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32AE3-C0BD-4F92-A538-4F0B11256815}">
  <dimension ref="A1:J297"/>
  <sheetViews>
    <sheetView topLeftCell="A275" workbookViewId="0">
      <selection activeCell="B277" sqref="B277"/>
    </sheetView>
  </sheetViews>
  <sheetFormatPr defaultRowHeight="15" x14ac:dyDescent="0.25"/>
  <cols>
    <col min="1" max="2" width="50.7109375" style="23" customWidth="1"/>
    <col min="3" max="3" width="50.7109375" style="24" customWidth="1"/>
    <col min="4" max="4" width="8.5703125" style="23" bestFit="1" customWidth="1"/>
    <col min="5" max="5" width="17" style="23" bestFit="1" customWidth="1"/>
    <col min="6" max="6" width="13.85546875" style="23" customWidth="1"/>
    <col min="7" max="7" width="20" style="23" bestFit="1" customWidth="1"/>
    <col min="8" max="8" width="9.140625" style="23"/>
    <col min="9" max="9" width="12.28515625" style="23" bestFit="1" customWidth="1"/>
    <col min="10" max="16384" width="9.140625" style="23"/>
  </cols>
  <sheetData>
    <row r="1" spans="1:10" x14ac:dyDescent="0.25">
      <c r="A1" s="26" t="s">
        <v>64</v>
      </c>
      <c r="B1" s="26" t="s">
        <v>1155</v>
      </c>
      <c r="C1" s="26" t="s">
        <v>58</v>
      </c>
      <c r="D1" s="26" t="s">
        <v>60</v>
      </c>
      <c r="E1" s="26" t="s">
        <v>61</v>
      </c>
      <c r="F1" s="26" t="s">
        <v>326</v>
      </c>
      <c r="G1" s="26" t="s">
        <v>63</v>
      </c>
      <c r="H1" s="27" t="s">
        <v>1460</v>
      </c>
      <c r="I1" s="27" t="s">
        <v>1550</v>
      </c>
      <c r="J1" s="27" t="s">
        <v>243</v>
      </c>
    </row>
    <row r="2" spans="1:10" ht="30" x14ac:dyDescent="0.25">
      <c r="A2" s="27" t="s">
        <v>39</v>
      </c>
      <c r="B2" s="27" t="s">
        <v>1160</v>
      </c>
      <c r="C2" s="27" t="s">
        <v>1451</v>
      </c>
      <c r="D2" s="27">
        <v>41</v>
      </c>
      <c r="E2" s="27" t="s">
        <v>97</v>
      </c>
      <c r="F2" s="27" t="s">
        <v>1452</v>
      </c>
      <c r="G2" s="27" t="s">
        <v>70</v>
      </c>
      <c r="H2" s="27">
        <v>0</v>
      </c>
      <c r="I2" s="27" t="s">
        <v>1156</v>
      </c>
      <c r="J2" s="27" t="str">
        <f>IF(C2&lt;&gt;"-","done","pending")</f>
        <v>done</v>
      </c>
    </row>
    <row r="3" spans="1:10" ht="30" x14ac:dyDescent="0.25">
      <c r="A3" s="27" t="s">
        <v>38</v>
      </c>
      <c r="B3" s="27" t="s">
        <v>1161</v>
      </c>
      <c r="C3" s="27" t="s">
        <v>1454</v>
      </c>
      <c r="D3" s="27">
        <v>64</v>
      </c>
      <c r="E3" s="27" t="s">
        <v>864</v>
      </c>
      <c r="F3" s="27" t="s">
        <v>1453</v>
      </c>
      <c r="G3" s="27" t="s">
        <v>70</v>
      </c>
      <c r="H3" s="27">
        <v>0</v>
      </c>
      <c r="I3" s="27" t="s">
        <v>1156</v>
      </c>
      <c r="J3" s="27" t="str">
        <f t="shared" ref="J3:J66" si="0">IF(C3&lt;&gt;"-","done","pending")</f>
        <v>done</v>
      </c>
    </row>
    <row r="4" spans="1:10" ht="45" x14ac:dyDescent="0.25">
      <c r="A4" s="27" t="s">
        <v>27</v>
      </c>
      <c r="B4" s="27" t="s">
        <v>1162</v>
      </c>
      <c r="C4" s="27" t="s">
        <v>1456</v>
      </c>
      <c r="D4" s="27">
        <v>65</v>
      </c>
      <c r="E4" s="27" t="s">
        <v>862</v>
      </c>
      <c r="F4" s="27" t="s">
        <v>1455</v>
      </c>
      <c r="G4" s="27" t="s">
        <v>71</v>
      </c>
      <c r="H4" s="27">
        <v>4</v>
      </c>
      <c r="I4" s="27" t="s">
        <v>1156</v>
      </c>
      <c r="J4" s="27" t="str">
        <f t="shared" si="0"/>
        <v>done</v>
      </c>
    </row>
    <row r="5" spans="1:10" ht="30" x14ac:dyDescent="0.25">
      <c r="A5" s="27" t="s">
        <v>43</v>
      </c>
      <c r="B5" s="27" t="s">
        <v>1163</v>
      </c>
      <c r="C5" s="27" t="s">
        <v>1458</v>
      </c>
      <c r="D5" s="27">
        <v>37</v>
      </c>
      <c r="E5" s="27" t="s">
        <v>868</v>
      </c>
      <c r="F5" s="27" t="s">
        <v>1457</v>
      </c>
      <c r="G5" s="27" t="s">
        <v>70</v>
      </c>
      <c r="H5" s="27">
        <v>9</v>
      </c>
      <c r="I5" s="27" t="s">
        <v>1461</v>
      </c>
      <c r="J5" s="27" t="str">
        <f t="shared" si="0"/>
        <v>done</v>
      </c>
    </row>
    <row r="6" spans="1:10" ht="45" x14ac:dyDescent="0.25">
      <c r="A6" s="27" t="s">
        <v>41</v>
      </c>
      <c r="B6" s="27" t="s">
        <v>1157</v>
      </c>
      <c r="C6" s="27" t="s">
        <v>1459</v>
      </c>
      <c r="D6" s="27">
        <v>43</v>
      </c>
      <c r="E6" s="27" t="s">
        <v>868</v>
      </c>
      <c r="F6" s="27" t="s">
        <v>232</v>
      </c>
      <c r="G6" s="27" t="s">
        <v>70</v>
      </c>
      <c r="H6" s="27">
        <v>10</v>
      </c>
      <c r="I6" s="27" t="s">
        <v>1462</v>
      </c>
      <c r="J6" s="27" t="str">
        <f t="shared" si="0"/>
        <v>done</v>
      </c>
    </row>
    <row r="7" spans="1:10" x14ac:dyDescent="0.25">
      <c r="A7" s="27" t="s">
        <v>21</v>
      </c>
      <c r="B7" s="27" t="s">
        <v>1164</v>
      </c>
      <c r="C7" s="27" t="s">
        <v>1156</v>
      </c>
      <c r="D7" s="27">
        <v>15</v>
      </c>
      <c r="E7" s="27" t="s">
        <v>1156</v>
      </c>
      <c r="F7" s="27" t="s">
        <v>1156</v>
      </c>
      <c r="G7" s="27" t="s">
        <v>1156</v>
      </c>
      <c r="H7" s="27">
        <v>0</v>
      </c>
      <c r="I7" s="27" t="s">
        <v>1156</v>
      </c>
      <c r="J7" s="27" t="str">
        <f t="shared" si="0"/>
        <v>pending</v>
      </c>
    </row>
    <row r="8" spans="1:10" ht="30" x14ac:dyDescent="0.25">
      <c r="A8" s="27" t="s">
        <v>23</v>
      </c>
      <c r="B8" s="27" t="s">
        <v>1165</v>
      </c>
      <c r="C8" s="27" t="s">
        <v>1463</v>
      </c>
      <c r="D8" s="27">
        <v>24</v>
      </c>
      <c r="E8" s="27" t="s">
        <v>93</v>
      </c>
      <c r="F8" s="27" t="s">
        <v>1464</v>
      </c>
      <c r="G8" s="27" t="s">
        <v>71</v>
      </c>
      <c r="H8" s="27">
        <v>0</v>
      </c>
      <c r="I8" s="27" t="s">
        <v>1156</v>
      </c>
      <c r="J8" s="27" t="str">
        <f t="shared" si="0"/>
        <v>done</v>
      </c>
    </row>
    <row r="9" spans="1:10" ht="30" x14ac:dyDescent="0.25">
      <c r="A9" s="27" t="s">
        <v>22</v>
      </c>
      <c r="B9" s="27" t="s">
        <v>1166</v>
      </c>
      <c r="C9" s="27" t="s">
        <v>1156</v>
      </c>
      <c r="D9" s="27">
        <v>95</v>
      </c>
      <c r="E9" s="27" t="s">
        <v>868</v>
      </c>
      <c r="F9" s="27" t="s">
        <v>1156</v>
      </c>
      <c r="G9" s="27" t="s">
        <v>1156</v>
      </c>
      <c r="H9" s="27">
        <v>0</v>
      </c>
      <c r="I9" s="27" t="s">
        <v>1156</v>
      </c>
      <c r="J9" s="27" t="str">
        <f t="shared" si="0"/>
        <v>pending</v>
      </c>
    </row>
    <row r="10" spans="1:10" ht="45" x14ac:dyDescent="0.25">
      <c r="A10" s="27" t="s">
        <v>47</v>
      </c>
      <c r="B10" s="27" t="s">
        <v>1167</v>
      </c>
      <c r="C10" s="27" t="s">
        <v>1467</v>
      </c>
      <c r="D10" s="27">
        <v>21</v>
      </c>
      <c r="E10" s="27" t="s">
        <v>1465</v>
      </c>
      <c r="F10" s="27" t="s">
        <v>1466</v>
      </c>
      <c r="G10" s="27" t="s">
        <v>71</v>
      </c>
      <c r="H10" s="27">
        <v>0</v>
      </c>
      <c r="I10" s="27" t="s">
        <v>1156</v>
      </c>
      <c r="J10" s="27" t="str">
        <f t="shared" si="0"/>
        <v>done</v>
      </c>
    </row>
    <row r="11" spans="1:10" ht="45" x14ac:dyDescent="0.25">
      <c r="A11" s="27" t="s">
        <v>45</v>
      </c>
      <c r="B11" s="27" t="s">
        <v>1168</v>
      </c>
      <c r="C11" s="27" t="s">
        <v>1468</v>
      </c>
      <c r="D11" s="27">
        <v>54</v>
      </c>
      <c r="E11" s="27" t="s">
        <v>868</v>
      </c>
      <c r="F11" s="27" t="s">
        <v>1469</v>
      </c>
      <c r="G11" s="27" t="s">
        <v>70</v>
      </c>
      <c r="H11" s="27">
        <v>0</v>
      </c>
      <c r="I11" s="27" t="s">
        <v>1156</v>
      </c>
      <c r="J11" s="27" t="str">
        <f t="shared" si="0"/>
        <v>done</v>
      </c>
    </row>
    <row r="12" spans="1:10" ht="45" x14ac:dyDescent="0.25">
      <c r="A12" s="27" t="s">
        <v>40</v>
      </c>
      <c r="B12" s="27" t="s">
        <v>1169</v>
      </c>
      <c r="C12" s="27" t="s">
        <v>1470</v>
      </c>
      <c r="D12" s="27">
        <v>48</v>
      </c>
      <c r="E12" s="27" t="s">
        <v>868</v>
      </c>
      <c r="F12" s="27" t="s">
        <v>1471</v>
      </c>
      <c r="G12" s="27" t="s">
        <v>70</v>
      </c>
      <c r="H12" s="27">
        <v>4</v>
      </c>
      <c r="I12" s="27" t="s">
        <v>1472</v>
      </c>
      <c r="J12" s="27" t="str">
        <f t="shared" si="0"/>
        <v>done</v>
      </c>
    </row>
    <row r="13" spans="1:10" ht="30" x14ac:dyDescent="0.25">
      <c r="A13" s="27" t="s">
        <v>53</v>
      </c>
      <c r="B13" s="27" t="s">
        <v>1170</v>
      </c>
      <c r="C13" s="27" t="s">
        <v>1473</v>
      </c>
      <c r="D13" s="27">
        <v>49</v>
      </c>
      <c r="E13" s="27" t="s">
        <v>1474</v>
      </c>
      <c r="F13" s="27" t="s">
        <v>1475</v>
      </c>
      <c r="G13" s="27" t="s">
        <v>69</v>
      </c>
      <c r="H13" s="27">
        <v>4</v>
      </c>
      <c r="I13" s="27" t="s">
        <v>1476</v>
      </c>
      <c r="J13" s="27" t="str">
        <f t="shared" si="0"/>
        <v>done</v>
      </c>
    </row>
    <row r="14" spans="1:10" ht="75" x14ac:dyDescent="0.25">
      <c r="A14" s="27" t="s">
        <v>42</v>
      </c>
      <c r="B14" s="27" t="s">
        <v>1158</v>
      </c>
      <c r="C14" s="27" t="s">
        <v>1479</v>
      </c>
      <c r="D14" s="27">
        <v>50</v>
      </c>
      <c r="E14" s="27" t="s">
        <v>863</v>
      </c>
      <c r="F14" s="27" t="s">
        <v>1477</v>
      </c>
      <c r="G14" s="27" t="s">
        <v>71</v>
      </c>
      <c r="H14" s="27">
        <v>3</v>
      </c>
      <c r="I14" s="27" t="s">
        <v>1478</v>
      </c>
      <c r="J14" s="27" t="str">
        <f t="shared" si="0"/>
        <v>done</v>
      </c>
    </row>
    <row r="15" spans="1:10" ht="45" x14ac:dyDescent="0.25">
      <c r="A15" s="27" t="s">
        <v>44</v>
      </c>
      <c r="B15" s="27" t="s">
        <v>1171</v>
      </c>
      <c r="C15" s="27" t="s">
        <v>1481</v>
      </c>
      <c r="D15" s="27">
        <v>62</v>
      </c>
      <c r="E15" s="27" t="s">
        <v>863</v>
      </c>
      <c r="F15" s="27" t="s">
        <v>1480</v>
      </c>
      <c r="G15" s="27" t="s">
        <v>71</v>
      </c>
      <c r="H15" s="27">
        <v>0</v>
      </c>
      <c r="I15" s="27" t="s">
        <v>1156</v>
      </c>
      <c r="J15" s="27" t="str">
        <f t="shared" si="0"/>
        <v>done</v>
      </c>
    </row>
    <row r="16" spans="1:10" ht="30" x14ac:dyDescent="0.25">
      <c r="A16" s="27" t="s">
        <v>873</v>
      </c>
      <c r="B16" s="27" t="s">
        <v>1172</v>
      </c>
      <c r="C16" s="27" t="s">
        <v>1551</v>
      </c>
      <c r="D16" s="27">
        <v>53</v>
      </c>
      <c r="E16" s="27" t="s">
        <v>868</v>
      </c>
      <c r="F16" s="27" t="s">
        <v>1552</v>
      </c>
      <c r="G16" s="27" t="s">
        <v>70</v>
      </c>
      <c r="H16" s="27">
        <v>0</v>
      </c>
      <c r="I16" s="27" t="s">
        <v>1156</v>
      </c>
      <c r="J16" s="27" t="str">
        <f t="shared" si="0"/>
        <v>done</v>
      </c>
    </row>
    <row r="17" spans="1:10" ht="45" x14ac:dyDescent="0.25">
      <c r="A17" s="27" t="s">
        <v>874</v>
      </c>
      <c r="B17" s="27" t="s">
        <v>1173</v>
      </c>
      <c r="C17" s="27" t="s">
        <v>1482</v>
      </c>
      <c r="D17" s="27">
        <v>11</v>
      </c>
      <c r="E17" s="27" t="s">
        <v>864</v>
      </c>
      <c r="F17" s="27" t="s">
        <v>172</v>
      </c>
      <c r="G17" s="27" t="s">
        <v>71</v>
      </c>
      <c r="H17" s="27">
        <v>10</v>
      </c>
      <c r="I17" s="27" t="s">
        <v>1483</v>
      </c>
      <c r="J17" s="27" t="str">
        <f t="shared" si="0"/>
        <v>done</v>
      </c>
    </row>
    <row r="18" spans="1:10" ht="45" x14ac:dyDescent="0.25">
      <c r="A18" s="27" t="s">
        <v>875</v>
      </c>
      <c r="B18" s="27" t="s">
        <v>1174</v>
      </c>
      <c r="C18" s="27" t="s">
        <v>1486</v>
      </c>
      <c r="D18" s="27">
        <v>20</v>
      </c>
      <c r="E18" s="27" t="s">
        <v>864</v>
      </c>
      <c r="F18" s="27" t="s">
        <v>1487</v>
      </c>
      <c r="G18" s="27" t="s">
        <v>70</v>
      </c>
      <c r="H18" s="27">
        <v>7</v>
      </c>
      <c r="I18" s="27" t="s">
        <v>1159</v>
      </c>
      <c r="J18" s="27" t="str">
        <f t="shared" si="0"/>
        <v>done</v>
      </c>
    </row>
    <row r="19" spans="1:10" ht="75" x14ac:dyDescent="0.25">
      <c r="A19" s="27" t="s">
        <v>876</v>
      </c>
      <c r="B19" s="27" t="s">
        <v>1175</v>
      </c>
      <c r="C19" s="27" t="s">
        <v>1488</v>
      </c>
      <c r="D19" s="27">
        <v>63</v>
      </c>
      <c r="E19" s="27" t="s">
        <v>862</v>
      </c>
      <c r="F19" s="27" t="s">
        <v>1489</v>
      </c>
      <c r="G19" s="27" t="s">
        <v>71</v>
      </c>
      <c r="H19" s="27">
        <v>0</v>
      </c>
      <c r="I19" s="27" t="s">
        <v>1156</v>
      </c>
      <c r="J19" s="27" t="str">
        <f t="shared" si="0"/>
        <v>done</v>
      </c>
    </row>
    <row r="20" spans="1:10" ht="60" x14ac:dyDescent="0.25">
      <c r="A20" s="27" t="s">
        <v>877</v>
      </c>
      <c r="B20" s="27" t="s">
        <v>1176</v>
      </c>
      <c r="C20" s="27" t="s">
        <v>1495</v>
      </c>
      <c r="D20" s="27">
        <v>91</v>
      </c>
      <c r="E20" s="27" t="s">
        <v>862</v>
      </c>
      <c r="F20" s="27" t="s">
        <v>1490</v>
      </c>
      <c r="G20" s="27" t="s">
        <v>71</v>
      </c>
      <c r="H20" s="27">
        <v>0</v>
      </c>
      <c r="I20" s="27" t="s">
        <v>1156</v>
      </c>
      <c r="J20" s="27" t="str">
        <f t="shared" si="0"/>
        <v>done</v>
      </c>
    </row>
    <row r="21" spans="1:10" ht="45" x14ac:dyDescent="0.25">
      <c r="A21" s="27" t="s">
        <v>878</v>
      </c>
      <c r="B21" s="27" t="s">
        <v>1177</v>
      </c>
      <c r="C21" s="27" t="s">
        <v>1494</v>
      </c>
      <c r="D21" s="27">
        <v>74</v>
      </c>
      <c r="E21" s="27" t="s">
        <v>862</v>
      </c>
      <c r="F21" s="27" t="s">
        <v>1491</v>
      </c>
      <c r="G21" s="27" t="s">
        <v>71</v>
      </c>
      <c r="H21" s="27">
        <v>10</v>
      </c>
      <c r="I21" s="27" t="s">
        <v>747</v>
      </c>
      <c r="J21" s="27" t="str">
        <f t="shared" si="0"/>
        <v>done</v>
      </c>
    </row>
    <row r="22" spans="1:10" ht="30" x14ac:dyDescent="0.25">
      <c r="A22" s="27" t="s">
        <v>879</v>
      </c>
      <c r="B22" s="27" t="s">
        <v>1178</v>
      </c>
      <c r="C22" s="27" t="s">
        <v>1553</v>
      </c>
      <c r="D22" s="27">
        <v>42</v>
      </c>
      <c r="E22" s="27" t="s">
        <v>860</v>
      </c>
      <c r="F22" s="27" t="s">
        <v>737</v>
      </c>
      <c r="G22" s="27" t="s">
        <v>69</v>
      </c>
      <c r="H22" s="27">
        <v>0</v>
      </c>
      <c r="I22" s="27" t="s">
        <v>1156</v>
      </c>
      <c r="J22" s="27" t="str">
        <f t="shared" si="0"/>
        <v>done</v>
      </c>
    </row>
    <row r="23" spans="1:10" x14ac:dyDescent="0.25">
      <c r="A23" s="27" t="s">
        <v>880</v>
      </c>
      <c r="B23" s="27" t="s">
        <v>1179</v>
      </c>
      <c r="C23" s="27" t="s">
        <v>1156</v>
      </c>
      <c r="D23" s="27"/>
      <c r="E23" s="27"/>
      <c r="F23" s="27"/>
      <c r="G23" s="27"/>
      <c r="H23" s="27"/>
      <c r="I23" s="27"/>
      <c r="J23" s="27" t="str">
        <f t="shared" si="0"/>
        <v>pending</v>
      </c>
    </row>
    <row r="24" spans="1:10" ht="30" x14ac:dyDescent="0.25">
      <c r="A24" s="27" t="s">
        <v>881</v>
      </c>
      <c r="B24" s="27" t="s">
        <v>1180</v>
      </c>
      <c r="C24" s="27" t="s">
        <v>1156</v>
      </c>
      <c r="D24" s="27"/>
      <c r="E24" s="27"/>
      <c r="F24" s="27"/>
      <c r="G24" s="27"/>
      <c r="H24" s="27"/>
      <c r="I24" s="27"/>
      <c r="J24" s="27" t="str">
        <f t="shared" si="0"/>
        <v>pending</v>
      </c>
    </row>
    <row r="25" spans="1:10" ht="30" x14ac:dyDescent="0.25">
      <c r="A25" s="27" t="s">
        <v>882</v>
      </c>
      <c r="B25" s="27" t="s">
        <v>1181</v>
      </c>
      <c r="C25" s="27" t="s">
        <v>1156</v>
      </c>
      <c r="D25" s="27"/>
      <c r="E25" s="27"/>
      <c r="F25" s="27"/>
      <c r="G25" s="27"/>
      <c r="H25" s="27"/>
      <c r="I25" s="27"/>
      <c r="J25" s="27" t="str">
        <f t="shared" si="0"/>
        <v>pending</v>
      </c>
    </row>
    <row r="26" spans="1:10" ht="30" x14ac:dyDescent="0.25">
      <c r="A26" s="27" t="s">
        <v>883</v>
      </c>
      <c r="B26" s="27" t="s">
        <v>1182</v>
      </c>
      <c r="C26" s="27" t="s">
        <v>1156</v>
      </c>
      <c r="D26" s="27"/>
      <c r="E26" s="27"/>
      <c r="F26" s="27"/>
      <c r="G26" s="27"/>
      <c r="H26" s="27"/>
      <c r="I26" s="27"/>
      <c r="J26" s="27" t="str">
        <f t="shared" si="0"/>
        <v>pending</v>
      </c>
    </row>
    <row r="27" spans="1:10" ht="30" x14ac:dyDescent="0.25">
      <c r="A27" s="27" t="s">
        <v>884</v>
      </c>
      <c r="B27" s="27" t="s">
        <v>1183</v>
      </c>
      <c r="C27" s="27" t="s">
        <v>1156</v>
      </c>
      <c r="D27" s="27"/>
      <c r="E27" s="27"/>
      <c r="F27" s="27"/>
      <c r="G27" s="27"/>
      <c r="H27" s="27"/>
      <c r="I27" s="27"/>
      <c r="J27" s="27" t="str">
        <f t="shared" si="0"/>
        <v>pending</v>
      </c>
    </row>
    <row r="28" spans="1:10" ht="30" x14ac:dyDescent="0.25">
      <c r="A28" s="27" t="s">
        <v>885</v>
      </c>
      <c r="B28" s="27" t="s">
        <v>1184</v>
      </c>
      <c r="C28" s="27" t="s">
        <v>1156</v>
      </c>
      <c r="D28" s="27"/>
      <c r="E28" s="27"/>
      <c r="F28" s="27"/>
      <c r="G28" s="27"/>
      <c r="H28" s="27"/>
      <c r="I28" s="27"/>
      <c r="J28" s="27" t="str">
        <f t="shared" si="0"/>
        <v>pending</v>
      </c>
    </row>
    <row r="29" spans="1:10" ht="30" x14ac:dyDescent="0.25">
      <c r="A29" s="27" t="s">
        <v>886</v>
      </c>
      <c r="B29" s="27" t="s">
        <v>1185</v>
      </c>
      <c r="C29" s="27" t="s">
        <v>1156</v>
      </c>
      <c r="D29" s="27"/>
      <c r="E29" s="27"/>
      <c r="F29" s="27"/>
      <c r="G29" s="27"/>
      <c r="H29" s="27"/>
      <c r="I29" s="27"/>
      <c r="J29" s="27" t="str">
        <f t="shared" si="0"/>
        <v>pending</v>
      </c>
    </row>
    <row r="30" spans="1:10" x14ac:dyDescent="0.25">
      <c r="A30" s="27" t="s">
        <v>887</v>
      </c>
      <c r="B30" s="27" t="s">
        <v>1186</v>
      </c>
      <c r="C30" s="27" t="s">
        <v>1156</v>
      </c>
      <c r="D30" s="27"/>
      <c r="E30" s="27"/>
      <c r="F30" s="27"/>
      <c r="G30" s="27"/>
      <c r="H30" s="27"/>
      <c r="I30" s="27"/>
      <c r="J30" s="27" t="str">
        <f t="shared" si="0"/>
        <v>pending</v>
      </c>
    </row>
    <row r="31" spans="1:10" ht="30" x14ac:dyDescent="0.25">
      <c r="A31" s="27" t="s">
        <v>888</v>
      </c>
      <c r="B31" s="27" t="s">
        <v>1187</v>
      </c>
      <c r="C31" s="27" t="s">
        <v>1156</v>
      </c>
      <c r="D31" s="27"/>
      <c r="E31" s="27"/>
      <c r="F31" s="27"/>
      <c r="G31" s="27"/>
      <c r="H31" s="27"/>
      <c r="I31" s="27"/>
      <c r="J31" s="27" t="str">
        <f t="shared" si="0"/>
        <v>pending</v>
      </c>
    </row>
    <row r="32" spans="1:10" ht="30" x14ac:dyDescent="0.25">
      <c r="A32" s="27" t="s">
        <v>889</v>
      </c>
      <c r="B32" s="27" t="s">
        <v>1188</v>
      </c>
      <c r="C32" s="27" t="s">
        <v>1156</v>
      </c>
      <c r="D32" s="27"/>
      <c r="E32" s="27"/>
      <c r="F32" s="27"/>
      <c r="G32" s="27"/>
      <c r="H32" s="27"/>
      <c r="I32" s="27"/>
      <c r="J32" s="27" t="str">
        <f t="shared" si="0"/>
        <v>pending</v>
      </c>
    </row>
    <row r="33" spans="1:10" ht="30" x14ac:dyDescent="0.25">
      <c r="A33" s="27" t="s">
        <v>890</v>
      </c>
      <c r="B33" s="27" t="s">
        <v>1189</v>
      </c>
      <c r="C33" s="27" t="s">
        <v>1156</v>
      </c>
      <c r="D33" s="27"/>
      <c r="E33" s="27"/>
      <c r="F33" s="27"/>
      <c r="G33" s="27"/>
      <c r="H33" s="27"/>
      <c r="I33" s="27"/>
      <c r="J33" s="27" t="str">
        <f t="shared" si="0"/>
        <v>pending</v>
      </c>
    </row>
    <row r="34" spans="1:10" ht="30" x14ac:dyDescent="0.25">
      <c r="A34" s="27" t="s">
        <v>891</v>
      </c>
      <c r="B34" s="27" t="s">
        <v>1190</v>
      </c>
      <c r="C34" s="27" t="s">
        <v>1156</v>
      </c>
      <c r="D34" s="27"/>
      <c r="E34" s="27"/>
      <c r="F34" s="27"/>
      <c r="G34" s="27"/>
      <c r="H34" s="27"/>
      <c r="I34" s="27"/>
      <c r="J34" s="27" t="str">
        <f t="shared" si="0"/>
        <v>pending</v>
      </c>
    </row>
    <row r="35" spans="1:10" ht="30" x14ac:dyDescent="0.25">
      <c r="A35" s="27" t="s">
        <v>892</v>
      </c>
      <c r="B35" s="27" t="s">
        <v>1191</v>
      </c>
      <c r="C35" s="27" t="s">
        <v>1156</v>
      </c>
      <c r="D35" s="27"/>
      <c r="E35" s="27"/>
      <c r="F35" s="27"/>
      <c r="G35" s="27"/>
      <c r="H35" s="27"/>
      <c r="I35" s="27"/>
      <c r="J35" s="27" t="str">
        <f t="shared" si="0"/>
        <v>pending</v>
      </c>
    </row>
    <row r="36" spans="1:10" x14ac:dyDescent="0.25">
      <c r="A36" s="27" t="s">
        <v>893</v>
      </c>
      <c r="B36" s="27" t="s">
        <v>1192</v>
      </c>
      <c r="C36" s="27" t="s">
        <v>1156</v>
      </c>
      <c r="D36" s="27"/>
      <c r="E36" s="27"/>
      <c r="F36" s="27"/>
      <c r="G36" s="27"/>
      <c r="H36" s="27"/>
      <c r="I36" s="27"/>
      <c r="J36" s="27" t="str">
        <f t="shared" si="0"/>
        <v>pending</v>
      </c>
    </row>
    <row r="37" spans="1:10" x14ac:dyDescent="0.25">
      <c r="A37" s="27" t="s">
        <v>894</v>
      </c>
      <c r="B37" s="27" t="s">
        <v>1193</v>
      </c>
      <c r="C37" s="27" t="s">
        <v>1156</v>
      </c>
      <c r="D37" s="27"/>
      <c r="E37" s="27"/>
      <c r="F37" s="27"/>
      <c r="G37" s="27"/>
      <c r="H37" s="27"/>
      <c r="I37" s="27"/>
      <c r="J37" s="27" t="str">
        <f t="shared" si="0"/>
        <v>pending</v>
      </c>
    </row>
    <row r="38" spans="1:10" x14ac:dyDescent="0.25">
      <c r="A38" s="27" t="s">
        <v>895</v>
      </c>
      <c r="B38" s="27" t="s">
        <v>1194</v>
      </c>
      <c r="C38" s="27" t="s">
        <v>1156</v>
      </c>
      <c r="D38" s="27"/>
      <c r="E38" s="27"/>
      <c r="F38" s="27"/>
      <c r="G38" s="27"/>
      <c r="H38" s="27"/>
      <c r="I38" s="27"/>
      <c r="J38" s="27" t="str">
        <f t="shared" si="0"/>
        <v>pending</v>
      </c>
    </row>
    <row r="39" spans="1:10" x14ac:dyDescent="0.25">
      <c r="A39" s="27" t="s">
        <v>896</v>
      </c>
      <c r="B39" s="27" t="s">
        <v>1195</v>
      </c>
      <c r="C39" s="27" t="s">
        <v>1156</v>
      </c>
      <c r="D39" s="27"/>
      <c r="E39" s="27"/>
      <c r="F39" s="27"/>
      <c r="G39" s="27"/>
      <c r="H39" s="27"/>
      <c r="I39" s="27"/>
      <c r="J39" s="27" t="str">
        <f t="shared" si="0"/>
        <v>pending</v>
      </c>
    </row>
    <row r="40" spans="1:10" ht="30" x14ac:dyDescent="0.25">
      <c r="A40" s="27" t="s">
        <v>897</v>
      </c>
      <c r="B40" s="27" t="s">
        <v>1196</v>
      </c>
      <c r="C40" s="27" t="s">
        <v>1156</v>
      </c>
      <c r="D40" s="27"/>
      <c r="E40" s="27"/>
      <c r="F40" s="27"/>
      <c r="G40" s="27"/>
      <c r="H40" s="27"/>
      <c r="I40" s="27"/>
      <c r="J40" s="27" t="str">
        <f t="shared" si="0"/>
        <v>pending</v>
      </c>
    </row>
    <row r="41" spans="1:10" ht="30" x14ac:dyDescent="0.25">
      <c r="A41" s="27" t="s">
        <v>898</v>
      </c>
      <c r="B41" s="27" t="s">
        <v>1197</v>
      </c>
      <c r="C41" s="27" t="s">
        <v>1156</v>
      </c>
      <c r="D41" s="27"/>
      <c r="E41" s="27"/>
      <c r="F41" s="27"/>
      <c r="G41" s="27"/>
      <c r="H41" s="27"/>
      <c r="I41" s="27"/>
      <c r="J41" s="27" t="str">
        <f t="shared" si="0"/>
        <v>pending</v>
      </c>
    </row>
    <row r="42" spans="1:10" x14ac:dyDescent="0.25">
      <c r="A42" s="27" t="s">
        <v>899</v>
      </c>
      <c r="B42" s="27" t="s">
        <v>1198</v>
      </c>
      <c r="C42" s="27" t="s">
        <v>1156</v>
      </c>
      <c r="D42" s="27"/>
      <c r="E42" s="27"/>
      <c r="F42" s="27"/>
      <c r="G42" s="27"/>
      <c r="H42" s="27"/>
      <c r="I42" s="27"/>
      <c r="J42" s="27" t="str">
        <f t="shared" si="0"/>
        <v>pending</v>
      </c>
    </row>
    <row r="43" spans="1:10" x14ac:dyDescent="0.25">
      <c r="A43" s="27" t="s">
        <v>900</v>
      </c>
      <c r="B43" s="27" t="s">
        <v>1199</v>
      </c>
      <c r="C43" s="27" t="s">
        <v>1156</v>
      </c>
      <c r="D43" s="27"/>
      <c r="E43" s="27"/>
      <c r="F43" s="27"/>
      <c r="G43" s="27"/>
      <c r="H43" s="27"/>
      <c r="I43" s="27"/>
      <c r="J43" s="27" t="str">
        <f t="shared" si="0"/>
        <v>pending</v>
      </c>
    </row>
    <row r="44" spans="1:10" ht="30" x14ac:dyDescent="0.25">
      <c r="A44" s="27" t="s">
        <v>901</v>
      </c>
      <c r="B44" s="27" t="s">
        <v>1200</v>
      </c>
      <c r="C44" s="27" t="s">
        <v>1156</v>
      </c>
      <c r="D44" s="27"/>
      <c r="E44" s="27"/>
      <c r="F44" s="27"/>
      <c r="G44" s="27"/>
      <c r="H44" s="27"/>
      <c r="I44" s="27"/>
      <c r="J44" s="27" t="str">
        <f t="shared" si="0"/>
        <v>pending</v>
      </c>
    </row>
    <row r="45" spans="1:10" x14ac:dyDescent="0.25">
      <c r="A45" s="27" t="s">
        <v>902</v>
      </c>
      <c r="B45" s="27" t="s">
        <v>1201</v>
      </c>
      <c r="C45" s="27" t="s">
        <v>1156</v>
      </c>
      <c r="D45" s="27"/>
      <c r="E45" s="27"/>
      <c r="F45" s="27"/>
      <c r="G45" s="27"/>
      <c r="H45" s="27"/>
      <c r="I45" s="27"/>
      <c r="J45" s="27" t="str">
        <f t="shared" si="0"/>
        <v>pending</v>
      </c>
    </row>
    <row r="46" spans="1:10" x14ac:dyDescent="0.25">
      <c r="A46" s="27" t="s">
        <v>903</v>
      </c>
      <c r="B46" s="27" t="s">
        <v>1202</v>
      </c>
      <c r="C46" s="27" t="s">
        <v>1156</v>
      </c>
      <c r="D46" s="27"/>
      <c r="E46" s="27"/>
      <c r="F46" s="27"/>
      <c r="G46" s="27"/>
      <c r="H46" s="27"/>
      <c r="I46" s="27"/>
      <c r="J46" s="27" t="str">
        <f t="shared" si="0"/>
        <v>pending</v>
      </c>
    </row>
    <row r="47" spans="1:10" x14ac:dyDescent="0.25">
      <c r="A47" s="27" t="s">
        <v>904</v>
      </c>
      <c r="B47" s="27" t="s">
        <v>1203</v>
      </c>
      <c r="C47" s="27" t="s">
        <v>1156</v>
      </c>
      <c r="D47" s="27"/>
      <c r="E47" s="27"/>
      <c r="F47" s="27"/>
      <c r="G47" s="27"/>
      <c r="H47" s="27"/>
      <c r="I47" s="27"/>
      <c r="J47" s="27" t="str">
        <f t="shared" si="0"/>
        <v>pending</v>
      </c>
    </row>
    <row r="48" spans="1:10" ht="30" x14ac:dyDescent="0.25">
      <c r="A48" s="27" t="s">
        <v>905</v>
      </c>
      <c r="B48" s="27" t="s">
        <v>1204</v>
      </c>
      <c r="C48" s="27" t="s">
        <v>1156</v>
      </c>
      <c r="D48" s="27"/>
      <c r="E48" s="27"/>
      <c r="F48" s="27"/>
      <c r="G48" s="27"/>
      <c r="H48" s="27"/>
      <c r="I48" s="27"/>
      <c r="J48" s="27" t="str">
        <f t="shared" si="0"/>
        <v>pending</v>
      </c>
    </row>
    <row r="49" spans="1:10" ht="30" x14ac:dyDescent="0.25">
      <c r="A49" s="27" t="s">
        <v>906</v>
      </c>
      <c r="B49" s="27" t="s">
        <v>1205</v>
      </c>
      <c r="C49" s="27" t="s">
        <v>1156</v>
      </c>
      <c r="D49" s="27"/>
      <c r="E49" s="27"/>
      <c r="F49" s="27"/>
      <c r="G49" s="27"/>
      <c r="H49" s="27"/>
      <c r="I49" s="27"/>
      <c r="J49" s="27" t="str">
        <f t="shared" si="0"/>
        <v>pending</v>
      </c>
    </row>
    <row r="50" spans="1:10" ht="30" x14ac:dyDescent="0.25">
      <c r="A50" s="27" t="s">
        <v>907</v>
      </c>
      <c r="B50" s="27" t="s">
        <v>1206</v>
      </c>
      <c r="C50" s="27" t="s">
        <v>1156</v>
      </c>
      <c r="D50" s="27"/>
      <c r="E50" s="27"/>
      <c r="F50" s="27"/>
      <c r="G50" s="27"/>
      <c r="H50" s="27"/>
      <c r="I50" s="27"/>
      <c r="J50" s="27" t="str">
        <f t="shared" si="0"/>
        <v>pending</v>
      </c>
    </row>
    <row r="51" spans="1:10" ht="30" x14ac:dyDescent="0.25">
      <c r="A51" s="27" t="s">
        <v>908</v>
      </c>
      <c r="B51" s="27" t="s">
        <v>1207</v>
      </c>
      <c r="C51" s="27" t="s">
        <v>1156</v>
      </c>
      <c r="D51" s="27"/>
      <c r="E51" s="27"/>
      <c r="F51" s="27"/>
      <c r="G51" s="27"/>
      <c r="H51" s="27"/>
      <c r="I51" s="27"/>
      <c r="J51" s="27" t="str">
        <f t="shared" si="0"/>
        <v>pending</v>
      </c>
    </row>
    <row r="52" spans="1:10" x14ac:dyDescent="0.25">
      <c r="A52" s="27" t="s">
        <v>909</v>
      </c>
      <c r="B52" s="27" t="s">
        <v>1208</v>
      </c>
      <c r="C52" s="27" t="s">
        <v>1156</v>
      </c>
      <c r="D52" s="27"/>
      <c r="E52" s="27"/>
      <c r="F52" s="27"/>
      <c r="G52" s="27"/>
      <c r="H52" s="27"/>
      <c r="I52" s="27"/>
      <c r="J52" s="27" t="str">
        <f t="shared" si="0"/>
        <v>pending</v>
      </c>
    </row>
    <row r="53" spans="1:10" ht="45" x14ac:dyDescent="0.25">
      <c r="A53" s="27" t="s">
        <v>910</v>
      </c>
      <c r="B53" s="27" t="s">
        <v>1209</v>
      </c>
      <c r="C53" s="27" t="s">
        <v>1156</v>
      </c>
      <c r="D53" s="27"/>
      <c r="E53" s="27"/>
      <c r="F53" s="27"/>
      <c r="G53" s="27"/>
      <c r="H53" s="27"/>
      <c r="I53" s="27"/>
      <c r="J53" s="27" t="str">
        <f t="shared" si="0"/>
        <v>pending</v>
      </c>
    </row>
    <row r="54" spans="1:10" x14ac:dyDescent="0.25">
      <c r="A54" s="27" t="s">
        <v>911</v>
      </c>
      <c r="B54" s="27" t="s">
        <v>1210</v>
      </c>
      <c r="C54" s="27" t="s">
        <v>1156</v>
      </c>
      <c r="D54" s="27"/>
      <c r="E54" s="27"/>
      <c r="F54" s="27"/>
      <c r="G54" s="27"/>
      <c r="H54" s="27"/>
      <c r="I54" s="27"/>
      <c r="J54" s="27" t="str">
        <f t="shared" si="0"/>
        <v>pending</v>
      </c>
    </row>
    <row r="55" spans="1:10" ht="30" x14ac:dyDescent="0.25">
      <c r="A55" s="27" t="s">
        <v>912</v>
      </c>
      <c r="B55" s="27" t="s">
        <v>1211</v>
      </c>
      <c r="C55" s="27" t="s">
        <v>1156</v>
      </c>
      <c r="D55" s="27"/>
      <c r="E55" s="27"/>
      <c r="F55" s="27"/>
      <c r="G55" s="27"/>
      <c r="H55" s="27"/>
      <c r="I55" s="27"/>
      <c r="J55" s="27" t="str">
        <f t="shared" si="0"/>
        <v>pending</v>
      </c>
    </row>
    <row r="56" spans="1:10" ht="30" x14ac:dyDescent="0.25">
      <c r="A56" s="27" t="s">
        <v>913</v>
      </c>
      <c r="B56" s="27" t="s">
        <v>1212</v>
      </c>
      <c r="C56" s="27" t="s">
        <v>1156</v>
      </c>
      <c r="D56" s="27"/>
      <c r="E56" s="27"/>
      <c r="F56" s="27"/>
      <c r="G56" s="27"/>
      <c r="H56" s="27"/>
      <c r="I56" s="27"/>
      <c r="J56" s="27" t="str">
        <f t="shared" si="0"/>
        <v>pending</v>
      </c>
    </row>
    <row r="57" spans="1:10" ht="45" x14ac:dyDescent="0.25">
      <c r="A57" s="27" t="s">
        <v>914</v>
      </c>
      <c r="B57" s="27" t="s">
        <v>1213</v>
      </c>
      <c r="C57" s="27" t="s">
        <v>1156</v>
      </c>
      <c r="D57" s="27"/>
      <c r="E57" s="27"/>
      <c r="F57" s="27"/>
      <c r="G57" s="27"/>
      <c r="H57" s="27"/>
      <c r="I57" s="27"/>
      <c r="J57" s="27" t="str">
        <f t="shared" si="0"/>
        <v>pending</v>
      </c>
    </row>
    <row r="58" spans="1:10" x14ac:dyDescent="0.25">
      <c r="A58" s="27" t="s">
        <v>915</v>
      </c>
      <c r="B58" s="27" t="s">
        <v>1214</v>
      </c>
      <c r="C58" s="27" t="s">
        <v>1156</v>
      </c>
      <c r="D58" s="27"/>
      <c r="E58" s="27"/>
      <c r="F58" s="27"/>
      <c r="G58" s="27"/>
      <c r="H58" s="27"/>
      <c r="I58" s="27"/>
      <c r="J58" s="27" t="str">
        <f t="shared" si="0"/>
        <v>pending</v>
      </c>
    </row>
    <row r="59" spans="1:10" ht="30" x14ac:dyDescent="0.25">
      <c r="A59" s="27" t="s">
        <v>916</v>
      </c>
      <c r="B59" s="27" t="s">
        <v>1215</v>
      </c>
      <c r="C59" s="27" t="s">
        <v>1156</v>
      </c>
      <c r="D59" s="27"/>
      <c r="E59" s="27"/>
      <c r="F59" s="27"/>
      <c r="G59" s="27"/>
      <c r="H59" s="27"/>
      <c r="I59" s="27"/>
      <c r="J59" s="27" t="str">
        <f t="shared" si="0"/>
        <v>pending</v>
      </c>
    </row>
    <row r="60" spans="1:10" x14ac:dyDescent="0.25">
      <c r="A60" s="27" t="s">
        <v>917</v>
      </c>
      <c r="B60" s="27" t="s">
        <v>1216</v>
      </c>
      <c r="C60" s="27" t="s">
        <v>1156</v>
      </c>
      <c r="D60" s="27"/>
      <c r="E60" s="27"/>
      <c r="F60" s="27"/>
      <c r="G60" s="27"/>
      <c r="H60" s="27"/>
      <c r="I60" s="27"/>
      <c r="J60" s="27" t="str">
        <f t="shared" si="0"/>
        <v>pending</v>
      </c>
    </row>
    <row r="61" spans="1:10" x14ac:dyDescent="0.25">
      <c r="A61" s="27" t="s">
        <v>918</v>
      </c>
      <c r="B61" s="27" t="s">
        <v>1217</v>
      </c>
      <c r="C61" s="27" t="s">
        <v>1156</v>
      </c>
      <c r="D61" s="27"/>
      <c r="E61" s="27"/>
      <c r="F61" s="27"/>
      <c r="G61" s="27"/>
      <c r="H61" s="27"/>
      <c r="I61" s="27"/>
      <c r="J61" s="27" t="str">
        <f t="shared" si="0"/>
        <v>pending</v>
      </c>
    </row>
    <row r="62" spans="1:10" ht="30" x14ac:dyDescent="0.25">
      <c r="A62" s="27" t="s">
        <v>919</v>
      </c>
      <c r="B62" s="27" t="s">
        <v>1218</v>
      </c>
      <c r="C62" s="27" t="s">
        <v>1156</v>
      </c>
      <c r="D62" s="27"/>
      <c r="E62" s="27"/>
      <c r="F62" s="27"/>
      <c r="G62" s="27"/>
      <c r="H62" s="27"/>
      <c r="I62" s="27"/>
      <c r="J62" s="27" t="str">
        <f t="shared" si="0"/>
        <v>pending</v>
      </c>
    </row>
    <row r="63" spans="1:10" ht="30" x14ac:dyDescent="0.25">
      <c r="A63" s="27" t="s">
        <v>920</v>
      </c>
      <c r="B63" s="27" t="s">
        <v>1219</v>
      </c>
      <c r="C63" s="27" t="s">
        <v>1156</v>
      </c>
      <c r="D63" s="27"/>
      <c r="E63" s="27"/>
      <c r="F63" s="27"/>
      <c r="G63" s="27"/>
      <c r="H63" s="27"/>
      <c r="I63" s="27"/>
      <c r="J63" s="27" t="str">
        <f t="shared" si="0"/>
        <v>pending</v>
      </c>
    </row>
    <row r="64" spans="1:10" ht="30" x14ac:dyDescent="0.25">
      <c r="A64" s="27" t="s">
        <v>921</v>
      </c>
      <c r="B64" s="27" t="s">
        <v>1220</v>
      </c>
      <c r="C64" s="27" t="s">
        <v>1156</v>
      </c>
      <c r="D64" s="27"/>
      <c r="E64" s="27"/>
      <c r="F64" s="27"/>
      <c r="G64" s="27"/>
      <c r="H64" s="27"/>
      <c r="I64" s="27"/>
      <c r="J64" s="27" t="str">
        <f t="shared" si="0"/>
        <v>pending</v>
      </c>
    </row>
    <row r="65" spans="1:10" x14ac:dyDescent="0.25">
      <c r="A65" s="27" t="s">
        <v>922</v>
      </c>
      <c r="B65" s="27" t="s">
        <v>1159</v>
      </c>
      <c r="C65" s="27" t="s">
        <v>1156</v>
      </c>
      <c r="D65" s="27"/>
      <c r="E65" s="27"/>
      <c r="F65" s="27"/>
      <c r="G65" s="27"/>
      <c r="H65" s="27"/>
      <c r="I65" s="27"/>
      <c r="J65" s="27" t="str">
        <f t="shared" si="0"/>
        <v>pending</v>
      </c>
    </row>
    <row r="66" spans="1:10" ht="30" x14ac:dyDescent="0.25">
      <c r="A66" s="27" t="s">
        <v>923</v>
      </c>
      <c r="B66" s="27" t="s">
        <v>1221</v>
      </c>
      <c r="C66" s="27" t="s">
        <v>1156</v>
      </c>
      <c r="D66" s="27"/>
      <c r="E66" s="27"/>
      <c r="F66" s="27"/>
      <c r="G66" s="27"/>
      <c r="H66" s="27"/>
      <c r="I66" s="27"/>
      <c r="J66" s="27" t="str">
        <f t="shared" si="0"/>
        <v>pending</v>
      </c>
    </row>
    <row r="67" spans="1:10" x14ac:dyDescent="0.25">
      <c r="A67" s="27" t="s">
        <v>924</v>
      </c>
      <c r="B67" s="27" t="s">
        <v>234</v>
      </c>
      <c r="C67" s="27" t="s">
        <v>1156</v>
      </c>
      <c r="D67" s="27"/>
      <c r="E67" s="27"/>
      <c r="F67" s="27"/>
      <c r="G67" s="27"/>
      <c r="H67" s="27"/>
      <c r="I67" s="27"/>
      <c r="J67" s="27" t="str">
        <f t="shared" ref="J67:J130" si="1">IF(C67&lt;&gt;"-","done","pending")</f>
        <v>pending</v>
      </c>
    </row>
    <row r="68" spans="1:10" ht="30" x14ac:dyDescent="0.25">
      <c r="A68" s="27" t="s">
        <v>925</v>
      </c>
      <c r="B68" s="27" t="s">
        <v>1222</v>
      </c>
      <c r="C68" s="27" t="s">
        <v>1156</v>
      </c>
      <c r="D68" s="27"/>
      <c r="E68" s="27"/>
      <c r="F68" s="27"/>
      <c r="G68" s="27"/>
      <c r="H68" s="27"/>
      <c r="I68" s="27"/>
      <c r="J68" s="27" t="str">
        <f t="shared" si="1"/>
        <v>pending</v>
      </c>
    </row>
    <row r="69" spans="1:10" ht="30" x14ac:dyDescent="0.25">
      <c r="A69" s="27" t="s">
        <v>926</v>
      </c>
      <c r="B69" s="27" t="s">
        <v>1223</v>
      </c>
      <c r="C69" s="27" t="s">
        <v>1156</v>
      </c>
      <c r="D69" s="27"/>
      <c r="E69" s="27"/>
      <c r="F69" s="27"/>
      <c r="G69" s="27"/>
      <c r="H69" s="27"/>
      <c r="I69" s="27"/>
      <c r="J69" s="27" t="str">
        <f t="shared" si="1"/>
        <v>pending</v>
      </c>
    </row>
    <row r="70" spans="1:10" ht="30" x14ac:dyDescent="0.25">
      <c r="A70" s="27" t="s">
        <v>927</v>
      </c>
      <c r="B70" s="27" t="s">
        <v>1224</v>
      </c>
      <c r="C70" s="27" t="s">
        <v>1156</v>
      </c>
      <c r="D70" s="27"/>
      <c r="E70" s="27"/>
      <c r="F70" s="27"/>
      <c r="G70" s="27"/>
      <c r="H70" s="27"/>
      <c r="I70" s="27"/>
      <c r="J70" s="27" t="str">
        <f t="shared" si="1"/>
        <v>pending</v>
      </c>
    </row>
    <row r="71" spans="1:10" ht="30" x14ac:dyDescent="0.25">
      <c r="A71" s="27" t="s">
        <v>928</v>
      </c>
      <c r="B71" s="27" t="s">
        <v>1225</v>
      </c>
      <c r="C71" s="27" t="s">
        <v>1156</v>
      </c>
      <c r="D71" s="27"/>
      <c r="E71" s="27"/>
      <c r="F71" s="27"/>
      <c r="G71" s="27"/>
      <c r="H71" s="27"/>
      <c r="I71" s="27"/>
      <c r="J71" s="27" t="str">
        <f t="shared" si="1"/>
        <v>pending</v>
      </c>
    </row>
    <row r="72" spans="1:10" ht="30" x14ac:dyDescent="0.25">
      <c r="A72" s="27" t="s">
        <v>929</v>
      </c>
      <c r="B72" s="27" t="s">
        <v>1226</v>
      </c>
      <c r="C72" s="27" t="s">
        <v>1156</v>
      </c>
      <c r="D72" s="27"/>
      <c r="E72" s="27"/>
      <c r="F72" s="27"/>
      <c r="G72" s="27"/>
      <c r="H72" s="27"/>
      <c r="I72" s="27"/>
      <c r="J72" s="27" t="str">
        <f t="shared" si="1"/>
        <v>pending</v>
      </c>
    </row>
    <row r="73" spans="1:10" ht="30" x14ac:dyDescent="0.25">
      <c r="A73" s="27" t="s">
        <v>930</v>
      </c>
      <c r="B73" s="27" t="s">
        <v>1227</v>
      </c>
      <c r="C73" s="27" t="s">
        <v>1156</v>
      </c>
      <c r="D73" s="27"/>
      <c r="E73" s="27"/>
      <c r="F73" s="27"/>
      <c r="G73" s="27"/>
      <c r="H73" s="27"/>
      <c r="I73" s="27"/>
      <c r="J73" s="27" t="str">
        <f t="shared" si="1"/>
        <v>pending</v>
      </c>
    </row>
    <row r="74" spans="1:10" ht="30" x14ac:dyDescent="0.25">
      <c r="A74" s="27" t="s">
        <v>931</v>
      </c>
      <c r="B74" s="27" t="s">
        <v>1228</v>
      </c>
      <c r="C74" s="27" t="s">
        <v>1156</v>
      </c>
      <c r="D74" s="27"/>
      <c r="E74" s="27"/>
      <c r="F74" s="27"/>
      <c r="G74" s="27"/>
      <c r="H74" s="27"/>
      <c r="I74" s="27"/>
      <c r="J74" s="27" t="str">
        <f t="shared" si="1"/>
        <v>pending</v>
      </c>
    </row>
    <row r="75" spans="1:10" ht="30" x14ac:dyDescent="0.25">
      <c r="A75" s="27" t="s">
        <v>932</v>
      </c>
      <c r="B75" s="27" t="s">
        <v>1229</v>
      </c>
      <c r="C75" s="27" t="s">
        <v>1156</v>
      </c>
      <c r="D75" s="27"/>
      <c r="E75" s="27"/>
      <c r="F75" s="27"/>
      <c r="G75" s="27"/>
      <c r="H75" s="27"/>
      <c r="I75" s="27"/>
      <c r="J75" s="27" t="str">
        <f t="shared" si="1"/>
        <v>pending</v>
      </c>
    </row>
    <row r="76" spans="1:10" x14ac:dyDescent="0.25">
      <c r="A76" s="27" t="s">
        <v>933</v>
      </c>
      <c r="B76" s="27" t="s">
        <v>1230</v>
      </c>
      <c r="C76" s="27" t="s">
        <v>1156</v>
      </c>
      <c r="D76" s="27"/>
      <c r="E76" s="27"/>
      <c r="F76" s="27"/>
      <c r="G76" s="27"/>
      <c r="H76" s="27"/>
      <c r="I76" s="27"/>
      <c r="J76" s="27" t="str">
        <f t="shared" si="1"/>
        <v>pending</v>
      </c>
    </row>
    <row r="77" spans="1:10" ht="30" x14ac:dyDescent="0.25">
      <c r="A77" s="27" t="s">
        <v>934</v>
      </c>
      <c r="B77" s="27" t="s">
        <v>1231</v>
      </c>
      <c r="C77" s="27" t="s">
        <v>1156</v>
      </c>
      <c r="D77" s="27"/>
      <c r="E77" s="27"/>
      <c r="F77" s="27"/>
      <c r="G77" s="27"/>
      <c r="H77" s="27"/>
      <c r="I77" s="27"/>
      <c r="J77" s="27" t="str">
        <f t="shared" si="1"/>
        <v>pending</v>
      </c>
    </row>
    <row r="78" spans="1:10" ht="30" x14ac:dyDescent="0.25">
      <c r="A78" s="27" t="s">
        <v>935</v>
      </c>
      <c r="B78" s="27" t="s">
        <v>1232</v>
      </c>
      <c r="C78" s="27" t="s">
        <v>1156</v>
      </c>
      <c r="D78" s="27"/>
      <c r="E78" s="27"/>
      <c r="F78" s="27"/>
      <c r="G78" s="27"/>
      <c r="H78" s="27"/>
      <c r="I78" s="27"/>
      <c r="J78" s="27" t="str">
        <f t="shared" si="1"/>
        <v>pending</v>
      </c>
    </row>
    <row r="79" spans="1:10" ht="30" x14ac:dyDescent="0.25">
      <c r="A79" s="27" t="s">
        <v>936</v>
      </c>
      <c r="B79" s="27" t="s">
        <v>1233</v>
      </c>
      <c r="C79" s="27" t="s">
        <v>1156</v>
      </c>
      <c r="D79" s="27"/>
      <c r="E79" s="27"/>
      <c r="F79" s="27"/>
      <c r="G79" s="27"/>
      <c r="H79" s="27"/>
      <c r="I79" s="27"/>
      <c r="J79" s="27" t="str">
        <f t="shared" si="1"/>
        <v>pending</v>
      </c>
    </row>
    <row r="80" spans="1:10" ht="30" x14ac:dyDescent="0.25">
      <c r="A80" s="27" t="s">
        <v>937</v>
      </c>
      <c r="B80" s="27" t="s">
        <v>1234</v>
      </c>
      <c r="C80" s="27" t="s">
        <v>1156</v>
      </c>
      <c r="D80" s="27"/>
      <c r="E80" s="27"/>
      <c r="F80" s="27"/>
      <c r="G80" s="27"/>
      <c r="H80" s="27"/>
      <c r="I80" s="27"/>
      <c r="J80" s="27" t="str">
        <f t="shared" si="1"/>
        <v>pending</v>
      </c>
    </row>
    <row r="81" spans="1:10" ht="30" x14ac:dyDescent="0.25">
      <c r="A81" s="27" t="s">
        <v>938</v>
      </c>
      <c r="B81" s="27" t="s">
        <v>1235</v>
      </c>
      <c r="C81" s="27" t="s">
        <v>1156</v>
      </c>
      <c r="D81" s="27"/>
      <c r="E81" s="27"/>
      <c r="F81" s="27"/>
      <c r="G81" s="27"/>
      <c r="H81" s="27"/>
      <c r="I81" s="27"/>
      <c r="J81" s="27" t="str">
        <f t="shared" si="1"/>
        <v>pending</v>
      </c>
    </row>
    <row r="82" spans="1:10" ht="30" x14ac:dyDescent="0.25">
      <c r="A82" s="27" t="s">
        <v>939</v>
      </c>
      <c r="B82" s="27" t="s">
        <v>1236</v>
      </c>
      <c r="C82" s="27" t="s">
        <v>1156</v>
      </c>
      <c r="D82" s="27"/>
      <c r="E82" s="27"/>
      <c r="F82" s="27"/>
      <c r="G82" s="27"/>
      <c r="H82" s="27"/>
      <c r="I82" s="27"/>
      <c r="J82" s="27" t="str">
        <f t="shared" si="1"/>
        <v>pending</v>
      </c>
    </row>
    <row r="83" spans="1:10" ht="30" x14ac:dyDescent="0.25">
      <c r="A83" s="27" t="s">
        <v>940</v>
      </c>
      <c r="B83" s="27" t="s">
        <v>1237</v>
      </c>
      <c r="C83" s="27" t="s">
        <v>1156</v>
      </c>
      <c r="D83" s="27"/>
      <c r="E83" s="27"/>
      <c r="F83" s="27"/>
      <c r="G83" s="27"/>
      <c r="H83" s="27"/>
      <c r="I83" s="27"/>
      <c r="J83" s="27" t="str">
        <f t="shared" si="1"/>
        <v>pending</v>
      </c>
    </row>
    <row r="84" spans="1:10" x14ac:dyDescent="0.25">
      <c r="A84" s="27" t="s">
        <v>941</v>
      </c>
      <c r="B84" s="27" t="s">
        <v>1238</v>
      </c>
      <c r="C84" s="27" t="s">
        <v>1156</v>
      </c>
      <c r="D84" s="27"/>
      <c r="E84" s="27"/>
      <c r="F84" s="27"/>
      <c r="G84" s="27"/>
      <c r="H84" s="27"/>
      <c r="I84" s="27"/>
      <c r="J84" s="27" t="str">
        <f t="shared" si="1"/>
        <v>pending</v>
      </c>
    </row>
    <row r="85" spans="1:10" ht="30" x14ac:dyDescent="0.25">
      <c r="A85" s="27" t="s">
        <v>942</v>
      </c>
      <c r="B85" s="27" t="s">
        <v>1239</v>
      </c>
      <c r="C85" s="27" t="s">
        <v>1484</v>
      </c>
      <c r="D85" s="27">
        <v>26</v>
      </c>
      <c r="E85" s="27" t="s">
        <v>864</v>
      </c>
      <c r="F85" s="27" t="s">
        <v>1485</v>
      </c>
      <c r="G85" s="27" t="s">
        <v>69</v>
      </c>
      <c r="H85" s="27">
        <v>6</v>
      </c>
      <c r="I85" s="27" t="s">
        <v>1159</v>
      </c>
      <c r="J85" s="27" t="str">
        <f t="shared" si="1"/>
        <v>done</v>
      </c>
    </row>
    <row r="86" spans="1:10" ht="30" x14ac:dyDescent="0.25">
      <c r="A86" s="27" t="s">
        <v>943</v>
      </c>
      <c r="B86" s="27" t="s">
        <v>1240</v>
      </c>
      <c r="C86" s="27" t="s">
        <v>1156</v>
      </c>
      <c r="D86" s="27"/>
      <c r="E86" s="27"/>
      <c r="F86" s="27"/>
      <c r="G86" s="27"/>
      <c r="H86" s="27"/>
      <c r="I86" s="27"/>
      <c r="J86" s="27" t="str">
        <f t="shared" si="1"/>
        <v>pending</v>
      </c>
    </row>
    <row r="87" spans="1:10" ht="30" x14ac:dyDescent="0.25">
      <c r="A87" s="27" t="s">
        <v>944</v>
      </c>
      <c r="B87" s="27" t="s">
        <v>1241</v>
      </c>
      <c r="C87" s="27" t="s">
        <v>1156</v>
      </c>
      <c r="D87" s="27"/>
      <c r="E87" s="27"/>
      <c r="F87" s="27"/>
      <c r="G87" s="27"/>
      <c r="H87" s="27"/>
      <c r="I87" s="27"/>
      <c r="J87" s="27" t="str">
        <f t="shared" si="1"/>
        <v>pending</v>
      </c>
    </row>
    <row r="88" spans="1:10" x14ac:dyDescent="0.25">
      <c r="A88" s="27" t="s">
        <v>945</v>
      </c>
      <c r="B88" s="27" t="s">
        <v>1242</v>
      </c>
      <c r="C88" s="27" t="s">
        <v>1156</v>
      </c>
      <c r="D88" s="27"/>
      <c r="E88" s="27"/>
      <c r="F88" s="27"/>
      <c r="G88" s="27"/>
      <c r="H88" s="27"/>
      <c r="I88" s="27"/>
      <c r="J88" s="27" t="str">
        <f t="shared" si="1"/>
        <v>pending</v>
      </c>
    </row>
    <row r="89" spans="1:10" ht="30" x14ac:dyDescent="0.25">
      <c r="A89" s="27" t="s">
        <v>946</v>
      </c>
      <c r="B89" s="27" t="s">
        <v>1243</v>
      </c>
      <c r="C89" s="27" t="s">
        <v>1156</v>
      </c>
      <c r="D89" s="27"/>
      <c r="E89" s="27"/>
      <c r="F89" s="27"/>
      <c r="G89" s="27"/>
      <c r="H89" s="27"/>
      <c r="I89" s="27"/>
      <c r="J89" s="27" t="str">
        <f t="shared" si="1"/>
        <v>pending</v>
      </c>
    </row>
    <row r="90" spans="1:10" ht="30" x14ac:dyDescent="0.25">
      <c r="A90" s="27" t="s">
        <v>947</v>
      </c>
      <c r="B90" s="27" t="s">
        <v>1244</v>
      </c>
      <c r="C90" s="27" t="s">
        <v>1156</v>
      </c>
      <c r="D90" s="27"/>
      <c r="E90" s="27"/>
      <c r="F90" s="27"/>
      <c r="G90" s="27"/>
      <c r="H90" s="27"/>
      <c r="I90" s="27"/>
      <c r="J90" s="27" t="str">
        <f t="shared" si="1"/>
        <v>pending</v>
      </c>
    </row>
    <row r="91" spans="1:10" ht="30" x14ac:dyDescent="0.25">
      <c r="A91" s="27" t="s">
        <v>948</v>
      </c>
      <c r="B91" s="27" t="s">
        <v>1245</v>
      </c>
      <c r="C91" s="27" t="s">
        <v>1156</v>
      </c>
      <c r="D91" s="27"/>
      <c r="E91" s="27"/>
      <c r="F91" s="27"/>
      <c r="G91" s="27"/>
      <c r="H91" s="27"/>
      <c r="I91" s="27"/>
      <c r="J91" s="27" t="str">
        <f t="shared" si="1"/>
        <v>pending</v>
      </c>
    </row>
    <row r="92" spans="1:10" x14ac:dyDescent="0.25">
      <c r="A92" s="27" t="s">
        <v>949</v>
      </c>
      <c r="B92" s="27" t="s">
        <v>1246</v>
      </c>
      <c r="C92" s="27" t="s">
        <v>1156</v>
      </c>
      <c r="D92" s="27"/>
      <c r="E92" s="27"/>
      <c r="F92" s="27"/>
      <c r="G92" s="27"/>
      <c r="H92" s="27"/>
      <c r="I92" s="27"/>
      <c r="J92" s="27" t="str">
        <f t="shared" si="1"/>
        <v>pending</v>
      </c>
    </row>
    <row r="93" spans="1:10" x14ac:dyDescent="0.25">
      <c r="A93" s="27" t="s">
        <v>950</v>
      </c>
      <c r="B93" s="27" t="s">
        <v>1247</v>
      </c>
      <c r="C93" s="27" t="s">
        <v>1156</v>
      </c>
      <c r="D93" s="27"/>
      <c r="E93" s="27"/>
      <c r="F93" s="27"/>
      <c r="G93" s="27"/>
      <c r="H93" s="27"/>
      <c r="I93" s="27"/>
      <c r="J93" s="27" t="str">
        <f t="shared" si="1"/>
        <v>pending</v>
      </c>
    </row>
    <row r="94" spans="1:10" x14ac:dyDescent="0.25">
      <c r="A94" s="27" t="s">
        <v>951</v>
      </c>
      <c r="B94" s="27" t="s">
        <v>1248</v>
      </c>
      <c r="C94" s="27" t="s">
        <v>1156</v>
      </c>
      <c r="D94" s="27"/>
      <c r="E94" s="27"/>
      <c r="F94" s="27"/>
      <c r="G94" s="27"/>
      <c r="H94" s="27"/>
      <c r="I94" s="27"/>
      <c r="J94" s="27" t="str">
        <f t="shared" si="1"/>
        <v>pending</v>
      </c>
    </row>
    <row r="95" spans="1:10" ht="30" x14ac:dyDescent="0.25">
      <c r="A95" s="27" t="s">
        <v>952</v>
      </c>
      <c r="B95" s="27" t="s">
        <v>1249</v>
      </c>
      <c r="C95" s="27" t="s">
        <v>1156</v>
      </c>
      <c r="D95" s="27"/>
      <c r="E95" s="27"/>
      <c r="F95" s="27"/>
      <c r="G95" s="27"/>
      <c r="H95" s="27"/>
      <c r="I95" s="27"/>
      <c r="J95" s="27" t="str">
        <f t="shared" si="1"/>
        <v>pending</v>
      </c>
    </row>
    <row r="96" spans="1:10" ht="30" x14ac:dyDescent="0.25">
      <c r="A96" s="27" t="s">
        <v>953</v>
      </c>
      <c r="B96" s="27" t="s">
        <v>1250</v>
      </c>
      <c r="C96" s="27" t="s">
        <v>1156</v>
      </c>
      <c r="D96" s="27"/>
      <c r="E96" s="27"/>
      <c r="F96" s="27"/>
      <c r="G96" s="27"/>
      <c r="H96" s="27"/>
      <c r="I96" s="27"/>
      <c r="J96" s="27" t="str">
        <f t="shared" si="1"/>
        <v>pending</v>
      </c>
    </row>
    <row r="97" spans="1:10" ht="30" x14ac:dyDescent="0.25">
      <c r="A97" s="27" t="s">
        <v>954</v>
      </c>
      <c r="B97" s="27" t="s">
        <v>1251</v>
      </c>
      <c r="C97" s="27" t="s">
        <v>1156</v>
      </c>
      <c r="D97" s="27"/>
      <c r="E97" s="27"/>
      <c r="F97" s="27"/>
      <c r="G97" s="27"/>
      <c r="H97" s="27"/>
      <c r="I97" s="27"/>
      <c r="J97" s="27" t="str">
        <f t="shared" si="1"/>
        <v>pending</v>
      </c>
    </row>
    <row r="98" spans="1:10" ht="30" x14ac:dyDescent="0.25">
      <c r="A98" s="27" t="s">
        <v>955</v>
      </c>
      <c r="B98" s="27" t="s">
        <v>1252</v>
      </c>
      <c r="C98" s="27" t="s">
        <v>1156</v>
      </c>
      <c r="D98" s="27"/>
      <c r="E98" s="27"/>
      <c r="F98" s="27"/>
      <c r="G98" s="27"/>
      <c r="H98" s="27"/>
      <c r="I98" s="27"/>
      <c r="J98" s="27" t="str">
        <f t="shared" si="1"/>
        <v>pending</v>
      </c>
    </row>
    <row r="99" spans="1:10" x14ac:dyDescent="0.25">
      <c r="A99" s="27" t="s">
        <v>956</v>
      </c>
      <c r="B99" s="27" t="s">
        <v>1253</v>
      </c>
      <c r="C99" s="27" t="s">
        <v>1156</v>
      </c>
      <c r="D99" s="27"/>
      <c r="E99" s="27"/>
      <c r="F99" s="27"/>
      <c r="G99" s="27"/>
      <c r="H99" s="27"/>
      <c r="I99" s="27"/>
      <c r="J99" s="27" t="str">
        <f t="shared" si="1"/>
        <v>pending</v>
      </c>
    </row>
    <row r="100" spans="1:10" ht="30" x14ac:dyDescent="0.25">
      <c r="A100" s="27" t="s">
        <v>957</v>
      </c>
      <c r="B100" s="27" t="s">
        <v>1254</v>
      </c>
      <c r="C100" s="27" t="s">
        <v>1156</v>
      </c>
      <c r="D100" s="27"/>
      <c r="E100" s="27"/>
      <c r="F100" s="27"/>
      <c r="G100" s="27"/>
      <c r="H100" s="27"/>
      <c r="I100" s="27"/>
      <c r="J100" s="27" t="str">
        <f t="shared" si="1"/>
        <v>pending</v>
      </c>
    </row>
    <row r="101" spans="1:10" ht="30" x14ac:dyDescent="0.25">
      <c r="A101" s="27" t="s">
        <v>958</v>
      </c>
      <c r="B101" s="27" t="s">
        <v>1255</v>
      </c>
      <c r="C101" s="27" t="s">
        <v>1156</v>
      </c>
      <c r="D101" s="27"/>
      <c r="E101" s="27"/>
      <c r="F101" s="27"/>
      <c r="G101" s="27"/>
      <c r="H101" s="27"/>
      <c r="I101" s="27"/>
      <c r="J101" s="27" t="str">
        <f t="shared" si="1"/>
        <v>pending</v>
      </c>
    </row>
    <row r="102" spans="1:10" x14ac:dyDescent="0.25">
      <c r="A102" s="27" t="s">
        <v>959</v>
      </c>
      <c r="B102" s="27" t="s">
        <v>1256</v>
      </c>
      <c r="C102" s="27" t="s">
        <v>1156</v>
      </c>
      <c r="D102" s="27"/>
      <c r="E102" s="27"/>
      <c r="F102" s="27"/>
      <c r="G102" s="27"/>
      <c r="H102" s="27"/>
      <c r="I102" s="27"/>
      <c r="J102" s="27" t="str">
        <f t="shared" si="1"/>
        <v>pending</v>
      </c>
    </row>
    <row r="103" spans="1:10" x14ac:dyDescent="0.25">
      <c r="A103" s="27" t="s">
        <v>960</v>
      </c>
      <c r="B103" s="27" t="s">
        <v>1257</v>
      </c>
      <c r="C103" s="27" t="s">
        <v>1156</v>
      </c>
      <c r="D103" s="27"/>
      <c r="E103" s="27"/>
      <c r="F103" s="27"/>
      <c r="G103" s="27"/>
      <c r="H103" s="27"/>
      <c r="I103" s="27"/>
      <c r="J103" s="27" t="str">
        <f t="shared" si="1"/>
        <v>pending</v>
      </c>
    </row>
    <row r="104" spans="1:10" ht="30" x14ac:dyDescent="0.25">
      <c r="A104" s="27" t="s">
        <v>961</v>
      </c>
      <c r="B104" s="27" t="s">
        <v>1258</v>
      </c>
      <c r="C104" s="27" t="s">
        <v>1156</v>
      </c>
      <c r="D104" s="27"/>
      <c r="E104" s="27"/>
      <c r="F104" s="27"/>
      <c r="G104" s="27"/>
      <c r="H104" s="27"/>
      <c r="I104" s="27"/>
      <c r="J104" s="27" t="str">
        <f t="shared" si="1"/>
        <v>pending</v>
      </c>
    </row>
    <row r="105" spans="1:10" x14ac:dyDescent="0.25">
      <c r="A105" s="27" t="s">
        <v>962</v>
      </c>
      <c r="B105" s="27" t="s">
        <v>1259</v>
      </c>
      <c r="C105" s="27" t="s">
        <v>1156</v>
      </c>
      <c r="D105" s="27"/>
      <c r="E105" s="27"/>
      <c r="F105" s="27"/>
      <c r="G105" s="27"/>
      <c r="H105" s="27"/>
      <c r="I105" s="27"/>
      <c r="J105" s="27" t="str">
        <f t="shared" si="1"/>
        <v>pending</v>
      </c>
    </row>
    <row r="106" spans="1:10" ht="30" x14ac:dyDescent="0.25">
      <c r="A106" s="27" t="s">
        <v>963</v>
      </c>
      <c r="B106" s="27" t="s">
        <v>1260</v>
      </c>
      <c r="C106" s="27" t="s">
        <v>1156</v>
      </c>
      <c r="D106" s="27"/>
      <c r="E106" s="27"/>
      <c r="F106" s="27"/>
      <c r="G106" s="27"/>
      <c r="H106" s="27"/>
      <c r="I106" s="27"/>
      <c r="J106" s="27" t="str">
        <f t="shared" si="1"/>
        <v>pending</v>
      </c>
    </row>
    <row r="107" spans="1:10" ht="30" x14ac:dyDescent="0.25">
      <c r="A107" s="27" t="s">
        <v>964</v>
      </c>
      <c r="B107" s="27" t="s">
        <v>1261</v>
      </c>
      <c r="C107" s="27" t="s">
        <v>1156</v>
      </c>
      <c r="D107" s="27"/>
      <c r="E107" s="27"/>
      <c r="F107" s="27"/>
      <c r="G107" s="27"/>
      <c r="H107" s="27"/>
      <c r="I107" s="27"/>
      <c r="J107" s="27" t="str">
        <f t="shared" si="1"/>
        <v>pending</v>
      </c>
    </row>
    <row r="108" spans="1:10" x14ac:dyDescent="0.25">
      <c r="A108" s="27" t="s">
        <v>965</v>
      </c>
      <c r="B108" s="27" t="s">
        <v>1262</v>
      </c>
      <c r="C108" s="27" t="s">
        <v>1156</v>
      </c>
      <c r="D108" s="27"/>
      <c r="E108" s="27"/>
      <c r="F108" s="27"/>
      <c r="G108" s="27"/>
      <c r="H108" s="27"/>
      <c r="I108" s="27"/>
      <c r="J108" s="27" t="str">
        <f t="shared" si="1"/>
        <v>pending</v>
      </c>
    </row>
    <row r="109" spans="1:10" x14ac:dyDescent="0.25">
      <c r="A109" s="27" t="s">
        <v>966</v>
      </c>
      <c r="B109" s="27" t="s">
        <v>1263</v>
      </c>
      <c r="C109" s="27" t="s">
        <v>1156</v>
      </c>
      <c r="D109" s="27"/>
      <c r="E109" s="27"/>
      <c r="F109" s="27"/>
      <c r="G109" s="27"/>
      <c r="H109" s="27"/>
      <c r="I109" s="27"/>
      <c r="J109" s="27" t="str">
        <f t="shared" si="1"/>
        <v>pending</v>
      </c>
    </row>
    <row r="110" spans="1:10" ht="30" x14ac:dyDescent="0.25">
      <c r="A110" s="27" t="s">
        <v>967</v>
      </c>
      <c r="B110" s="27" t="s">
        <v>1264</v>
      </c>
      <c r="C110" s="27" t="s">
        <v>1156</v>
      </c>
      <c r="D110" s="27"/>
      <c r="E110" s="27"/>
      <c r="F110" s="27"/>
      <c r="G110" s="27"/>
      <c r="H110" s="27"/>
      <c r="I110" s="27"/>
      <c r="J110" s="27" t="str">
        <f t="shared" si="1"/>
        <v>pending</v>
      </c>
    </row>
    <row r="111" spans="1:10" x14ac:dyDescent="0.25">
      <c r="A111" s="27" t="s">
        <v>968</v>
      </c>
      <c r="B111" s="27" t="s">
        <v>1265</v>
      </c>
      <c r="C111" s="27" t="s">
        <v>1156</v>
      </c>
      <c r="D111" s="27"/>
      <c r="E111" s="27"/>
      <c r="F111" s="27"/>
      <c r="G111" s="27"/>
      <c r="H111" s="27"/>
      <c r="I111" s="27"/>
      <c r="J111" s="27" t="str">
        <f t="shared" si="1"/>
        <v>pending</v>
      </c>
    </row>
    <row r="112" spans="1:10" x14ac:dyDescent="0.25">
      <c r="A112" s="27" t="s">
        <v>969</v>
      </c>
      <c r="B112" s="27" t="s">
        <v>1266</v>
      </c>
      <c r="C112" s="27" t="s">
        <v>1156</v>
      </c>
      <c r="D112" s="27"/>
      <c r="E112" s="27"/>
      <c r="F112" s="27"/>
      <c r="G112" s="27"/>
      <c r="H112" s="27"/>
      <c r="I112" s="27"/>
      <c r="J112" s="27" t="str">
        <f t="shared" si="1"/>
        <v>pending</v>
      </c>
    </row>
    <row r="113" spans="1:10" ht="30" x14ac:dyDescent="0.25">
      <c r="A113" s="27" t="s">
        <v>970</v>
      </c>
      <c r="B113" s="27" t="s">
        <v>1267</v>
      </c>
      <c r="C113" s="27" t="s">
        <v>1156</v>
      </c>
      <c r="D113" s="27"/>
      <c r="E113" s="27"/>
      <c r="F113" s="27"/>
      <c r="G113" s="27"/>
      <c r="H113" s="27"/>
      <c r="I113" s="27"/>
      <c r="J113" s="27" t="str">
        <f t="shared" si="1"/>
        <v>pending</v>
      </c>
    </row>
    <row r="114" spans="1:10" x14ac:dyDescent="0.25">
      <c r="A114" s="27" t="s">
        <v>971</v>
      </c>
      <c r="B114" s="27" t="s">
        <v>1268</v>
      </c>
      <c r="C114" s="27" t="s">
        <v>1156</v>
      </c>
      <c r="D114" s="27"/>
      <c r="E114" s="27"/>
      <c r="F114" s="27"/>
      <c r="G114" s="27"/>
      <c r="H114" s="27"/>
      <c r="I114" s="27"/>
      <c r="J114" s="27" t="str">
        <f t="shared" si="1"/>
        <v>pending</v>
      </c>
    </row>
    <row r="115" spans="1:10" ht="30" x14ac:dyDescent="0.25">
      <c r="A115" s="27" t="s">
        <v>972</v>
      </c>
      <c r="B115" s="27" t="s">
        <v>1269</v>
      </c>
      <c r="C115" s="27" t="s">
        <v>1156</v>
      </c>
      <c r="D115" s="27"/>
      <c r="E115" s="27"/>
      <c r="F115" s="27"/>
      <c r="G115" s="27"/>
      <c r="H115" s="27"/>
      <c r="I115" s="27"/>
      <c r="J115" s="27" t="str">
        <f t="shared" si="1"/>
        <v>pending</v>
      </c>
    </row>
    <row r="116" spans="1:10" x14ac:dyDescent="0.25">
      <c r="A116" s="27" t="s">
        <v>973</v>
      </c>
      <c r="B116" s="27" t="s">
        <v>1270</v>
      </c>
      <c r="C116" s="27" t="s">
        <v>1156</v>
      </c>
      <c r="D116" s="27"/>
      <c r="E116" s="27"/>
      <c r="F116" s="27"/>
      <c r="G116" s="27"/>
      <c r="H116" s="27"/>
      <c r="I116" s="27"/>
      <c r="J116" s="27" t="str">
        <f t="shared" si="1"/>
        <v>pending</v>
      </c>
    </row>
    <row r="117" spans="1:10" ht="30" x14ac:dyDescent="0.25">
      <c r="A117" s="27" t="s">
        <v>974</v>
      </c>
      <c r="B117" s="27" t="s">
        <v>1271</v>
      </c>
      <c r="C117" s="27" t="s">
        <v>1156</v>
      </c>
      <c r="D117" s="27"/>
      <c r="E117" s="27"/>
      <c r="F117" s="27"/>
      <c r="G117" s="27"/>
      <c r="H117" s="27"/>
      <c r="I117" s="27"/>
      <c r="J117" s="27" t="str">
        <f t="shared" si="1"/>
        <v>pending</v>
      </c>
    </row>
    <row r="118" spans="1:10" x14ac:dyDescent="0.25">
      <c r="A118" s="27" t="s">
        <v>975</v>
      </c>
      <c r="B118" s="27" t="s">
        <v>1272</v>
      </c>
      <c r="C118" s="27" t="s">
        <v>1156</v>
      </c>
      <c r="D118" s="27"/>
      <c r="E118" s="27"/>
      <c r="F118" s="27"/>
      <c r="G118" s="27"/>
      <c r="H118" s="27"/>
      <c r="I118" s="27"/>
      <c r="J118" s="27" t="str">
        <f t="shared" si="1"/>
        <v>pending</v>
      </c>
    </row>
    <row r="119" spans="1:10" x14ac:dyDescent="0.25">
      <c r="A119" s="27" t="s">
        <v>976</v>
      </c>
      <c r="B119" s="27" t="s">
        <v>1273</v>
      </c>
      <c r="C119" s="27" t="s">
        <v>1156</v>
      </c>
      <c r="D119" s="27"/>
      <c r="E119" s="27"/>
      <c r="F119" s="27"/>
      <c r="G119" s="27"/>
      <c r="H119" s="27"/>
      <c r="I119" s="27"/>
      <c r="J119" s="27" t="str">
        <f t="shared" si="1"/>
        <v>pending</v>
      </c>
    </row>
    <row r="120" spans="1:10" ht="45" x14ac:dyDescent="0.25">
      <c r="A120" s="27" t="s">
        <v>977</v>
      </c>
      <c r="B120" s="27" t="s">
        <v>1274</v>
      </c>
      <c r="C120" s="27" t="s">
        <v>1156</v>
      </c>
      <c r="D120" s="27"/>
      <c r="E120" s="27"/>
      <c r="F120" s="27"/>
      <c r="G120" s="27"/>
      <c r="H120" s="27"/>
      <c r="I120" s="27"/>
      <c r="J120" s="27" t="str">
        <f t="shared" si="1"/>
        <v>pending</v>
      </c>
    </row>
    <row r="121" spans="1:10" x14ac:dyDescent="0.25">
      <c r="A121" s="27" t="s">
        <v>978</v>
      </c>
      <c r="B121" s="27" t="s">
        <v>1275</v>
      </c>
      <c r="C121" s="27" t="s">
        <v>1156</v>
      </c>
      <c r="D121" s="27"/>
      <c r="E121" s="27"/>
      <c r="F121" s="27"/>
      <c r="G121" s="27"/>
      <c r="H121" s="27"/>
      <c r="I121" s="27"/>
      <c r="J121" s="27" t="str">
        <f t="shared" si="1"/>
        <v>pending</v>
      </c>
    </row>
    <row r="122" spans="1:10" ht="30" x14ac:dyDescent="0.25">
      <c r="A122" s="27" t="s">
        <v>979</v>
      </c>
      <c r="B122" s="27" t="s">
        <v>1276</v>
      </c>
      <c r="C122" s="27" t="s">
        <v>1156</v>
      </c>
      <c r="D122" s="27"/>
      <c r="E122" s="27"/>
      <c r="F122" s="27"/>
      <c r="G122" s="27"/>
      <c r="H122" s="27"/>
      <c r="I122" s="27"/>
      <c r="J122" s="27" t="str">
        <f t="shared" si="1"/>
        <v>pending</v>
      </c>
    </row>
    <row r="123" spans="1:10" ht="30" x14ac:dyDescent="0.25">
      <c r="A123" s="27" t="s">
        <v>980</v>
      </c>
      <c r="B123" s="27" t="s">
        <v>1277</v>
      </c>
      <c r="C123" s="27" t="s">
        <v>1156</v>
      </c>
      <c r="D123" s="27"/>
      <c r="E123" s="27"/>
      <c r="F123" s="27"/>
      <c r="G123" s="27"/>
      <c r="H123" s="27"/>
      <c r="I123" s="27"/>
      <c r="J123" s="27" t="str">
        <f t="shared" si="1"/>
        <v>pending</v>
      </c>
    </row>
    <row r="124" spans="1:10" ht="30" x14ac:dyDescent="0.25">
      <c r="A124" s="27" t="s">
        <v>981</v>
      </c>
      <c r="B124" s="27" t="s">
        <v>1278</v>
      </c>
      <c r="C124" s="27" t="s">
        <v>1156</v>
      </c>
      <c r="D124" s="27"/>
      <c r="E124" s="27"/>
      <c r="F124" s="27"/>
      <c r="G124" s="27"/>
      <c r="H124" s="27"/>
      <c r="I124" s="27"/>
      <c r="J124" s="27" t="str">
        <f t="shared" si="1"/>
        <v>pending</v>
      </c>
    </row>
    <row r="125" spans="1:10" ht="30" x14ac:dyDescent="0.25">
      <c r="A125" s="27" t="s">
        <v>982</v>
      </c>
      <c r="B125" s="27" t="s">
        <v>1279</v>
      </c>
      <c r="C125" s="27" t="s">
        <v>1156</v>
      </c>
      <c r="D125" s="27"/>
      <c r="E125" s="27"/>
      <c r="F125" s="27"/>
      <c r="G125" s="27"/>
      <c r="H125" s="27"/>
      <c r="I125" s="27"/>
      <c r="J125" s="27" t="str">
        <f t="shared" si="1"/>
        <v>pending</v>
      </c>
    </row>
    <row r="126" spans="1:10" ht="30" x14ac:dyDescent="0.25">
      <c r="A126" s="27" t="s">
        <v>983</v>
      </c>
      <c r="B126" s="27" t="s">
        <v>1280</v>
      </c>
      <c r="C126" s="27" t="s">
        <v>1156</v>
      </c>
      <c r="D126" s="27"/>
      <c r="E126" s="27"/>
      <c r="F126" s="27"/>
      <c r="G126" s="27"/>
      <c r="H126" s="27"/>
      <c r="I126" s="27"/>
      <c r="J126" s="27" t="str">
        <f t="shared" si="1"/>
        <v>pending</v>
      </c>
    </row>
    <row r="127" spans="1:10" ht="30" x14ac:dyDescent="0.25">
      <c r="A127" s="27" t="s">
        <v>984</v>
      </c>
      <c r="B127" s="27" t="s">
        <v>1281</v>
      </c>
      <c r="C127" s="27" t="s">
        <v>1156</v>
      </c>
      <c r="D127" s="27"/>
      <c r="E127" s="27"/>
      <c r="F127" s="27"/>
      <c r="G127" s="27"/>
      <c r="H127" s="27"/>
      <c r="I127" s="27"/>
      <c r="J127" s="27" t="str">
        <f t="shared" si="1"/>
        <v>pending</v>
      </c>
    </row>
    <row r="128" spans="1:10" ht="30" x14ac:dyDescent="0.25">
      <c r="A128" s="27" t="s">
        <v>985</v>
      </c>
      <c r="B128" s="27" t="s">
        <v>1282</v>
      </c>
      <c r="C128" s="27" t="s">
        <v>1156</v>
      </c>
      <c r="D128" s="27"/>
      <c r="E128" s="27"/>
      <c r="F128" s="27"/>
      <c r="G128" s="27"/>
      <c r="H128" s="27"/>
      <c r="I128" s="27"/>
      <c r="J128" s="27" t="str">
        <f t="shared" si="1"/>
        <v>pending</v>
      </c>
    </row>
    <row r="129" spans="1:10" x14ac:dyDescent="0.25">
      <c r="A129" s="27" t="s">
        <v>986</v>
      </c>
      <c r="B129" s="27" t="s">
        <v>1283</v>
      </c>
      <c r="C129" s="27" t="s">
        <v>1156</v>
      </c>
      <c r="D129" s="27"/>
      <c r="E129" s="27"/>
      <c r="F129" s="27"/>
      <c r="G129" s="27"/>
      <c r="H129" s="27"/>
      <c r="I129" s="27"/>
      <c r="J129" s="27" t="str">
        <f t="shared" si="1"/>
        <v>pending</v>
      </c>
    </row>
    <row r="130" spans="1:10" x14ac:dyDescent="0.25">
      <c r="A130" s="27" t="s">
        <v>987</v>
      </c>
      <c r="B130" s="27" t="s">
        <v>1284</v>
      </c>
      <c r="C130" s="27" t="s">
        <v>1156</v>
      </c>
      <c r="D130" s="27"/>
      <c r="E130" s="27"/>
      <c r="F130" s="27"/>
      <c r="G130" s="27"/>
      <c r="H130" s="27"/>
      <c r="I130" s="27"/>
      <c r="J130" s="27" t="str">
        <f t="shared" si="1"/>
        <v>pending</v>
      </c>
    </row>
    <row r="131" spans="1:10" x14ac:dyDescent="0.25">
      <c r="A131" s="27" t="s">
        <v>988</v>
      </c>
      <c r="B131" s="27" t="s">
        <v>1285</v>
      </c>
      <c r="C131" s="27" t="s">
        <v>1156</v>
      </c>
      <c r="D131" s="27"/>
      <c r="E131" s="27"/>
      <c r="F131" s="27"/>
      <c r="G131" s="27"/>
      <c r="H131" s="27"/>
      <c r="I131" s="27"/>
      <c r="J131" s="27" t="str">
        <f t="shared" ref="J131:J194" si="2">IF(C131&lt;&gt;"-","done","pending")</f>
        <v>pending</v>
      </c>
    </row>
    <row r="132" spans="1:10" x14ac:dyDescent="0.25">
      <c r="A132" s="27" t="s">
        <v>989</v>
      </c>
      <c r="B132" s="27" t="s">
        <v>1286</v>
      </c>
      <c r="C132" s="27" t="s">
        <v>1156</v>
      </c>
      <c r="D132" s="27"/>
      <c r="E132" s="27"/>
      <c r="F132" s="27"/>
      <c r="G132" s="27"/>
      <c r="H132" s="27"/>
      <c r="I132" s="27"/>
      <c r="J132" s="27" t="str">
        <f t="shared" si="2"/>
        <v>pending</v>
      </c>
    </row>
    <row r="133" spans="1:10" ht="30" x14ac:dyDescent="0.25">
      <c r="A133" s="27" t="s">
        <v>990</v>
      </c>
      <c r="B133" s="27" t="s">
        <v>1287</v>
      </c>
      <c r="C133" s="27" t="s">
        <v>1156</v>
      </c>
      <c r="D133" s="27"/>
      <c r="E133" s="27"/>
      <c r="F133" s="27"/>
      <c r="G133" s="27"/>
      <c r="H133" s="27"/>
      <c r="I133" s="27"/>
      <c r="J133" s="27" t="str">
        <f t="shared" si="2"/>
        <v>pending</v>
      </c>
    </row>
    <row r="134" spans="1:10" x14ac:dyDescent="0.25">
      <c r="A134" s="27" t="s">
        <v>991</v>
      </c>
      <c r="B134" s="27" t="s">
        <v>1288</v>
      </c>
      <c r="C134" s="27" t="s">
        <v>1156</v>
      </c>
      <c r="D134" s="27"/>
      <c r="E134" s="27"/>
      <c r="F134" s="27"/>
      <c r="G134" s="27"/>
      <c r="H134" s="27"/>
      <c r="I134" s="27"/>
      <c r="J134" s="27" t="str">
        <f t="shared" si="2"/>
        <v>pending</v>
      </c>
    </row>
    <row r="135" spans="1:10" x14ac:dyDescent="0.25">
      <c r="A135" s="27" t="s">
        <v>992</v>
      </c>
      <c r="B135" s="27" t="s">
        <v>1289</v>
      </c>
      <c r="C135" s="27" t="s">
        <v>1156</v>
      </c>
      <c r="D135" s="27"/>
      <c r="E135" s="27"/>
      <c r="F135" s="27"/>
      <c r="G135" s="27"/>
      <c r="H135" s="27"/>
      <c r="I135" s="27"/>
      <c r="J135" s="27" t="str">
        <f t="shared" si="2"/>
        <v>pending</v>
      </c>
    </row>
    <row r="136" spans="1:10" x14ac:dyDescent="0.25">
      <c r="A136" s="27" t="s">
        <v>993</v>
      </c>
      <c r="B136" s="27" t="s">
        <v>1290</v>
      </c>
      <c r="C136" s="27" t="s">
        <v>1156</v>
      </c>
      <c r="D136" s="27"/>
      <c r="E136" s="27"/>
      <c r="F136" s="27"/>
      <c r="G136" s="27"/>
      <c r="H136" s="27"/>
      <c r="I136" s="27"/>
      <c r="J136" s="27" t="str">
        <f t="shared" si="2"/>
        <v>pending</v>
      </c>
    </row>
    <row r="137" spans="1:10" ht="30" x14ac:dyDescent="0.25">
      <c r="A137" s="27" t="s">
        <v>994</v>
      </c>
      <c r="B137" s="27" t="s">
        <v>1291</v>
      </c>
      <c r="C137" s="27" t="s">
        <v>1156</v>
      </c>
      <c r="D137" s="27"/>
      <c r="E137" s="27"/>
      <c r="F137" s="27"/>
      <c r="G137" s="27"/>
      <c r="H137" s="27"/>
      <c r="I137" s="27"/>
      <c r="J137" s="27" t="str">
        <f t="shared" si="2"/>
        <v>pending</v>
      </c>
    </row>
    <row r="138" spans="1:10" x14ac:dyDescent="0.25">
      <c r="A138" s="27" t="s">
        <v>995</v>
      </c>
      <c r="B138" s="27" t="s">
        <v>1292</v>
      </c>
      <c r="C138" s="27" t="s">
        <v>1156</v>
      </c>
      <c r="D138" s="27"/>
      <c r="E138" s="27"/>
      <c r="F138" s="27"/>
      <c r="G138" s="27"/>
      <c r="H138" s="27"/>
      <c r="I138" s="27"/>
      <c r="J138" s="27" t="str">
        <f t="shared" si="2"/>
        <v>pending</v>
      </c>
    </row>
    <row r="139" spans="1:10" x14ac:dyDescent="0.25">
      <c r="A139" s="27" t="s">
        <v>996</v>
      </c>
      <c r="B139" s="27" t="s">
        <v>1293</v>
      </c>
      <c r="C139" s="27" t="s">
        <v>1156</v>
      </c>
      <c r="D139" s="27"/>
      <c r="E139" s="27"/>
      <c r="F139" s="27"/>
      <c r="G139" s="27"/>
      <c r="H139" s="27"/>
      <c r="I139" s="27"/>
      <c r="J139" s="27" t="str">
        <f t="shared" si="2"/>
        <v>pending</v>
      </c>
    </row>
    <row r="140" spans="1:10" x14ac:dyDescent="0.25">
      <c r="A140" s="27" t="s">
        <v>997</v>
      </c>
      <c r="B140" s="27" t="s">
        <v>1294</v>
      </c>
      <c r="C140" s="27" t="s">
        <v>1156</v>
      </c>
      <c r="D140" s="27"/>
      <c r="E140" s="27"/>
      <c r="F140" s="27"/>
      <c r="G140" s="27"/>
      <c r="H140" s="27"/>
      <c r="I140" s="27"/>
      <c r="J140" s="27" t="str">
        <f t="shared" si="2"/>
        <v>pending</v>
      </c>
    </row>
    <row r="141" spans="1:10" x14ac:dyDescent="0.25">
      <c r="A141" s="27" t="s">
        <v>998</v>
      </c>
      <c r="B141" s="27" t="s">
        <v>1295</v>
      </c>
      <c r="C141" s="27" t="s">
        <v>1156</v>
      </c>
      <c r="D141" s="27"/>
      <c r="E141" s="27"/>
      <c r="F141" s="27"/>
      <c r="G141" s="27"/>
      <c r="H141" s="27"/>
      <c r="I141" s="27"/>
      <c r="J141" s="27" t="str">
        <f t="shared" si="2"/>
        <v>pending</v>
      </c>
    </row>
    <row r="142" spans="1:10" x14ac:dyDescent="0.25">
      <c r="A142" s="27" t="s">
        <v>999</v>
      </c>
      <c r="B142" s="27" t="s">
        <v>1296</v>
      </c>
      <c r="C142" s="27" t="s">
        <v>1156</v>
      </c>
      <c r="D142" s="27"/>
      <c r="E142" s="27"/>
      <c r="F142" s="27"/>
      <c r="G142" s="27"/>
      <c r="H142" s="27"/>
      <c r="I142" s="27"/>
      <c r="J142" s="27" t="str">
        <f t="shared" si="2"/>
        <v>pending</v>
      </c>
    </row>
    <row r="143" spans="1:10" ht="30" x14ac:dyDescent="0.25">
      <c r="A143" s="27" t="s">
        <v>1000</v>
      </c>
      <c r="B143" s="27" t="s">
        <v>1297</v>
      </c>
      <c r="C143" s="27" t="s">
        <v>1156</v>
      </c>
      <c r="D143" s="27"/>
      <c r="E143" s="27"/>
      <c r="F143" s="27"/>
      <c r="G143" s="27"/>
      <c r="H143" s="27"/>
      <c r="I143" s="27"/>
      <c r="J143" s="27" t="str">
        <f t="shared" si="2"/>
        <v>pending</v>
      </c>
    </row>
    <row r="144" spans="1:10" ht="45" x14ac:dyDescent="0.25">
      <c r="A144" s="27" t="s">
        <v>1001</v>
      </c>
      <c r="B144" s="27" t="s">
        <v>1298</v>
      </c>
      <c r="C144" s="27" t="s">
        <v>1156</v>
      </c>
      <c r="D144" s="27"/>
      <c r="E144" s="27"/>
      <c r="F144" s="27"/>
      <c r="G144" s="27"/>
      <c r="H144" s="27"/>
      <c r="I144" s="27"/>
      <c r="J144" s="27" t="str">
        <f t="shared" si="2"/>
        <v>pending</v>
      </c>
    </row>
    <row r="145" spans="1:10" ht="45" x14ac:dyDescent="0.25">
      <c r="A145" s="27" t="s">
        <v>1002</v>
      </c>
      <c r="B145" s="27" t="s">
        <v>1299</v>
      </c>
      <c r="C145" s="27" t="s">
        <v>1156</v>
      </c>
      <c r="D145" s="27"/>
      <c r="E145" s="27"/>
      <c r="F145" s="27"/>
      <c r="G145" s="27"/>
      <c r="H145" s="27"/>
      <c r="I145" s="27"/>
      <c r="J145" s="27" t="str">
        <f t="shared" si="2"/>
        <v>pending</v>
      </c>
    </row>
    <row r="146" spans="1:10" ht="30" x14ac:dyDescent="0.25">
      <c r="A146" s="27" t="s">
        <v>1003</v>
      </c>
      <c r="B146" s="27" t="s">
        <v>1300</v>
      </c>
      <c r="C146" s="27" t="s">
        <v>1156</v>
      </c>
      <c r="D146" s="27"/>
      <c r="E146" s="27"/>
      <c r="F146" s="27"/>
      <c r="G146" s="27"/>
      <c r="H146" s="27"/>
      <c r="I146" s="27"/>
      <c r="J146" s="27" t="str">
        <f t="shared" si="2"/>
        <v>pending</v>
      </c>
    </row>
    <row r="147" spans="1:10" x14ac:dyDescent="0.25">
      <c r="A147" s="27" t="s">
        <v>1004</v>
      </c>
      <c r="B147" s="27" t="s">
        <v>1301</v>
      </c>
      <c r="C147" s="27" t="s">
        <v>1156</v>
      </c>
      <c r="D147" s="27"/>
      <c r="E147" s="27"/>
      <c r="F147" s="27"/>
      <c r="G147" s="27"/>
      <c r="H147" s="27"/>
      <c r="I147" s="27"/>
      <c r="J147" s="27" t="str">
        <f t="shared" si="2"/>
        <v>pending</v>
      </c>
    </row>
    <row r="148" spans="1:10" ht="30" x14ac:dyDescent="0.25">
      <c r="A148" s="27" t="s">
        <v>1005</v>
      </c>
      <c r="B148" s="27" t="s">
        <v>1302</v>
      </c>
      <c r="C148" s="27" t="s">
        <v>1156</v>
      </c>
      <c r="D148" s="27"/>
      <c r="E148" s="27"/>
      <c r="F148" s="27"/>
      <c r="G148" s="27"/>
      <c r="H148" s="27"/>
      <c r="I148" s="27"/>
      <c r="J148" s="27" t="str">
        <f t="shared" si="2"/>
        <v>pending</v>
      </c>
    </row>
    <row r="149" spans="1:10" ht="30" x14ac:dyDescent="0.25">
      <c r="A149" s="27" t="s">
        <v>1006</v>
      </c>
      <c r="B149" s="27" t="s">
        <v>1303</v>
      </c>
      <c r="C149" s="27" t="s">
        <v>1156</v>
      </c>
      <c r="D149" s="27"/>
      <c r="E149" s="27"/>
      <c r="F149" s="27"/>
      <c r="G149" s="27"/>
      <c r="H149" s="27"/>
      <c r="I149" s="27"/>
      <c r="J149" s="27" t="str">
        <f t="shared" si="2"/>
        <v>pending</v>
      </c>
    </row>
    <row r="150" spans="1:10" x14ac:dyDescent="0.25">
      <c r="A150" s="27" t="s">
        <v>1007</v>
      </c>
      <c r="B150" s="27" t="s">
        <v>1304</v>
      </c>
      <c r="C150" s="27" t="s">
        <v>1156</v>
      </c>
      <c r="D150" s="27"/>
      <c r="E150" s="27"/>
      <c r="F150" s="27"/>
      <c r="G150" s="27"/>
      <c r="H150" s="27"/>
      <c r="I150" s="27"/>
      <c r="J150" s="27" t="str">
        <f t="shared" si="2"/>
        <v>pending</v>
      </c>
    </row>
    <row r="151" spans="1:10" ht="30" x14ac:dyDescent="0.25">
      <c r="A151" s="27" t="s">
        <v>1008</v>
      </c>
      <c r="B151" s="27" t="s">
        <v>1305</v>
      </c>
      <c r="C151" s="27" t="s">
        <v>1156</v>
      </c>
      <c r="D151" s="27"/>
      <c r="E151" s="27"/>
      <c r="F151" s="27"/>
      <c r="G151" s="27"/>
      <c r="H151" s="27"/>
      <c r="I151" s="27"/>
      <c r="J151" s="27" t="str">
        <f t="shared" si="2"/>
        <v>pending</v>
      </c>
    </row>
    <row r="152" spans="1:10" ht="45" x14ac:dyDescent="0.25">
      <c r="A152" s="27" t="s">
        <v>1009</v>
      </c>
      <c r="B152" s="27" t="s">
        <v>1306</v>
      </c>
      <c r="C152" s="27" t="s">
        <v>1156</v>
      </c>
      <c r="D152" s="27"/>
      <c r="E152" s="27"/>
      <c r="F152" s="27"/>
      <c r="G152" s="27"/>
      <c r="H152" s="27"/>
      <c r="I152" s="27"/>
      <c r="J152" s="27" t="str">
        <f t="shared" si="2"/>
        <v>pending</v>
      </c>
    </row>
    <row r="153" spans="1:10" x14ac:dyDescent="0.25">
      <c r="A153" s="27" t="s">
        <v>1010</v>
      </c>
      <c r="B153" s="27" t="s">
        <v>1307</v>
      </c>
      <c r="C153" s="27" t="s">
        <v>1156</v>
      </c>
      <c r="D153" s="27"/>
      <c r="E153" s="27"/>
      <c r="F153" s="27"/>
      <c r="G153" s="27"/>
      <c r="H153" s="27"/>
      <c r="I153" s="27"/>
      <c r="J153" s="27" t="str">
        <f t="shared" si="2"/>
        <v>pending</v>
      </c>
    </row>
    <row r="154" spans="1:10" x14ac:dyDescent="0.25">
      <c r="A154" s="27" t="s">
        <v>1011</v>
      </c>
      <c r="B154" s="27" t="s">
        <v>1308</v>
      </c>
      <c r="C154" s="27" t="s">
        <v>1156</v>
      </c>
      <c r="D154" s="27"/>
      <c r="E154" s="27"/>
      <c r="F154" s="27"/>
      <c r="G154" s="27"/>
      <c r="H154" s="27"/>
      <c r="I154" s="27"/>
      <c r="J154" s="27" t="str">
        <f t="shared" si="2"/>
        <v>pending</v>
      </c>
    </row>
    <row r="155" spans="1:10" ht="30" x14ac:dyDescent="0.25">
      <c r="A155" s="27" t="s">
        <v>1012</v>
      </c>
      <c r="B155" s="27" t="s">
        <v>1309</v>
      </c>
      <c r="C155" s="27" t="s">
        <v>1156</v>
      </c>
      <c r="D155" s="27"/>
      <c r="E155" s="27"/>
      <c r="F155" s="27"/>
      <c r="G155" s="27"/>
      <c r="H155" s="27"/>
      <c r="I155" s="27"/>
      <c r="J155" s="27" t="str">
        <f t="shared" si="2"/>
        <v>pending</v>
      </c>
    </row>
    <row r="156" spans="1:10" x14ac:dyDescent="0.25">
      <c r="A156" s="27" t="s">
        <v>1013</v>
      </c>
      <c r="B156" s="27" t="s">
        <v>1310</v>
      </c>
      <c r="C156" s="27" t="s">
        <v>1156</v>
      </c>
      <c r="D156" s="27"/>
      <c r="E156" s="27"/>
      <c r="F156" s="27"/>
      <c r="G156" s="27"/>
      <c r="H156" s="27"/>
      <c r="I156" s="27"/>
      <c r="J156" s="27" t="str">
        <f t="shared" si="2"/>
        <v>pending</v>
      </c>
    </row>
    <row r="157" spans="1:10" ht="30" x14ac:dyDescent="0.25">
      <c r="A157" s="27" t="s">
        <v>1014</v>
      </c>
      <c r="B157" s="27" t="s">
        <v>1311</v>
      </c>
      <c r="C157" s="27" t="s">
        <v>1156</v>
      </c>
      <c r="D157" s="27"/>
      <c r="E157" s="27"/>
      <c r="F157" s="27"/>
      <c r="G157" s="27"/>
      <c r="H157" s="27"/>
      <c r="I157" s="27"/>
      <c r="J157" s="27" t="str">
        <f t="shared" si="2"/>
        <v>pending</v>
      </c>
    </row>
    <row r="158" spans="1:10" x14ac:dyDescent="0.25">
      <c r="A158" s="27" t="s">
        <v>1015</v>
      </c>
      <c r="B158" s="27" t="s">
        <v>1312</v>
      </c>
      <c r="C158" s="27" t="s">
        <v>1156</v>
      </c>
      <c r="D158" s="27"/>
      <c r="E158" s="27"/>
      <c r="F158" s="27"/>
      <c r="G158" s="27"/>
      <c r="H158" s="27"/>
      <c r="I158" s="27"/>
      <c r="J158" s="27" t="str">
        <f t="shared" si="2"/>
        <v>pending</v>
      </c>
    </row>
    <row r="159" spans="1:10" x14ac:dyDescent="0.25">
      <c r="A159" s="27" t="s">
        <v>1016</v>
      </c>
      <c r="B159" s="27" t="s">
        <v>1313</v>
      </c>
      <c r="C159" s="27" t="s">
        <v>1156</v>
      </c>
      <c r="D159" s="27"/>
      <c r="E159" s="27"/>
      <c r="F159" s="27"/>
      <c r="G159" s="27"/>
      <c r="H159" s="27"/>
      <c r="I159" s="27"/>
      <c r="J159" s="27" t="str">
        <f t="shared" si="2"/>
        <v>pending</v>
      </c>
    </row>
    <row r="160" spans="1:10" x14ac:dyDescent="0.25">
      <c r="A160" s="27" t="s">
        <v>1017</v>
      </c>
      <c r="B160" s="27" t="s">
        <v>1314</v>
      </c>
      <c r="C160" s="27" t="s">
        <v>1156</v>
      </c>
      <c r="D160" s="27"/>
      <c r="E160" s="27"/>
      <c r="F160" s="27"/>
      <c r="G160" s="27"/>
      <c r="H160" s="27"/>
      <c r="I160" s="27"/>
      <c r="J160" s="27" t="str">
        <f t="shared" si="2"/>
        <v>pending</v>
      </c>
    </row>
    <row r="161" spans="1:10" x14ac:dyDescent="0.25">
      <c r="A161" s="27" t="s">
        <v>1018</v>
      </c>
      <c r="B161" s="27" t="s">
        <v>1315</v>
      </c>
      <c r="C161" s="27" t="s">
        <v>1156</v>
      </c>
      <c r="D161" s="27"/>
      <c r="E161" s="27"/>
      <c r="F161" s="27"/>
      <c r="G161" s="27"/>
      <c r="H161" s="27"/>
      <c r="I161" s="27"/>
      <c r="J161" s="27" t="str">
        <f t="shared" si="2"/>
        <v>pending</v>
      </c>
    </row>
    <row r="162" spans="1:10" ht="30" x14ac:dyDescent="0.25">
      <c r="A162" s="27" t="s">
        <v>1019</v>
      </c>
      <c r="B162" s="27" t="s">
        <v>1316</v>
      </c>
      <c r="C162" s="27" t="s">
        <v>1156</v>
      </c>
      <c r="D162" s="27"/>
      <c r="E162" s="27"/>
      <c r="F162" s="27"/>
      <c r="G162" s="27"/>
      <c r="H162" s="27"/>
      <c r="I162" s="27"/>
      <c r="J162" s="27" t="str">
        <f t="shared" si="2"/>
        <v>pending</v>
      </c>
    </row>
    <row r="163" spans="1:10" ht="30" x14ac:dyDescent="0.25">
      <c r="A163" s="27" t="s">
        <v>1020</v>
      </c>
      <c r="B163" s="27" t="s">
        <v>1317</v>
      </c>
      <c r="C163" s="27" t="s">
        <v>1156</v>
      </c>
      <c r="D163" s="27"/>
      <c r="E163" s="27"/>
      <c r="F163" s="27"/>
      <c r="G163" s="27"/>
      <c r="H163" s="27"/>
      <c r="I163" s="27"/>
      <c r="J163" s="27" t="str">
        <f t="shared" si="2"/>
        <v>pending</v>
      </c>
    </row>
    <row r="164" spans="1:10" x14ac:dyDescent="0.25">
      <c r="A164" s="27" t="s">
        <v>1021</v>
      </c>
      <c r="B164" s="27" t="s">
        <v>1318</v>
      </c>
      <c r="C164" s="27" t="s">
        <v>1156</v>
      </c>
      <c r="D164" s="27"/>
      <c r="E164" s="27"/>
      <c r="F164" s="27"/>
      <c r="G164" s="27"/>
      <c r="H164" s="27"/>
      <c r="I164" s="27"/>
      <c r="J164" s="27" t="str">
        <f t="shared" si="2"/>
        <v>pending</v>
      </c>
    </row>
    <row r="165" spans="1:10" ht="30" x14ac:dyDescent="0.25">
      <c r="A165" s="27" t="s">
        <v>1022</v>
      </c>
      <c r="B165" s="27" t="s">
        <v>1319</v>
      </c>
      <c r="C165" s="27" t="s">
        <v>1156</v>
      </c>
      <c r="D165" s="27"/>
      <c r="E165" s="27"/>
      <c r="F165" s="27"/>
      <c r="G165" s="27"/>
      <c r="H165" s="27"/>
      <c r="I165" s="27"/>
      <c r="J165" s="27" t="str">
        <f t="shared" si="2"/>
        <v>pending</v>
      </c>
    </row>
    <row r="166" spans="1:10" x14ac:dyDescent="0.25">
      <c r="A166" s="27" t="s">
        <v>1023</v>
      </c>
      <c r="B166" s="27" t="s">
        <v>1320</v>
      </c>
      <c r="C166" s="27" t="s">
        <v>1156</v>
      </c>
      <c r="D166" s="27"/>
      <c r="E166" s="27"/>
      <c r="F166" s="27"/>
      <c r="G166" s="27"/>
      <c r="H166" s="27"/>
      <c r="I166" s="27"/>
      <c r="J166" s="27" t="str">
        <f t="shared" si="2"/>
        <v>pending</v>
      </c>
    </row>
    <row r="167" spans="1:10" ht="30" x14ac:dyDescent="0.25">
      <c r="A167" s="27" t="s">
        <v>1024</v>
      </c>
      <c r="B167" s="27" t="s">
        <v>1321</v>
      </c>
      <c r="C167" s="27" t="s">
        <v>1156</v>
      </c>
      <c r="D167" s="27"/>
      <c r="E167" s="27"/>
      <c r="F167" s="27"/>
      <c r="G167" s="27"/>
      <c r="H167" s="27"/>
      <c r="I167" s="27"/>
      <c r="J167" s="27" t="str">
        <f t="shared" si="2"/>
        <v>pending</v>
      </c>
    </row>
    <row r="168" spans="1:10" x14ac:dyDescent="0.25">
      <c r="A168" s="27" t="s">
        <v>1025</v>
      </c>
      <c r="B168" s="27" t="s">
        <v>1322</v>
      </c>
      <c r="C168" s="27" t="s">
        <v>1156</v>
      </c>
      <c r="D168" s="27"/>
      <c r="E168" s="27"/>
      <c r="F168" s="27"/>
      <c r="G168" s="27"/>
      <c r="H168" s="27"/>
      <c r="I168" s="27"/>
      <c r="J168" s="27" t="str">
        <f t="shared" si="2"/>
        <v>pending</v>
      </c>
    </row>
    <row r="169" spans="1:10" ht="30" x14ac:dyDescent="0.25">
      <c r="A169" s="27" t="s">
        <v>1026</v>
      </c>
      <c r="B169" s="27" t="s">
        <v>1323</v>
      </c>
      <c r="C169" s="27" t="s">
        <v>1156</v>
      </c>
      <c r="D169" s="27"/>
      <c r="E169" s="27"/>
      <c r="F169" s="27"/>
      <c r="G169" s="27"/>
      <c r="H169" s="27"/>
      <c r="I169" s="27"/>
      <c r="J169" s="27" t="str">
        <f t="shared" si="2"/>
        <v>pending</v>
      </c>
    </row>
    <row r="170" spans="1:10" ht="30" x14ac:dyDescent="0.25">
      <c r="A170" s="27" t="s">
        <v>1027</v>
      </c>
      <c r="B170" s="27" t="s">
        <v>1324</v>
      </c>
      <c r="C170" s="27" t="s">
        <v>1156</v>
      </c>
      <c r="D170" s="27"/>
      <c r="E170" s="27"/>
      <c r="F170" s="27"/>
      <c r="G170" s="27"/>
      <c r="H170" s="27"/>
      <c r="I170" s="27"/>
      <c r="J170" s="27" t="str">
        <f t="shared" si="2"/>
        <v>pending</v>
      </c>
    </row>
    <row r="171" spans="1:10" ht="30" x14ac:dyDescent="0.25">
      <c r="A171" s="27" t="s">
        <v>1028</v>
      </c>
      <c r="B171" s="27" t="s">
        <v>1325</v>
      </c>
      <c r="C171" s="27" t="s">
        <v>1156</v>
      </c>
      <c r="D171" s="27"/>
      <c r="E171" s="27"/>
      <c r="F171" s="27"/>
      <c r="G171" s="27"/>
      <c r="H171" s="27"/>
      <c r="I171" s="27"/>
      <c r="J171" s="27" t="str">
        <f t="shared" si="2"/>
        <v>pending</v>
      </c>
    </row>
    <row r="172" spans="1:10" ht="30" x14ac:dyDescent="0.25">
      <c r="A172" s="27" t="s">
        <v>1029</v>
      </c>
      <c r="B172" s="27" t="s">
        <v>1326</v>
      </c>
      <c r="C172" s="27" t="s">
        <v>1156</v>
      </c>
      <c r="D172" s="27"/>
      <c r="E172" s="27"/>
      <c r="F172" s="27"/>
      <c r="G172" s="27"/>
      <c r="H172" s="27"/>
      <c r="I172" s="27"/>
      <c r="J172" s="27" t="str">
        <f t="shared" si="2"/>
        <v>pending</v>
      </c>
    </row>
    <row r="173" spans="1:10" ht="45" x14ac:dyDescent="0.25">
      <c r="A173" s="27" t="s">
        <v>1030</v>
      </c>
      <c r="B173" s="27" t="s">
        <v>1327</v>
      </c>
      <c r="C173" s="27" t="s">
        <v>1156</v>
      </c>
      <c r="D173" s="27"/>
      <c r="E173" s="27"/>
      <c r="F173" s="27"/>
      <c r="G173" s="27"/>
      <c r="H173" s="27"/>
      <c r="I173" s="27"/>
      <c r="J173" s="27" t="str">
        <f t="shared" si="2"/>
        <v>pending</v>
      </c>
    </row>
    <row r="174" spans="1:10" ht="30" x14ac:dyDescent="0.25">
      <c r="A174" s="27" t="s">
        <v>1031</v>
      </c>
      <c r="B174" s="27" t="s">
        <v>1328</v>
      </c>
      <c r="C174" s="27" t="s">
        <v>1156</v>
      </c>
      <c r="D174" s="27"/>
      <c r="E174" s="27"/>
      <c r="F174" s="27"/>
      <c r="G174" s="27"/>
      <c r="H174" s="27"/>
      <c r="I174" s="27"/>
      <c r="J174" s="27" t="str">
        <f t="shared" si="2"/>
        <v>pending</v>
      </c>
    </row>
    <row r="175" spans="1:10" x14ac:dyDescent="0.25">
      <c r="A175" s="27" t="s">
        <v>1032</v>
      </c>
      <c r="B175" s="27" t="s">
        <v>1329</v>
      </c>
      <c r="C175" s="27" t="s">
        <v>1156</v>
      </c>
      <c r="D175" s="27"/>
      <c r="E175" s="27"/>
      <c r="F175" s="27"/>
      <c r="G175" s="27"/>
      <c r="H175" s="27"/>
      <c r="I175" s="27"/>
      <c r="J175" s="27" t="str">
        <f t="shared" si="2"/>
        <v>pending</v>
      </c>
    </row>
    <row r="176" spans="1:10" x14ac:dyDescent="0.25">
      <c r="A176" s="27" t="s">
        <v>1033</v>
      </c>
      <c r="B176" s="27" t="s">
        <v>1330</v>
      </c>
      <c r="C176" s="27" t="s">
        <v>1156</v>
      </c>
      <c r="D176" s="27"/>
      <c r="E176" s="27"/>
      <c r="F176" s="27"/>
      <c r="G176" s="27"/>
      <c r="H176" s="27"/>
      <c r="I176" s="27"/>
      <c r="J176" s="27" t="str">
        <f t="shared" si="2"/>
        <v>pending</v>
      </c>
    </row>
    <row r="177" spans="1:10" ht="45" x14ac:dyDescent="0.25">
      <c r="A177" s="27" t="s">
        <v>1034</v>
      </c>
      <c r="B177" s="27" t="s">
        <v>1331</v>
      </c>
      <c r="C177" s="27" t="s">
        <v>1156</v>
      </c>
      <c r="D177" s="27"/>
      <c r="E177" s="27"/>
      <c r="F177" s="27"/>
      <c r="G177" s="27"/>
      <c r="H177" s="27"/>
      <c r="I177" s="27"/>
      <c r="J177" s="27" t="str">
        <f t="shared" si="2"/>
        <v>pending</v>
      </c>
    </row>
    <row r="178" spans="1:10" x14ac:dyDescent="0.25">
      <c r="A178" s="27" t="s">
        <v>1035</v>
      </c>
      <c r="B178" s="27" t="s">
        <v>1332</v>
      </c>
      <c r="C178" s="27" t="s">
        <v>1156</v>
      </c>
      <c r="D178" s="27"/>
      <c r="E178" s="27"/>
      <c r="F178" s="27"/>
      <c r="G178" s="27"/>
      <c r="H178" s="27"/>
      <c r="I178" s="27"/>
      <c r="J178" s="27" t="str">
        <f t="shared" si="2"/>
        <v>pending</v>
      </c>
    </row>
    <row r="179" spans="1:10" ht="30" x14ac:dyDescent="0.25">
      <c r="A179" s="27" t="s">
        <v>1036</v>
      </c>
      <c r="B179" s="27" t="s">
        <v>1333</v>
      </c>
      <c r="C179" s="27" t="s">
        <v>1156</v>
      </c>
      <c r="D179" s="27"/>
      <c r="E179" s="27"/>
      <c r="F179" s="27"/>
      <c r="G179" s="27"/>
      <c r="H179" s="27"/>
      <c r="I179" s="27"/>
      <c r="J179" s="27" t="str">
        <f t="shared" si="2"/>
        <v>pending</v>
      </c>
    </row>
    <row r="180" spans="1:10" x14ac:dyDescent="0.25">
      <c r="A180" s="27" t="s">
        <v>1037</v>
      </c>
      <c r="B180" s="27" t="s">
        <v>1334</v>
      </c>
      <c r="C180" s="27" t="s">
        <v>1156</v>
      </c>
      <c r="D180" s="27"/>
      <c r="E180" s="27"/>
      <c r="F180" s="27"/>
      <c r="G180" s="27"/>
      <c r="H180" s="27"/>
      <c r="I180" s="27"/>
      <c r="J180" s="27" t="str">
        <f t="shared" si="2"/>
        <v>pending</v>
      </c>
    </row>
    <row r="181" spans="1:10" ht="30" x14ac:dyDescent="0.25">
      <c r="A181" s="27" t="s">
        <v>1038</v>
      </c>
      <c r="B181" s="27" t="s">
        <v>1335</v>
      </c>
      <c r="C181" s="27" t="s">
        <v>1156</v>
      </c>
      <c r="D181" s="27"/>
      <c r="E181" s="27"/>
      <c r="F181" s="27"/>
      <c r="G181" s="27"/>
      <c r="H181" s="27"/>
      <c r="I181" s="27"/>
      <c r="J181" s="27" t="str">
        <f t="shared" si="2"/>
        <v>pending</v>
      </c>
    </row>
    <row r="182" spans="1:10" x14ac:dyDescent="0.25">
      <c r="A182" s="27" t="s">
        <v>1039</v>
      </c>
      <c r="B182" s="27" t="s">
        <v>1336</v>
      </c>
      <c r="C182" s="27" t="s">
        <v>1156</v>
      </c>
      <c r="D182" s="27"/>
      <c r="E182" s="27"/>
      <c r="F182" s="27"/>
      <c r="G182" s="27"/>
      <c r="H182" s="27"/>
      <c r="I182" s="27"/>
      <c r="J182" s="27" t="str">
        <f t="shared" si="2"/>
        <v>pending</v>
      </c>
    </row>
    <row r="183" spans="1:10" ht="45" x14ac:dyDescent="0.25">
      <c r="A183" s="27" t="s">
        <v>1040</v>
      </c>
      <c r="B183" s="27" t="s">
        <v>1337</v>
      </c>
      <c r="C183" s="27" t="s">
        <v>1156</v>
      </c>
      <c r="D183" s="27"/>
      <c r="E183" s="27"/>
      <c r="F183" s="27"/>
      <c r="G183" s="27"/>
      <c r="H183" s="27"/>
      <c r="I183" s="27"/>
      <c r="J183" s="27" t="str">
        <f t="shared" si="2"/>
        <v>pending</v>
      </c>
    </row>
    <row r="184" spans="1:10" ht="30" x14ac:dyDescent="0.25">
      <c r="A184" s="27" t="s">
        <v>1041</v>
      </c>
      <c r="B184" s="27" t="s">
        <v>1338</v>
      </c>
      <c r="C184" s="27" t="s">
        <v>1156</v>
      </c>
      <c r="D184" s="27"/>
      <c r="E184" s="27"/>
      <c r="F184" s="27"/>
      <c r="G184" s="27"/>
      <c r="H184" s="27"/>
      <c r="I184" s="27"/>
      <c r="J184" s="27" t="str">
        <f t="shared" si="2"/>
        <v>pending</v>
      </c>
    </row>
    <row r="185" spans="1:10" ht="45" x14ac:dyDescent="0.25">
      <c r="A185" s="27" t="s">
        <v>1042</v>
      </c>
      <c r="B185" s="27" t="s">
        <v>1339</v>
      </c>
      <c r="C185" s="27" t="s">
        <v>1156</v>
      </c>
      <c r="D185" s="27"/>
      <c r="E185" s="27"/>
      <c r="F185" s="27"/>
      <c r="G185" s="27"/>
      <c r="H185" s="27"/>
      <c r="I185" s="27"/>
      <c r="J185" s="27" t="str">
        <f t="shared" si="2"/>
        <v>pending</v>
      </c>
    </row>
    <row r="186" spans="1:10" x14ac:dyDescent="0.25">
      <c r="A186" s="27" t="s">
        <v>1043</v>
      </c>
      <c r="B186" s="27" t="s">
        <v>1340</v>
      </c>
      <c r="C186" s="27" t="s">
        <v>1156</v>
      </c>
      <c r="D186" s="27"/>
      <c r="E186" s="27"/>
      <c r="F186" s="27"/>
      <c r="G186" s="27"/>
      <c r="H186" s="27"/>
      <c r="I186" s="27"/>
      <c r="J186" s="27" t="str">
        <f t="shared" si="2"/>
        <v>pending</v>
      </c>
    </row>
    <row r="187" spans="1:10" x14ac:dyDescent="0.25">
      <c r="A187" s="27" t="s">
        <v>1044</v>
      </c>
      <c r="B187" s="27" t="s">
        <v>1341</v>
      </c>
      <c r="C187" s="27" t="s">
        <v>1156</v>
      </c>
      <c r="D187" s="27"/>
      <c r="E187" s="27"/>
      <c r="F187" s="27"/>
      <c r="G187" s="27"/>
      <c r="H187" s="27"/>
      <c r="I187" s="27"/>
      <c r="J187" s="27" t="str">
        <f t="shared" si="2"/>
        <v>pending</v>
      </c>
    </row>
    <row r="188" spans="1:10" x14ac:dyDescent="0.25">
      <c r="A188" s="27" t="s">
        <v>1045</v>
      </c>
      <c r="B188" s="27" t="s">
        <v>1342</v>
      </c>
      <c r="C188" s="27" t="s">
        <v>1156</v>
      </c>
      <c r="D188" s="27"/>
      <c r="E188" s="27"/>
      <c r="F188" s="27"/>
      <c r="G188" s="27"/>
      <c r="H188" s="27"/>
      <c r="I188" s="27"/>
      <c r="J188" s="27" t="str">
        <f t="shared" si="2"/>
        <v>pending</v>
      </c>
    </row>
    <row r="189" spans="1:10" ht="30" x14ac:dyDescent="0.25">
      <c r="A189" s="27" t="s">
        <v>1046</v>
      </c>
      <c r="B189" s="27" t="s">
        <v>1343</v>
      </c>
      <c r="C189" s="27" t="s">
        <v>1156</v>
      </c>
      <c r="D189" s="27"/>
      <c r="E189" s="27"/>
      <c r="F189" s="27"/>
      <c r="G189" s="27"/>
      <c r="H189" s="27"/>
      <c r="I189" s="27"/>
      <c r="J189" s="27" t="str">
        <f t="shared" si="2"/>
        <v>pending</v>
      </c>
    </row>
    <row r="190" spans="1:10" ht="30" x14ac:dyDescent="0.25">
      <c r="A190" s="27" t="s">
        <v>1047</v>
      </c>
      <c r="B190" s="27" t="s">
        <v>1344</v>
      </c>
      <c r="C190" s="27" t="s">
        <v>1156</v>
      </c>
      <c r="D190" s="27"/>
      <c r="E190" s="27"/>
      <c r="F190" s="27"/>
      <c r="G190" s="27"/>
      <c r="H190" s="27"/>
      <c r="I190" s="27"/>
      <c r="J190" s="27" t="str">
        <f t="shared" si="2"/>
        <v>pending</v>
      </c>
    </row>
    <row r="191" spans="1:10" ht="30" x14ac:dyDescent="0.25">
      <c r="A191" s="27" t="s">
        <v>1048</v>
      </c>
      <c r="B191" s="27" t="s">
        <v>1345</v>
      </c>
      <c r="C191" s="27" t="s">
        <v>1156</v>
      </c>
      <c r="D191" s="27"/>
      <c r="E191" s="27"/>
      <c r="F191" s="27"/>
      <c r="G191" s="27"/>
      <c r="H191" s="27"/>
      <c r="I191" s="27"/>
      <c r="J191" s="27" t="str">
        <f t="shared" si="2"/>
        <v>pending</v>
      </c>
    </row>
    <row r="192" spans="1:10" x14ac:dyDescent="0.25">
      <c r="A192" s="27" t="s">
        <v>1049</v>
      </c>
      <c r="B192" s="27" t="s">
        <v>1346</v>
      </c>
      <c r="C192" s="27" t="s">
        <v>1156</v>
      </c>
      <c r="D192" s="27"/>
      <c r="E192" s="27"/>
      <c r="F192" s="27"/>
      <c r="G192" s="27"/>
      <c r="H192" s="27"/>
      <c r="I192" s="27"/>
      <c r="J192" s="27" t="str">
        <f t="shared" si="2"/>
        <v>pending</v>
      </c>
    </row>
    <row r="193" spans="1:10" x14ac:dyDescent="0.25">
      <c r="A193" s="27" t="s">
        <v>1050</v>
      </c>
      <c r="B193" s="27" t="s">
        <v>1347</v>
      </c>
      <c r="C193" s="27" t="s">
        <v>1156</v>
      </c>
      <c r="D193" s="27"/>
      <c r="E193" s="27"/>
      <c r="F193" s="27"/>
      <c r="G193" s="27"/>
      <c r="H193" s="27"/>
      <c r="I193" s="27"/>
      <c r="J193" s="27" t="str">
        <f t="shared" si="2"/>
        <v>pending</v>
      </c>
    </row>
    <row r="194" spans="1:10" x14ac:dyDescent="0.25">
      <c r="A194" s="27" t="s">
        <v>1051</v>
      </c>
      <c r="B194" s="27" t="s">
        <v>1348</v>
      </c>
      <c r="C194" s="27" t="s">
        <v>1156</v>
      </c>
      <c r="D194" s="27"/>
      <c r="E194" s="27"/>
      <c r="F194" s="27"/>
      <c r="G194" s="27"/>
      <c r="H194" s="27"/>
      <c r="I194" s="27"/>
      <c r="J194" s="27" t="str">
        <f t="shared" si="2"/>
        <v>pending</v>
      </c>
    </row>
    <row r="195" spans="1:10" ht="30" x14ac:dyDescent="0.25">
      <c r="A195" s="27" t="s">
        <v>1052</v>
      </c>
      <c r="B195" s="27" t="s">
        <v>1349</v>
      </c>
      <c r="C195" s="27" t="s">
        <v>1156</v>
      </c>
      <c r="D195" s="27"/>
      <c r="E195" s="27"/>
      <c r="F195" s="27"/>
      <c r="G195" s="27"/>
      <c r="H195" s="27"/>
      <c r="I195" s="27"/>
      <c r="J195" s="27" t="str">
        <f t="shared" ref="J195:J258" si="3">IF(C195&lt;&gt;"-","done","pending")</f>
        <v>pending</v>
      </c>
    </row>
    <row r="196" spans="1:10" ht="30" x14ac:dyDescent="0.25">
      <c r="A196" s="27" t="s">
        <v>1053</v>
      </c>
      <c r="B196" s="27" t="s">
        <v>1350</v>
      </c>
      <c r="C196" s="27" t="s">
        <v>1156</v>
      </c>
      <c r="D196" s="27"/>
      <c r="E196" s="27"/>
      <c r="F196" s="27"/>
      <c r="G196" s="27"/>
      <c r="H196" s="27"/>
      <c r="I196" s="27"/>
      <c r="J196" s="27" t="str">
        <f t="shared" si="3"/>
        <v>pending</v>
      </c>
    </row>
    <row r="197" spans="1:10" x14ac:dyDescent="0.25">
      <c r="A197" s="27" t="s">
        <v>1054</v>
      </c>
      <c r="B197" s="27" t="s">
        <v>1351</v>
      </c>
      <c r="C197" s="27" t="s">
        <v>1156</v>
      </c>
      <c r="D197" s="27"/>
      <c r="E197" s="27"/>
      <c r="F197" s="27"/>
      <c r="G197" s="27"/>
      <c r="H197" s="27"/>
      <c r="I197" s="27"/>
      <c r="J197" s="27" t="str">
        <f t="shared" si="3"/>
        <v>pending</v>
      </c>
    </row>
    <row r="198" spans="1:10" ht="30" x14ac:dyDescent="0.25">
      <c r="A198" s="27" t="s">
        <v>1055</v>
      </c>
      <c r="B198" s="27" t="s">
        <v>1352</v>
      </c>
      <c r="C198" s="27" t="s">
        <v>1156</v>
      </c>
      <c r="D198" s="27"/>
      <c r="E198" s="27"/>
      <c r="F198" s="27"/>
      <c r="G198" s="27"/>
      <c r="H198" s="27"/>
      <c r="I198" s="27"/>
      <c r="J198" s="27" t="str">
        <f t="shared" si="3"/>
        <v>pending</v>
      </c>
    </row>
    <row r="199" spans="1:10" ht="30" x14ac:dyDescent="0.25">
      <c r="A199" s="27" t="s">
        <v>1056</v>
      </c>
      <c r="B199" s="27" t="s">
        <v>1353</v>
      </c>
      <c r="C199" s="27" t="s">
        <v>1156</v>
      </c>
      <c r="D199" s="27"/>
      <c r="E199" s="27"/>
      <c r="F199" s="27"/>
      <c r="G199" s="27"/>
      <c r="H199" s="27"/>
      <c r="I199" s="27"/>
      <c r="J199" s="27" t="str">
        <f t="shared" si="3"/>
        <v>pending</v>
      </c>
    </row>
    <row r="200" spans="1:10" ht="30" x14ac:dyDescent="0.25">
      <c r="A200" s="27" t="s">
        <v>1057</v>
      </c>
      <c r="B200" s="27" t="s">
        <v>1354</v>
      </c>
      <c r="C200" s="27" t="s">
        <v>1156</v>
      </c>
      <c r="D200" s="27"/>
      <c r="E200" s="27"/>
      <c r="F200" s="27"/>
      <c r="G200" s="27"/>
      <c r="H200" s="27"/>
      <c r="I200" s="27"/>
      <c r="J200" s="27" t="str">
        <f t="shared" si="3"/>
        <v>pending</v>
      </c>
    </row>
    <row r="201" spans="1:10" ht="30" x14ac:dyDescent="0.25">
      <c r="A201" s="27" t="s">
        <v>1058</v>
      </c>
      <c r="B201" s="27" t="s">
        <v>1355</v>
      </c>
      <c r="C201" s="27" t="s">
        <v>1156</v>
      </c>
      <c r="D201" s="27"/>
      <c r="E201" s="27"/>
      <c r="F201" s="27"/>
      <c r="G201" s="27"/>
      <c r="H201" s="27"/>
      <c r="I201" s="27"/>
      <c r="J201" s="27" t="str">
        <f t="shared" si="3"/>
        <v>pending</v>
      </c>
    </row>
    <row r="202" spans="1:10" x14ac:dyDescent="0.25">
      <c r="A202" s="27" t="s">
        <v>1059</v>
      </c>
      <c r="B202" s="27" t="s">
        <v>1356</v>
      </c>
      <c r="C202" s="27" t="s">
        <v>1156</v>
      </c>
      <c r="D202" s="27"/>
      <c r="E202" s="27"/>
      <c r="F202" s="27"/>
      <c r="G202" s="27"/>
      <c r="H202" s="27"/>
      <c r="I202" s="27"/>
      <c r="J202" s="27" t="str">
        <f t="shared" si="3"/>
        <v>pending</v>
      </c>
    </row>
    <row r="203" spans="1:10" ht="30" x14ac:dyDescent="0.25">
      <c r="A203" s="27" t="s">
        <v>1060</v>
      </c>
      <c r="B203" s="27" t="s">
        <v>1357</v>
      </c>
      <c r="C203" s="27" t="s">
        <v>1156</v>
      </c>
      <c r="D203" s="27"/>
      <c r="E203" s="27"/>
      <c r="F203" s="27"/>
      <c r="G203" s="27"/>
      <c r="H203" s="27"/>
      <c r="I203" s="27"/>
      <c r="J203" s="27" t="str">
        <f t="shared" si="3"/>
        <v>pending</v>
      </c>
    </row>
    <row r="204" spans="1:10" x14ac:dyDescent="0.25">
      <c r="A204" s="27" t="s">
        <v>1061</v>
      </c>
      <c r="B204" s="27" t="s">
        <v>1358</v>
      </c>
      <c r="C204" s="27" t="s">
        <v>1156</v>
      </c>
      <c r="D204" s="27"/>
      <c r="E204" s="27"/>
      <c r="F204" s="27"/>
      <c r="G204" s="27"/>
      <c r="H204" s="27"/>
      <c r="I204" s="27"/>
      <c r="J204" s="27" t="str">
        <f t="shared" si="3"/>
        <v>pending</v>
      </c>
    </row>
    <row r="205" spans="1:10" x14ac:dyDescent="0.25">
      <c r="A205" s="27" t="s">
        <v>1062</v>
      </c>
      <c r="B205" s="27" t="s">
        <v>1359</v>
      </c>
      <c r="C205" s="27" t="s">
        <v>1156</v>
      </c>
      <c r="D205" s="27"/>
      <c r="E205" s="27"/>
      <c r="F205" s="27"/>
      <c r="G205" s="27"/>
      <c r="H205" s="27"/>
      <c r="I205" s="27"/>
      <c r="J205" s="27" t="str">
        <f t="shared" si="3"/>
        <v>pending</v>
      </c>
    </row>
    <row r="206" spans="1:10" ht="30" x14ac:dyDescent="0.25">
      <c r="A206" s="27" t="s">
        <v>1063</v>
      </c>
      <c r="B206" s="27" t="s">
        <v>1360</v>
      </c>
      <c r="C206" s="27" t="s">
        <v>1156</v>
      </c>
      <c r="D206" s="27"/>
      <c r="E206" s="27"/>
      <c r="F206" s="27"/>
      <c r="G206" s="27"/>
      <c r="H206" s="27"/>
      <c r="I206" s="27"/>
      <c r="J206" s="27" t="str">
        <f t="shared" si="3"/>
        <v>pending</v>
      </c>
    </row>
    <row r="207" spans="1:10" x14ac:dyDescent="0.25">
      <c r="A207" s="27" t="s">
        <v>1064</v>
      </c>
      <c r="B207" s="27" t="s">
        <v>1361</v>
      </c>
      <c r="C207" s="27" t="s">
        <v>1156</v>
      </c>
      <c r="D207" s="27"/>
      <c r="E207" s="27"/>
      <c r="F207" s="27"/>
      <c r="G207" s="27"/>
      <c r="H207" s="27"/>
      <c r="I207" s="27"/>
      <c r="J207" s="27" t="str">
        <f t="shared" si="3"/>
        <v>pending</v>
      </c>
    </row>
    <row r="208" spans="1:10" ht="45" x14ac:dyDescent="0.25">
      <c r="A208" s="27" t="s">
        <v>1065</v>
      </c>
      <c r="B208" s="27" t="s">
        <v>1362</v>
      </c>
      <c r="C208" s="27" t="s">
        <v>1156</v>
      </c>
      <c r="D208" s="27"/>
      <c r="E208" s="27"/>
      <c r="F208" s="27"/>
      <c r="G208" s="27"/>
      <c r="H208" s="27"/>
      <c r="I208" s="27"/>
      <c r="J208" s="27" t="str">
        <f t="shared" si="3"/>
        <v>pending</v>
      </c>
    </row>
    <row r="209" spans="1:10" ht="30" x14ac:dyDescent="0.25">
      <c r="A209" s="27" t="s">
        <v>1066</v>
      </c>
      <c r="B209" s="27" t="s">
        <v>1363</v>
      </c>
      <c r="C209" s="27" t="s">
        <v>1156</v>
      </c>
      <c r="D209" s="27"/>
      <c r="E209" s="27"/>
      <c r="F209" s="27"/>
      <c r="G209" s="27"/>
      <c r="H209" s="27"/>
      <c r="I209" s="27"/>
      <c r="J209" s="27" t="str">
        <f t="shared" si="3"/>
        <v>pending</v>
      </c>
    </row>
    <row r="210" spans="1:10" x14ac:dyDescent="0.25">
      <c r="A210" s="27" t="s">
        <v>1067</v>
      </c>
      <c r="B210" s="27" t="s">
        <v>1364</v>
      </c>
      <c r="C210" s="27" t="s">
        <v>1156</v>
      </c>
      <c r="D210" s="27"/>
      <c r="E210" s="27"/>
      <c r="F210" s="27"/>
      <c r="G210" s="27"/>
      <c r="H210" s="27"/>
      <c r="I210" s="27"/>
      <c r="J210" s="27" t="str">
        <f t="shared" si="3"/>
        <v>pending</v>
      </c>
    </row>
    <row r="211" spans="1:10" ht="45" x14ac:dyDescent="0.25">
      <c r="A211" s="27" t="s">
        <v>1068</v>
      </c>
      <c r="B211" s="27" t="s">
        <v>1365</v>
      </c>
      <c r="C211" s="27" t="s">
        <v>1156</v>
      </c>
      <c r="D211" s="27"/>
      <c r="E211" s="27"/>
      <c r="F211" s="27"/>
      <c r="G211" s="27"/>
      <c r="H211" s="27"/>
      <c r="I211" s="27"/>
      <c r="J211" s="27" t="str">
        <f t="shared" si="3"/>
        <v>pending</v>
      </c>
    </row>
    <row r="212" spans="1:10" x14ac:dyDescent="0.25">
      <c r="A212" s="27" t="s">
        <v>1069</v>
      </c>
      <c r="B212" s="27" t="s">
        <v>1366</v>
      </c>
      <c r="C212" s="27" t="s">
        <v>1156</v>
      </c>
      <c r="D212" s="27"/>
      <c r="E212" s="27"/>
      <c r="F212" s="27"/>
      <c r="G212" s="27"/>
      <c r="H212" s="27"/>
      <c r="I212" s="27"/>
      <c r="J212" s="27" t="str">
        <f t="shared" si="3"/>
        <v>pending</v>
      </c>
    </row>
    <row r="213" spans="1:10" x14ac:dyDescent="0.25">
      <c r="A213" s="27" t="s">
        <v>1070</v>
      </c>
      <c r="B213" s="27" t="s">
        <v>1367</v>
      </c>
      <c r="C213" s="27" t="s">
        <v>1156</v>
      </c>
      <c r="D213" s="27"/>
      <c r="E213" s="27"/>
      <c r="F213" s="27"/>
      <c r="G213" s="27"/>
      <c r="H213" s="27"/>
      <c r="I213" s="27"/>
      <c r="J213" s="27" t="str">
        <f t="shared" si="3"/>
        <v>pending</v>
      </c>
    </row>
    <row r="214" spans="1:10" x14ac:dyDescent="0.25">
      <c r="A214" s="27" t="s">
        <v>1071</v>
      </c>
      <c r="B214" s="27" t="s">
        <v>1368</v>
      </c>
      <c r="C214" s="27" t="s">
        <v>1156</v>
      </c>
      <c r="D214" s="27"/>
      <c r="E214" s="27"/>
      <c r="F214" s="27"/>
      <c r="G214" s="27"/>
      <c r="H214" s="27"/>
      <c r="I214" s="27"/>
      <c r="J214" s="27" t="str">
        <f t="shared" si="3"/>
        <v>pending</v>
      </c>
    </row>
    <row r="215" spans="1:10" ht="30" x14ac:dyDescent="0.25">
      <c r="A215" s="27" t="s">
        <v>1072</v>
      </c>
      <c r="B215" s="27" t="s">
        <v>1369</v>
      </c>
      <c r="C215" s="27" t="s">
        <v>1156</v>
      </c>
      <c r="D215" s="27"/>
      <c r="E215" s="27"/>
      <c r="F215" s="27"/>
      <c r="G215" s="27"/>
      <c r="H215" s="27"/>
      <c r="I215" s="27"/>
      <c r="J215" s="27" t="str">
        <f t="shared" si="3"/>
        <v>pending</v>
      </c>
    </row>
    <row r="216" spans="1:10" ht="30" x14ac:dyDescent="0.25">
      <c r="A216" s="27" t="s">
        <v>1073</v>
      </c>
      <c r="B216" s="27" t="s">
        <v>1370</v>
      </c>
      <c r="C216" s="27" t="s">
        <v>1156</v>
      </c>
      <c r="D216" s="27"/>
      <c r="E216" s="27"/>
      <c r="F216" s="27"/>
      <c r="G216" s="27"/>
      <c r="H216" s="27"/>
      <c r="I216" s="27"/>
      <c r="J216" s="27" t="str">
        <f t="shared" si="3"/>
        <v>pending</v>
      </c>
    </row>
    <row r="217" spans="1:10" x14ac:dyDescent="0.25">
      <c r="A217" s="27" t="s">
        <v>1074</v>
      </c>
      <c r="B217" s="27" t="s">
        <v>1371</v>
      </c>
      <c r="C217" s="27" t="s">
        <v>1156</v>
      </c>
      <c r="D217" s="27"/>
      <c r="E217" s="27"/>
      <c r="F217" s="27"/>
      <c r="G217" s="27"/>
      <c r="H217" s="27"/>
      <c r="I217" s="27"/>
      <c r="J217" s="27" t="str">
        <f t="shared" si="3"/>
        <v>pending</v>
      </c>
    </row>
    <row r="218" spans="1:10" ht="30" x14ac:dyDescent="0.25">
      <c r="A218" s="27" t="s">
        <v>1075</v>
      </c>
      <c r="B218" s="27" t="s">
        <v>1372</v>
      </c>
      <c r="C218" s="27" t="s">
        <v>1156</v>
      </c>
      <c r="D218" s="27"/>
      <c r="E218" s="27"/>
      <c r="F218" s="27"/>
      <c r="G218" s="27"/>
      <c r="H218" s="27"/>
      <c r="I218" s="27"/>
      <c r="J218" s="27" t="str">
        <f t="shared" si="3"/>
        <v>pending</v>
      </c>
    </row>
    <row r="219" spans="1:10" x14ac:dyDescent="0.25">
      <c r="A219" s="27" t="s">
        <v>1076</v>
      </c>
      <c r="B219" s="27" t="s">
        <v>1373</v>
      </c>
      <c r="C219" s="27" t="s">
        <v>1156</v>
      </c>
      <c r="D219" s="27"/>
      <c r="E219" s="27"/>
      <c r="F219" s="27"/>
      <c r="G219" s="27"/>
      <c r="H219" s="27"/>
      <c r="I219" s="27"/>
      <c r="J219" s="27" t="str">
        <f t="shared" si="3"/>
        <v>pending</v>
      </c>
    </row>
    <row r="220" spans="1:10" ht="30" x14ac:dyDescent="0.25">
      <c r="A220" s="27" t="s">
        <v>1077</v>
      </c>
      <c r="B220" s="27" t="s">
        <v>1374</v>
      </c>
      <c r="C220" s="27" t="s">
        <v>1156</v>
      </c>
      <c r="D220" s="27"/>
      <c r="E220" s="27"/>
      <c r="F220" s="27"/>
      <c r="G220" s="27"/>
      <c r="H220" s="27"/>
      <c r="I220" s="27"/>
      <c r="J220" s="27" t="str">
        <f t="shared" si="3"/>
        <v>pending</v>
      </c>
    </row>
    <row r="221" spans="1:10" x14ac:dyDescent="0.25">
      <c r="A221" s="27" t="s">
        <v>1078</v>
      </c>
      <c r="B221" s="27" t="s">
        <v>1375</v>
      </c>
      <c r="C221" s="27" t="s">
        <v>1156</v>
      </c>
      <c r="D221" s="27"/>
      <c r="E221" s="27"/>
      <c r="F221" s="27"/>
      <c r="G221" s="27"/>
      <c r="H221" s="27"/>
      <c r="I221" s="27"/>
      <c r="J221" s="27" t="str">
        <f t="shared" si="3"/>
        <v>pending</v>
      </c>
    </row>
    <row r="222" spans="1:10" ht="30" x14ac:dyDescent="0.25">
      <c r="A222" s="27" t="s">
        <v>1079</v>
      </c>
      <c r="B222" s="27" t="s">
        <v>1376</v>
      </c>
      <c r="C222" s="27" t="s">
        <v>1156</v>
      </c>
      <c r="D222" s="27"/>
      <c r="E222" s="27"/>
      <c r="F222" s="27"/>
      <c r="G222" s="27"/>
      <c r="H222" s="27"/>
      <c r="I222" s="27"/>
      <c r="J222" s="27" t="str">
        <f t="shared" si="3"/>
        <v>pending</v>
      </c>
    </row>
    <row r="223" spans="1:10" ht="30" x14ac:dyDescent="0.25">
      <c r="A223" s="27" t="s">
        <v>1080</v>
      </c>
      <c r="B223" s="27" t="s">
        <v>1377</v>
      </c>
      <c r="C223" s="27" t="s">
        <v>1156</v>
      </c>
      <c r="D223" s="27"/>
      <c r="E223" s="27"/>
      <c r="F223" s="27"/>
      <c r="G223" s="27"/>
      <c r="H223" s="27"/>
      <c r="I223" s="27"/>
      <c r="J223" s="27" t="str">
        <f t="shared" si="3"/>
        <v>pending</v>
      </c>
    </row>
    <row r="224" spans="1:10" ht="30" x14ac:dyDescent="0.25">
      <c r="A224" s="27" t="s">
        <v>1081</v>
      </c>
      <c r="B224" s="27" t="s">
        <v>1378</v>
      </c>
      <c r="C224" s="27" t="s">
        <v>1156</v>
      </c>
      <c r="D224" s="27"/>
      <c r="E224" s="27"/>
      <c r="F224" s="27"/>
      <c r="G224" s="27"/>
      <c r="H224" s="27"/>
      <c r="I224" s="27"/>
      <c r="J224" s="27" t="str">
        <f t="shared" si="3"/>
        <v>pending</v>
      </c>
    </row>
    <row r="225" spans="1:10" x14ac:dyDescent="0.25">
      <c r="A225" s="27" t="s">
        <v>1082</v>
      </c>
      <c r="B225" s="27" t="s">
        <v>1379</v>
      </c>
      <c r="C225" s="27" t="s">
        <v>1156</v>
      </c>
      <c r="D225" s="27"/>
      <c r="E225" s="27"/>
      <c r="F225" s="27"/>
      <c r="G225" s="27"/>
      <c r="H225" s="27"/>
      <c r="I225" s="27"/>
      <c r="J225" s="27" t="str">
        <f t="shared" si="3"/>
        <v>pending</v>
      </c>
    </row>
    <row r="226" spans="1:10" x14ac:dyDescent="0.25">
      <c r="A226" s="27" t="s">
        <v>1083</v>
      </c>
      <c r="B226" s="27" t="s">
        <v>1380</v>
      </c>
      <c r="C226" s="27" t="s">
        <v>1156</v>
      </c>
      <c r="D226" s="27"/>
      <c r="E226" s="27"/>
      <c r="F226" s="27"/>
      <c r="G226" s="27"/>
      <c r="H226" s="27"/>
      <c r="I226" s="27"/>
      <c r="J226" s="27" t="str">
        <f t="shared" si="3"/>
        <v>pending</v>
      </c>
    </row>
    <row r="227" spans="1:10" x14ac:dyDescent="0.25">
      <c r="A227" s="27" t="s">
        <v>1084</v>
      </c>
      <c r="B227" s="27" t="s">
        <v>1381</v>
      </c>
      <c r="C227" s="27" t="s">
        <v>1156</v>
      </c>
      <c r="D227" s="27"/>
      <c r="E227" s="27"/>
      <c r="F227" s="27"/>
      <c r="G227" s="27"/>
      <c r="H227" s="27"/>
      <c r="I227" s="27"/>
      <c r="J227" s="27" t="str">
        <f t="shared" si="3"/>
        <v>pending</v>
      </c>
    </row>
    <row r="228" spans="1:10" ht="30" x14ac:dyDescent="0.25">
      <c r="A228" s="27" t="s">
        <v>1085</v>
      </c>
      <c r="B228" s="27" t="s">
        <v>1382</v>
      </c>
      <c r="C228" s="27" t="s">
        <v>1156</v>
      </c>
      <c r="D228" s="27"/>
      <c r="E228" s="27"/>
      <c r="F228" s="27"/>
      <c r="G228" s="27"/>
      <c r="H228" s="27"/>
      <c r="I228" s="27"/>
      <c r="J228" s="27" t="str">
        <f t="shared" si="3"/>
        <v>pending</v>
      </c>
    </row>
    <row r="229" spans="1:10" ht="30" x14ac:dyDescent="0.25">
      <c r="A229" s="27" t="s">
        <v>1086</v>
      </c>
      <c r="B229" s="27" t="s">
        <v>1383</v>
      </c>
      <c r="C229" s="27" t="s">
        <v>1156</v>
      </c>
      <c r="D229" s="27"/>
      <c r="E229" s="27"/>
      <c r="F229" s="27"/>
      <c r="G229" s="27"/>
      <c r="H229" s="27"/>
      <c r="I229" s="27"/>
      <c r="J229" s="27" t="str">
        <f t="shared" si="3"/>
        <v>pending</v>
      </c>
    </row>
    <row r="230" spans="1:10" ht="30" x14ac:dyDescent="0.25">
      <c r="A230" s="27" t="s">
        <v>1087</v>
      </c>
      <c r="B230" s="27" t="s">
        <v>1384</v>
      </c>
      <c r="C230" s="27" t="s">
        <v>1156</v>
      </c>
      <c r="D230" s="27"/>
      <c r="E230" s="27"/>
      <c r="F230" s="27"/>
      <c r="G230" s="27"/>
      <c r="H230" s="27"/>
      <c r="I230" s="27"/>
      <c r="J230" s="27" t="str">
        <f t="shared" si="3"/>
        <v>pending</v>
      </c>
    </row>
    <row r="231" spans="1:10" ht="45" x14ac:dyDescent="0.25">
      <c r="A231" s="27" t="s">
        <v>1088</v>
      </c>
      <c r="B231" s="27" t="s">
        <v>1385</v>
      </c>
      <c r="C231" s="27" t="s">
        <v>1156</v>
      </c>
      <c r="D231" s="27"/>
      <c r="E231" s="27"/>
      <c r="F231" s="27"/>
      <c r="G231" s="27"/>
      <c r="H231" s="27"/>
      <c r="I231" s="27"/>
      <c r="J231" s="27" t="str">
        <f t="shared" si="3"/>
        <v>pending</v>
      </c>
    </row>
    <row r="232" spans="1:10" ht="45" x14ac:dyDescent="0.25">
      <c r="A232" s="27" t="s">
        <v>1089</v>
      </c>
      <c r="B232" s="27" t="s">
        <v>1386</v>
      </c>
      <c r="C232" s="27" t="s">
        <v>1156</v>
      </c>
      <c r="D232" s="27"/>
      <c r="E232" s="27"/>
      <c r="F232" s="27"/>
      <c r="G232" s="27"/>
      <c r="H232" s="27"/>
      <c r="I232" s="27"/>
      <c r="J232" s="27" t="str">
        <f t="shared" si="3"/>
        <v>pending</v>
      </c>
    </row>
    <row r="233" spans="1:10" ht="30" x14ac:dyDescent="0.25">
      <c r="A233" s="27" t="s">
        <v>1090</v>
      </c>
      <c r="B233" s="27" t="s">
        <v>1387</v>
      </c>
      <c r="C233" s="27" t="s">
        <v>1156</v>
      </c>
      <c r="D233" s="27"/>
      <c r="E233" s="27"/>
      <c r="F233" s="27"/>
      <c r="G233" s="27"/>
      <c r="H233" s="27"/>
      <c r="I233" s="27"/>
      <c r="J233" s="27" t="str">
        <f t="shared" si="3"/>
        <v>pending</v>
      </c>
    </row>
    <row r="234" spans="1:10" x14ac:dyDescent="0.25">
      <c r="A234" s="27" t="s">
        <v>1091</v>
      </c>
      <c r="B234" s="27" t="s">
        <v>1388</v>
      </c>
      <c r="C234" s="27" t="s">
        <v>1156</v>
      </c>
      <c r="D234" s="27"/>
      <c r="E234" s="27"/>
      <c r="F234" s="27"/>
      <c r="G234" s="27"/>
      <c r="H234" s="27"/>
      <c r="I234" s="27"/>
      <c r="J234" s="27" t="str">
        <f t="shared" si="3"/>
        <v>pending</v>
      </c>
    </row>
    <row r="235" spans="1:10" ht="30" x14ac:dyDescent="0.25">
      <c r="A235" s="27" t="s">
        <v>1092</v>
      </c>
      <c r="B235" s="27" t="s">
        <v>1389</v>
      </c>
      <c r="C235" s="27" t="s">
        <v>1156</v>
      </c>
      <c r="D235" s="27"/>
      <c r="E235" s="27"/>
      <c r="F235" s="27"/>
      <c r="G235" s="27"/>
      <c r="H235" s="27"/>
      <c r="I235" s="27"/>
      <c r="J235" s="27" t="str">
        <f t="shared" si="3"/>
        <v>pending</v>
      </c>
    </row>
    <row r="236" spans="1:10" ht="30" x14ac:dyDescent="0.25">
      <c r="A236" s="27" t="s">
        <v>1093</v>
      </c>
      <c r="B236" s="27" t="s">
        <v>1390</v>
      </c>
      <c r="C236" s="27" t="s">
        <v>1156</v>
      </c>
      <c r="D236" s="27"/>
      <c r="E236" s="27"/>
      <c r="F236" s="27"/>
      <c r="G236" s="27"/>
      <c r="H236" s="27"/>
      <c r="I236" s="27"/>
      <c r="J236" s="27" t="str">
        <f t="shared" si="3"/>
        <v>pending</v>
      </c>
    </row>
    <row r="237" spans="1:10" x14ac:dyDescent="0.25">
      <c r="A237" s="27" t="s">
        <v>1094</v>
      </c>
      <c r="B237" s="27" t="s">
        <v>1391</v>
      </c>
      <c r="C237" s="27" t="s">
        <v>1156</v>
      </c>
      <c r="D237" s="27"/>
      <c r="E237" s="27"/>
      <c r="F237" s="27"/>
      <c r="G237" s="27"/>
      <c r="H237" s="27"/>
      <c r="I237" s="27"/>
      <c r="J237" s="27" t="str">
        <f t="shared" si="3"/>
        <v>pending</v>
      </c>
    </row>
    <row r="238" spans="1:10" ht="30" x14ac:dyDescent="0.25">
      <c r="A238" s="27" t="s">
        <v>1095</v>
      </c>
      <c r="B238" s="27" t="s">
        <v>1392</v>
      </c>
      <c r="C238" s="27" t="s">
        <v>1156</v>
      </c>
      <c r="D238" s="27"/>
      <c r="E238" s="27"/>
      <c r="F238" s="27"/>
      <c r="G238" s="27"/>
      <c r="H238" s="27"/>
      <c r="I238" s="27"/>
      <c r="J238" s="27" t="str">
        <f t="shared" si="3"/>
        <v>pending</v>
      </c>
    </row>
    <row r="239" spans="1:10" ht="30" x14ac:dyDescent="0.25">
      <c r="A239" s="27" t="s">
        <v>1096</v>
      </c>
      <c r="B239" s="27" t="s">
        <v>1393</v>
      </c>
      <c r="C239" s="27" t="s">
        <v>1156</v>
      </c>
      <c r="D239" s="27"/>
      <c r="E239" s="27"/>
      <c r="F239" s="27"/>
      <c r="G239" s="27"/>
      <c r="H239" s="27"/>
      <c r="I239" s="27"/>
      <c r="J239" s="27" t="str">
        <f t="shared" si="3"/>
        <v>pending</v>
      </c>
    </row>
    <row r="240" spans="1:10" x14ac:dyDescent="0.25">
      <c r="A240" s="27" t="s">
        <v>1097</v>
      </c>
      <c r="B240" s="27" t="s">
        <v>1394</v>
      </c>
      <c r="C240" s="27" t="s">
        <v>1156</v>
      </c>
      <c r="D240" s="27"/>
      <c r="E240" s="27"/>
      <c r="F240" s="27"/>
      <c r="G240" s="27"/>
      <c r="H240" s="27"/>
      <c r="I240" s="27"/>
      <c r="J240" s="27" t="str">
        <f t="shared" si="3"/>
        <v>pending</v>
      </c>
    </row>
    <row r="241" spans="1:10" ht="30" x14ac:dyDescent="0.25">
      <c r="A241" s="27" t="s">
        <v>1098</v>
      </c>
      <c r="B241" s="27" t="s">
        <v>1395</v>
      </c>
      <c r="C241" s="27" t="s">
        <v>1156</v>
      </c>
      <c r="D241" s="27"/>
      <c r="E241" s="27"/>
      <c r="F241" s="27"/>
      <c r="G241" s="27"/>
      <c r="H241" s="27"/>
      <c r="I241" s="27"/>
      <c r="J241" s="27" t="str">
        <f t="shared" si="3"/>
        <v>pending</v>
      </c>
    </row>
    <row r="242" spans="1:10" x14ac:dyDescent="0.25">
      <c r="A242" s="27" t="s">
        <v>1099</v>
      </c>
      <c r="B242" s="27" t="s">
        <v>1396</v>
      </c>
      <c r="C242" s="27" t="s">
        <v>1156</v>
      </c>
      <c r="D242" s="27"/>
      <c r="E242" s="27"/>
      <c r="F242" s="27"/>
      <c r="G242" s="27"/>
      <c r="H242" s="27"/>
      <c r="I242" s="27"/>
      <c r="J242" s="27" t="str">
        <f t="shared" si="3"/>
        <v>pending</v>
      </c>
    </row>
    <row r="243" spans="1:10" ht="45" x14ac:dyDescent="0.25">
      <c r="A243" s="27" t="s">
        <v>1100</v>
      </c>
      <c r="B243" s="27" t="s">
        <v>1397</v>
      </c>
      <c r="C243" s="27" t="s">
        <v>1156</v>
      </c>
      <c r="D243" s="27"/>
      <c r="E243" s="27"/>
      <c r="F243" s="27"/>
      <c r="G243" s="27"/>
      <c r="H243" s="27"/>
      <c r="I243" s="27"/>
      <c r="J243" s="27" t="str">
        <f t="shared" si="3"/>
        <v>pending</v>
      </c>
    </row>
    <row r="244" spans="1:10" ht="30" x14ac:dyDescent="0.25">
      <c r="A244" s="27" t="s">
        <v>1101</v>
      </c>
      <c r="B244" s="27" t="s">
        <v>1398</v>
      </c>
      <c r="C244" s="27" t="s">
        <v>1156</v>
      </c>
      <c r="D244" s="27"/>
      <c r="E244" s="27"/>
      <c r="F244" s="27"/>
      <c r="G244" s="27"/>
      <c r="H244" s="27"/>
      <c r="I244" s="27"/>
      <c r="J244" s="27" t="str">
        <f t="shared" si="3"/>
        <v>pending</v>
      </c>
    </row>
    <row r="245" spans="1:10" x14ac:dyDescent="0.25">
      <c r="A245" s="27" t="s">
        <v>1102</v>
      </c>
      <c r="B245" s="27" t="s">
        <v>1399</v>
      </c>
      <c r="C245" s="27" t="s">
        <v>1156</v>
      </c>
      <c r="D245" s="27"/>
      <c r="E245" s="27"/>
      <c r="F245" s="27"/>
      <c r="G245" s="27"/>
      <c r="H245" s="27"/>
      <c r="I245" s="27"/>
      <c r="J245" s="27" t="str">
        <f t="shared" si="3"/>
        <v>pending</v>
      </c>
    </row>
    <row r="246" spans="1:10" x14ac:dyDescent="0.25">
      <c r="A246" s="27" t="s">
        <v>1103</v>
      </c>
      <c r="B246" s="27" t="s">
        <v>196</v>
      </c>
      <c r="C246" s="27" t="s">
        <v>1156</v>
      </c>
      <c r="D246" s="27"/>
      <c r="E246" s="27"/>
      <c r="F246" s="27"/>
      <c r="G246" s="27"/>
      <c r="H246" s="27"/>
      <c r="I246" s="27"/>
      <c r="J246" s="27" t="str">
        <f t="shared" si="3"/>
        <v>pending</v>
      </c>
    </row>
    <row r="247" spans="1:10" x14ac:dyDescent="0.25">
      <c r="A247" s="27" t="s">
        <v>1104</v>
      </c>
      <c r="B247" s="27" t="s">
        <v>1400</v>
      </c>
      <c r="C247" s="27" t="s">
        <v>1156</v>
      </c>
      <c r="D247" s="27"/>
      <c r="E247" s="27"/>
      <c r="F247" s="27"/>
      <c r="G247" s="27"/>
      <c r="H247" s="27"/>
      <c r="I247" s="27"/>
      <c r="J247" s="27" t="str">
        <f t="shared" si="3"/>
        <v>pending</v>
      </c>
    </row>
    <row r="248" spans="1:10" ht="30" x14ac:dyDescent="0.25">
      <c r="A248" s="27" t="s">
        <v>1105</v>
      </c>
      <c r="B248" s="27" t="s">
        <v>1401</v>
      </c>
      <c r="C248" s="27" t="s">
        <v>1156</v>
      </c>
      <c r="D248" s="27"/>
      <c r="E248" s="27"/>
      <c r="F248" s="27"/>
      <c r="G248" s="27"/>
      <c r="H248" s="27"/>
      <c r="I248" s="27"/>
      <c r="J248" s="27" t="str">
        <f t="shared" si="3"/>
        <v>pending</v>
      </c>
    </row>
    <row r="249" spans="1:10" ht="30" x14ac:dyDescent="0.25">
      <c r="A249" s="27" t="s">
        <v>1106</v>
      </c>
      <c r="B249" s="27" t="s">
        <v>1402</v>
      </c>
      <c r="C249" s="27" t="s">
        <v>1156</v>
      </c>
      <c r="D249" s="27"/>
      <c r="E249" s="27"/>
      <c r="F249" s="27"/>
      <c r="G249" s="27"/>
      <c r="H249" s="27"/>
      <c r="I249" s="27"/>
      <c r="J249" s="27" t="str">
        <f t="shared" si="3"/>
        <v>pending</v>
      </c>
    </row>
    <row r="250" spans="1:10" x14ac:dyDescent="0.25">
      <c r="A250" s="27" t="s">
        <v>1107</v>
      </c>
      <c r="B250" s="27" t="s">
        <v>1403</v>
      </c>
      <c r="C250" s="27" t="s">
        <v>1156</v>
      </c>
      <c r="D250" s="27"/>
      <c r="E250" s="27"/>
      <c r="F250" s="27"/>
      <c r="G250" s="27"/>
      <c r="H250" s="27"/>
      <c r="I250" s="27"/>
      <c r="J250" s="27" t="str">
        <f t="shared" si="3"/>
        <v>pending</v>
      </c>
    </row>
    <row r="251" spans="1:10" x14ac:dyDescent="0.25">
      <c r="A251" s="27" t="s">
        <v>1108</v>
      </c>
      <c r="B251" s="27" t="s">
        <v>1404</v>
      </c>
      <c r="C251" s="27" t="s">
        <v>1156</v>
      </c>
      <c r="D251" s="27"/>
      <c r="E251" s="27"/>
      <c r="F251" s="27"/>
      <c r="G251" s="27"/>
      <c r="H251" s="27"/>
      <c r="I251" s="27"/>
      <c r="J251" s="27" t="str">
        <f t="shared" si="3"/>
        <v>pending</v>
      </c>
    </row>
    <row r="252" spans="1:10" ht="30" x14ac:dyDescent="0.25">
      <c r="A252" s="27" t="s">
        <v>1109</v>
      </c>
      <c r="B252" s="27" t="s">
        <v>1405</v>
      </c>
      <c r="C252" s="27" t="s">
        <v>1156</v>
      </c>
      <c r="D252" s="27"/>
      <c r="E252" s="27"/>
      <c r="F252" s="27"/>
      <c r="G252" s="27"/>
      <c r="H252" s="27"/>
      <c r="I252" s="27"/>
      <c r="J252" s="27" t="str">
        <f t="shared" si="3"/>
        <v>pending</v>
      </c>
    </row>
    <row r="253" spans="1:10" ht="45" x14ac:dyDescent="0.25">
      <c r="A253" s="27" t="s">
        <v>1110</v>
      </c>
      <c r="B253" s="27" t="s">
        <v>1406</v>
      </c>
      <c r="C253" s="27" t="s">
        <v>1156</v>
      </c>
      <c r="D253" s="27"/>
      <c r="E253" s="27"/>
      <c r="F253" s="27"/>
      <c r="G253" s="27"/>
      <c r="H253" s="27"/>
      <c r="I253" s="27"/>
      <c r="J253" s="27" t="str">
        <f t="shared" si="3"/>
        <v>pending</v>
      </c>
    </row>
    <row r="254" spans="1:10" ht="30" x14ac:dyDescent="0.25">
      <c r="A254" s="27" t="s">
        <v>1111</v>
      </c>
      <c r="B254" s="27" t="s">
        <v>1407</v>
      </c>
      <c r="C254" s="27" t="s">
        <v>1156</v>
      </c>
      <c r="D254" s="27"/>
      <c r="E254" s="27"/>
      <c r="F254" s="27"/>
      <c r="G254" s="27"/>
      <c r="H254" s="27"/>
      <c r="I254" s="27"/>
      <c r="J254" s="27" t="str">
        <f t="shared" si="3"/>
        <v>pending</v>
      </c>
    </row>
    <row r="255" spans="1:10" ht="30" x14ac:dyDescent="0.25">
      <c r="A255" s="27" t="s">
        <v>1112</v>
      </c>
      <c r="B255" s="27" t="s">
        <v>1408</v>
      </c>
      <c r="C255" s="27" t="s">
        <v>1156</v>
      </c>
      <c r="D255" s="27"/>
      <c r="E255" s="27"/>
      <c r="F255" s="27"/>
      <c r="G255" s="27"/>
      <c r="H255" s="27"/>
      <c r="I255" s="27"/>
      <c r="J255" s="27" t="str">
        <f t="shared" si="3"/>
        <v>pending</v>
      </c>
    </row>
    <row r="256" spans="1:10" x14ac:dyDescent="0.25">
      <c r="A256" s="27" t="s">
        <v>1113</v>
      </c>
      <c r="B256" s="27" t="s">
        <v>1409</v>
      </c>
      <c r="C256" s="27" t="s">
        <v>1156</v>
      </c>
      <c r="D256" s="27"/>
      <c r="E256" s="27"/>
      <c r="F256" s="27"/>
      <c r="G256" s="27"/>
      <c r="H256" s="27"/>
      <c r="I256" s="27"/>
      <c r="J256" s="27" t="str">
        <f t="shared" si="3"/>
        <v>pending</v>
      </c>
    </row>
    <row r="257" spans="1:10" ht="30" x14ac:dyDescent="0.25">
      <c r="A257" s="27" t="s">
        <v>1114</v>
      </c>
      <c r="B257" s="27" t="s">
        <v>1410</v>
      </c>
      <c r="C257" s="27" t="s">
        <v>1156</v>
      </c>
      <c r="D257" s="27"/>
      <c r="E257" s="27"/>
      <c r="F257" s="27"/>
      <c r="G257" s="27"/>
      <c r="H257" s="27"/>
      <c r="I257" s="27"/>
      <c r="J257" s="27" t="str">
        <f t="shared" si="3"/>
        <v>pending</v>
      </c>
    </row>
    <row r="258" spans="1:10" ht="45" x14ac:dyDescent="0.25">
      <c r="A258" s="27" t="s">
        <v>1115</v>
      </c>
      <c r="B258" s="27" t="s">
        <v>1411</v>
      </c>
      <c r="C258" s="27" t="s">
        <v>1156</v>
      </c>
      <c r="D258" s="27"/>
      <c r="E258" s="27"/>
      <c r="F258" s="27"/>
      <c r="G258" s="27"/>
      <c r="H258" s="27"/>
      <c r="I258" s="27"/>
      <c r="J258" s="27" t="str">
        <f t="shared" si="3"/>
        <v>pending</v>
      </c>
    </row>
    <row r="259" spans="1:10" ht="30" x14ac:dyDescent="0.25">
      <c r="A259" s="27" t="s">
        <v>1116</v>
      </c>
      <c r="B259" s="27" t="s">
        <v>1412</v>
      </c>
      <c r="C259" s="27" t="s">
        <v>1156</v>
      </c>
      <c r="D259" s="27"/>
      <c r="E259" s="27"/>
      <c r="F259" s="27"/>
      <c r="G259" s="27"/>
      <c r="H259" s="27"/>
      <c r="I259" s="27"/>
      <c r="J259" s="27" t="str">
        <f t="shared" ref="J259:J297" si="4">IF(C259&lt;&gt;"-","done","pending")</f>
        <v>pending</v>
      </c>
    </row>
    <row r="260" spans="1:10" x14ac:dyDescent="0.25">
      <c r="A260" s="27" t="s">
        <v>1117</v>
      </c>
      <c r="B260" s="27" t="s">
        <v>1413</v>
      </c>
      <c r="C260" s="27" t="s">
        <v>1156</v>
      </c>
      <c r="D260" s="27"/>
      <c r="E260" s="27"/>
      <c r="F260" s="27"/>
      <c r="G260" s="27"/>
      <c r="H260" s="27"/>
      <c r="I260" s="27"/>
      <c r="J260" s="27" t="str">
        <f t="shared" si="4"/>
        <v>pending</v>
      </c>
    </row>
    <row r="261" spans="1:10" ht="30" x14ac:dyDescent="0.25">
      <c r="A261" s="27" t="s">
        <v>1118</v>
      </c>
      <c r="B261" s="27" t="s">
        <v>1414</v>
      </c>
      <c r="C261" s="27" t="s">
        <v>1156</v>
      </c>
      <c r="D261" s="27"/>
      <c r="E261" s="27"/>
      <c r="F261" s="27"/>
      <c r="G261" s="27"/>
      <c r="H261" s="27"/>
      <c r="I261" s="27"/>
      <c r="J261" s="27" t="str">
        <f t="shared" si="4"/>
        <v>pending</v>
      </c>
    </row>
    <row r="262" spans="1:10" x14ac:dyDescent="0.25">
      <c r="A262" s="27" t="s">
        <v>1119</v>
      </c>
      <c r="B262" s="27" t="s">
        <v>1415</v>
      </c>
      <c r="C262" s="27" t="s">
        <v>1156</v>
      </c>
      <c r="D262" s="27"/>
      <c r="E262" s="27"/>
      <c r="F262" s="27"/>
      <c r="G262" s="27"/>
      <c r="H262" s="27"/>
      <c r="I262" s="27"/>
      <c r="J262" s="27" t="str">
        <f t="shared" si="4"/>
        <v>pending</v>
      </c>
    </row>
    <row r="263" spans="1:10" ht="30" x14ac:dyDescent="0.25">
      <c r="A263" s="27" t="s">
        <v>1120</v>
      </c>
      <c r="B263" s="27" t="s">
        <v>1416</v>
      </c>
      <c r="C263" s="27" t="s">
        <v>1156</v>
      </c>
      <c r="D263" s="27"/>
      <c r="E263" s="27"/>
      <c r="F263" s="27"/>
      <c r="G263" s="27"/>
      <c r="H263" s="27"/>
      <c r="I263" s="27"/>
      <c r="J263" s="27" t="str">
        <f t="shared" si="4"/>
        <v>pending</v>
      </c>
    </row>
    <row r="264" spans="1:10" x14ac:dyDescent="0.25">
      <c r="A264" s="27" t="s">
        <v>1121</v>
      </c>
      <c r="B264" s="27" t="s">
        <v>1417</v>
      </c>
      <c r="C264" s="27" t="s">
        <v>1156</v>
      </c>
      <c r="D264" s="27"/>
      <c r="E264" s="27"/>
      <c r="F264" s="27"/>
      <c r="G264" s="27"/>
      <c r="H264" s="27"/>
      <c r="I264" s="27"/>
      <c r="J264" s="27" t="str">
        <f t="shared" si="4"/>
        <v>pending</v>
      </c>
    </row>
    <row r="265" spans="1:10" x14ac:dyDescent="0.25">
      <c r="A265" s="27" t="s">
        <v>1122</v>
      </c>
      <c r="B265" s="27" t="s">
        <v>1418</v>
      </c>
      <c r="C265" s="27" t="s">
        <v>1156</v>
      </c>
      <c r="D265" s="27"/>
      <c r="E265" s="27"/>
      <c r="F265" s="27"/>
      <c r="G265" s="27"/>
      <c r="H265" s="27"/>
      <c r="I265" s="27"/>
      <c r="J265" s="27" t="str">
        <f t="shared" si="4"/>
        <v>pending</v>
      </c>
    </row>
    <row r="266" spans="1:10" ht="30" x14ac:dyDescent="0.25">
      <c r="A266" s="27" t="s">
        <v>1123</v>
      </c>
      <c r="B266" s="27" t="s">
        <v>1419</v>
      </c>
      <c r="C266" s="27" t="s">
        <v>1156</v>
      </c>
      <c r="D266" s="27"/>
      <c r="E266" s="27"/>
      <c r="F266" s="27"/>
      <c r="G266" s="27"/>
      <c r="H266" s="27"/>
      <c r="I266" s="27"/>
      <c r="J266" s="27" t="str">
        <f t="shared" si="4"/>
        <v>pending</v>
      </c>
    </row>
    <row r="267" spans="1:10" x14ac:dyDescent="0.25">
      <c r="A267" s="27" t="s">
        <v>1124</v>
      </c>
      <c r="B267" s="27" t="s">
        <v>1420</v>
      </c>
      <c r="C267" s="27" t="s">
        <v>1156</v>
      </c>
      <c r="D267" s="27"/>
      <c r="E267" s="27"/>
      <c r="F267" s="27"/>
      <c r="G267" s="27"/>
      <c r="H267" s="27"/>
      <c r="I267" s="27"/>
      <c r="J267" s="27" t="str">
        <f t="shared" si="4"/>
        <v>pending</v>
      </c>
    </row>
    <row r="268" spans="1:10" x14ac:dyDescent="0.25">
      <c r="A268" s="27" t="s">
        <v>1125</v>
      </c>
      <c r="B268" s="27" t="s">
        <v>1421</v>
      </c>
      <c r="C268" s="27" t="s">
        <v>1156</v>
      </c>
      <c r="D268" s="27"/>
      <c r="E268" s="27"/>
      <c r="F268" s="27"/>
      <c r="G268" s="27"/>
      <c r="H268" s="27"/>
      <c r="I268" s="27"/>
      <c r="J268" s="27" t="str">
        <f t="shared" si="4"/>
        <v>pending</v>
      </c>
    </row>
    <row r="269" spans="1:10" x14ac:dyDescent="0.25">
      <c r="A269" s="27" t="s">
        <v>1126</v>
      </c>
      <c r="B269" s="27" t="s">
        <v>1422</v>
      </c>
      <c r="C269" s="27" t="s">
        <v>1156</v>
      </c>
      <c r="D269" s="27"/>
      <c r="E269" s="27"/>
      <c r="F269" s="27"/>
      <c r="G269" s="27"/>
      <c r="H269" s="27"/>
      <c r="I269" s="27"/>
      <c r="J269" s="27" t="str">
        <f t="shared" si="4"/>
        <v>pending</v>
      </c>
    </row>
    <row r="270" spans="1:10" x14ac:dyDescent="0.25">
      <c r="A270" s="27" t="s">
        <v>1127</v>
      </c>
      <c r="B270" s="27" t="s">
        <v>1423</v>
      </c>
      <c r="C270" s="27" t="s">
        <v>1156</v>
      </c>
      <c r="D270" s="27"/>
      <c r="E270" s="27"/>
      <c r="F270" s="27"/>
      <c r="G270" s="27"/>
      <c r="H270" s="27"/>
      <c r="I270" s="27"/>
      <c r="J270" s="27" t="str">
        <f t="shared" si="4"/>
        <v>pending</v>
      </c>
    </row>
    <row r="271" spans="1:10" ht="30" x14ac:dyDescent="0.25">
      <c r="A271" s="27" t="s">
        <v>1128</v>
      </c>
      <c r="B271" s="27" t="s">
        <v>1424</v>
      </c>
      <c r="C271" s="27" t="s">
        <v>1156</v>
      </c>
      <c r="D271" s="27"/>
      <c r="E271" s="27"/>
      <c r="F271" s="27"/>
      <c r="G271" s="27"/>
      <c r="H271" s="27"/>
      <c r="I271" s="27"/>
      <c r="J271" s="27" t="str">
        <f t="shared" si="4"/>
        <v>pending</v>
      </c>
    </row>
    <row r="272" spans="1:10" x14ac:dyDescent="0.25">
      <c r="A272" s="27" t="s">
        <v>1129</v>
      </c>
      <c r="B272" s="27" t="s">
        <v>1425</v>
      </c>
      <c r="C272" s="27" t="s">
        <v>1156</v>
      </c>
      <c r="D272" s="27"/>
      <c r="E272" s="27"/>
      <c r="F272" s="27"/>
      <c r="G272" s="27"/>
      <c r="H272" s="27"/>
      <c r="I272" s="27"/>
      <c r="J272" s="27" t="str">
        <f t="shared" si="4"/>
        <v>pending</v>
      </c>
    </row>
    <row r="273" spans="1:10" ht="45" x14ac:dyDescent="0.25">
      <c r="A273" s="27" t="s">
        <v>1130</v>
      </c>
      <c r="B273" s="27" t="s">
        <v>1426</v>
      </c>
      <c r="C273" s="27" t="s">
        <v>1156</v>
      </c>
      <c r="D273" s="27"/>
      <c r="E273" s="27"/>
      <c r="F273" s="27"/>
      <c r="G273" s="27"/>
      <c r="H273" s="27"/>
      <c r="I273" s="27"/>
      <c r="J273" s="27" t="str">
        <f t="shared" si="4"/>
        <v>pending</v>
      </c>
    </row>
    <row r="274" spans="1:10" ht="45" x14ac:dyDescent="0.25">
      <c r="A274" s="27" t="s">
        <v>1131</v>
      </c>
      <c r="B274" s="27" t="s">
        <v>1427</v>
      </c>
      <c r="C274" s="27" t="s">
        <v>1156</v>
      </c>
      <c r="D274" s="27"/>
      <c r="E274" s="27"/>
      <c r="F274" s="27"/>
      <c r="G274" s="27"/>
      <c r="H274" s="27"/>
      <c r="I274" s="27"/>
      <c r="J274" s="27" t="str">
        <f t="shared" si="4"/>
        <v>pending</v>
      </c>
    </row>
    <row r="275" spans="1:10" ht="45" x14ac:dyDescent="0.25">
      <c r="A275" s="27" t="s">
        <v>1132</v>
      </c>
      <c r="B275" s="27" t="s">
        <v>1428</v>
      </c>
      <c r="C275" s="27" t="s">
        <v>1156</v>
      </c>
      <c r="D275" s="27"/>
      <c r="E275" s="27"/>
      <c r="F275" s="27"/>
      <c r="G275" s="27"/>
      <c r="H275" s="27"/>
      <c r="I275" s="27"/>
      <c r="J275" s="27" t="str">
        <f t="shared" si="4"/>
        <v>pending</v>
      </c>
    </row>
    <row r="276" spans="1:10" ht="30" x14ac:dyDescent="0.25">
      <c r="A276" s="27" t="s">
        <v>1133</v>
      </c>
      <c r="B276" s="27" t="s">
        <v>1429</v>
      </c>
      <c r="C276" s="27" t="s">
        <v>1156</v>
      </c>
      <c r="D276" s="27"/>
      <c r="E276" s="27"/>
      <c r="F276" s="27"/>
      <c r="G276" s="27"/>
      <c r="H276" s="27"/>
      <c r="I276" s="27"/>
      <c r="J276" s="27" t="str">
        <f t="shared" si="4"/>
        <v>pending</v>
      </c>
    </row>
    <row r="277" spans="1:10" ht="45" x14ac:dyDescent="0.25">
      <c r="A277" s="27" t="s">
        <v>1134</v>
      </c>
      <c r="B277" s="27" t="s">
        <v>1430</v>
      </c>
      <c r="C277" s="27" t="s">
        <v>1156</v>
      </c>
      <c r="D277" s="27"/>
      <c r="E277" s="27"/>
      <c r="F277" s="27"/>
      <c r="G277" s="27"/>
      <c r="H277" s="27"/>
      <c r="I277" s="27"/>
      <c r="J277" s="27" t="str">
        <f t="shared" si="4"/>
        <v>pending</v>
      </c>
    </row>
    <row r="278" spans="1:10" ht="30" x14ac:dyDescent="0.25">
      <c r="A278" s="27" t="s">
        <v>1135</v>
      </c>
      <c r="B278" s="27" t="s">
        <v>1431</v>
      </c>
      <c r="C278" s="27" t="s">
        <v>1156</v>
      </c>
      <c r="D278" s="27"/>
      <c r="E278" s="27"/>
      <c r="F278" s="27"/>
      <c r="G278" s="27"/>
      <c r="H278" s="27"/>
      <c r="I278" s="27"/>
      <c r="J278" s="27" t="str">
        <f t="shared" si="4"/>
        <v>pending</v>
      </c>
    </row>
    <row r="279" spans="1:10" x14ac:dyDescent="0.25">
      <c r="A279" s="27" t="s">
        <v>1136</v>
      </c>
      <c r="B279" s="27" t="s">
        <v>1432</v>
      </c>
      <c r="C279" s="27" t="s">
        <v>1156</v>
      </c>
      <c r="D279" s="27"/>
      <c r="E279" s="27"/>
      <c r="F279" s="27"/>
      <c r="G279" s="27"/>
      <c r="H279" s="27"/>
      <c r="I279" s="27"/>
      <c r="J279" s="27" t="str">
        <f t="shared" si="4"/>
        <v>pending</v>
      </c>
    </row>
    <row r="280" spans="1:10" ht="30" x14ac:dyDescent="0.25">
      <c r="A280" s="27" t="s">
        <v>1137</v>
      </c>
      <c r="B280" s="27" t="s">
        <v>1433</v>
      </c>
      <c r="C280" s="27" t="s">
        <v>1156</v>
      </c>
      <c r="D280" s="27"/>
      <c r="E280" s="27"/>
      <c r="F280" s="27"/>
      <c r="G280" s="27"/>
      <c r="H280" s="27"/>
      <c r="I280" s="27"/>
      <c r="J280" s="27" t="str">
        <f t="shared" si="4"/>
        <v>pending</v>
      </c>
    </row>
    <row r="281" spans="1:10" x14ac:dyDescent="0.25">
      <c r="A281" s="27" t="s">
        <v>1138</v>
      </c>
      <c r="B281" s="27" t="s">
        <v>1434</v>
      </c>
      <c r="C281" s="27" t="s">
        <v>1156</v>
      </c>
      <c r="D281" s="27"/>
      <c r="E281" s="27"/>
      <c r="F281" s="27"/>
      <c r="G281" s="27"/>
      <c r="H281" s="27"/>
      <c r="I281" s="27"/>
      <c r="J281" s="27" t="str">
        <f t="shared" si="4"/>
        <v>pending</v>
      </c>
    </row>
    <row r="282" spans="1:10" ht="30" x14ac:dyDescent="0.25">
      <c r="A282" s="27" t="s">
        <v>1139</v>
      </c>
      <c r="B282" s="27" t="s">
        <v>1435</v>
      </c>
      <c r="C282" s="27" t="s">
        <v>1156</v>
      </c>
      <c r="D282" s="27"/>
      <c r="E282" s="27"/>
      <c r="F282" s="27"/>
      <c r="G282" s="27"/>
      <c r="H282" s="27"/>
      <c r="I282" s="27"/>
      <c r="J282" s="27" t="str">
        <f t="shared" si="4"/>
        <v>pending</v>
      </c>
    </row>
    <row r="283" spans="1:10" x14ac:dyDescent="0.25">
      <c r="A283" s="27" t="s">
        <v>1140</v>
      </c>
      <c r="B283" s="27" t="s">
        <v>1436</v>
      </c>
      <c r="C283" s="27" t="s">
        <v>1156</v>
      </c>
      <c r="D283" s="27"/>
      <c r="E283" s="27"/>
      <c r="F283" s="27"/>
      <c r="G283" s="27"/>
      <c r="H283" s="27"/>
      <c r="I283" s="27"/>
      <c r="J283" s="27" t="str">
        <f t="shared" si="4"/>
        <v>pending</v>
      </c>
    </row>
    <row r="284" spans="1:10" x14ac:dyDescent="0.25">
      <c r="A284" s="27" t="s">
        <v>1141</v>
      </c>
      <c r="B284" s="27" t="s">
        <v>1437</v>
      </c>
      <c r="C284" s="27" t="s">
        <v>1156</v>
      </c>
      <c r="D284" s="27"/>
      <c r="E284" s="27"/>
      <c r="F284" s="27"/>
      <c r="G284" s="27"/>
      <c r="H284" s="27"/>
      <c r="I284" s="27"/>
      <c r="J284" s="27" t="str">
        <f t="shared" si="4"/>
        <v>pending</v>
      </c>
    </row>
    <row r="285" spans="1:10" ht="30" x14ac:dyDescent="0.25">
      <c r="A285" s="27" t="s">
        <v>1142</v>
      </c>
      <c r="B285" s="27" t="s">
        <v>1438</v>
      </c>
      <c r="C285" s="27" t="s">
        <v>1156</v>
      </c>
      <c r="D285" s="27"/>
      <c r="E285" s="27"/>
      <c r="F285" s="27"/>
      <c r="G285" s="27"/>
      <c r="H285" s="27"/>
      <c r="I285" s="27"/>
      <c r="J285" s="27" t="str">
        <f t="shared" si="4"/>
        <v>pending</v>
      </c>
    </row>
    <row r="286" spans="1:10" ht="45" x14ac:dyDescent="0.25">
      <c r="A286" s="27" t="s">
        <v>1143</v>
      </c>
      <c r="B286" s="27" t="s">
        <v>1439</v>
      </c>
      <c r="C286" s="27" t="s">
        <v>1156</v>
      </c>
      <c r="D286" s="27"/>
      <c r="E286" s="27"/>
      <c r="F286" s="27"/>
      <c r="G286" s="27"/>
      <c r="H286" s="27"/>
      <c r="I286" s="27"/>
      <c r="J286" s="27" t="str">
        <f t="shared" si="4"/>
        <v>pending</v>
      </c>
    </row>
    <row r="287" spans="1:10" ht="30" x14ac:dyDescent="0.25">
      <c r="A287" s="27" t="s">
        <v>1144</v>
      </c>
      <c r="B287" s="27" t="s">
        <v>1440</v>
      </c>
      <c r="C287" s="27" t="s">
        <v>1156</v>
      </c>
      <c r="D287" s="27"/>
      <c r="E287" s="27"/>
      <c r="F287" s="27"/>
      <c r="G287" s="27"/>
      <c r="H287" s="27"/>
      <c r="I287" s="27"/>
      <c r="J287" s="27" t="str">
        <f t="shared" si="4"/>
        <v>pending</v>
      </c>
    </row>
    <row r="288" spans="1:10" x14ac:dyDescent="0.25">
      <c r="A288" s="27" t="s">
        <v>1145</v>
      </c>
      <c r="B288" s="27" t="s">
        <v>1441</v>
      </c>
      <c r="C288" s="27" t="s">
        <v>1156</v>
      </c>
      <c r="D288" s="27"/>
      <c r="E288" s="27"/>
      <c r="F288" s="27"/>
      <c r="G288" s="27"/>
      <c r="H288" s="27"/>
      <c r="I288" s="27"/>
      <c r="J288" s="27" t="str">
        <f t="shared" si="4"/>
        <v>pending</v>
      </c>
    </row>
    <row r="289" spans="1:10" ht="30" x14ac:dyDescent="0.25">
      <c r="A289" s="27" t="s">
        <v>1146</v>
      </c>
      <c r="B289" s="27" t="s">
        <v>1442</v>
      </c>
      <c r="C289" s="27" t="s">
        <v>1156</v>
      </c>
      <c r="D289" s="27"/>
      <c r="E289" s="27"/>
      <c r="F289" s="27"/>
      <c r="G289" s="27"/>
      <c r="H289" s="27"/>
      <c r="I289" s="27"/>
      <c r="J289" s="27" t="str">
        <f t="shared" si="4"/>
        <v>pending</v>
      </c>
    </row>
    <row r="290" spans="1:10" x14ac:dyDescent="0.25">
      <c r="A290" s="27" t="s">
        <v>1147</v>
      </c>
      <c r="B290" s="27" t="s">
        <v>1443</v>
      </c>
      <c r="C290" s="27" t="s">
        <v>1156</v>
      </c>
      <c r="D290" s="27"/>
      <c r="E290" s="27"/>
      <c r="F290" s="27"/>
      <c r="G290" s="27"/>
      <c r="H290" s="27"/>
      <c r="I290" s="27"/>
      <c r="J290" s="27" t="str">
        <f t="shared" si="4"/>
        <v>pending</v>
      </c>
    </row>
    <row r="291" spans="1:10" x14ac:dyDescent="0.25">
      <c r="A291" s="27" t="s">
        <v>1148</v>
      </c>
      <c r="B291" s="27" t="s">
        <v>1444</v>
      </c>
      <c r="C291" s="27" t="s">
        <v>1156</v>
      </c>
      <c r="D291" s="27"/>
      <c r="E291" s="27"/>
      <c r="F291" s="27"/>
      <c r="G291" s="27"/>
      <c r="H291" s="27"/>
      <c r="I291" s="27"/>
      <c r="J291" s="27" t="str">
        <f t="shared" si="4"/>
        <v>pending</v>
      </c>
    </row>
    <row r="292" spans="1:10" x14ac:dyDescent="0.25">
      <c r="A292" s="27" t="s">
        <v>1149</v>
      </c>
      <c r="B292" s="27" t="s">
        <v>1445</v>
      </c>
      <c r="C292" s="27" t="s">
        <v>1156</v>
      </c>
      <c r="D292" s="27"/>
      <c r="E292" s="27"/>
      <c r="F292" s="27"/>
      <c r="G292" s="27"/>
      <c r="H292" s="27"/>
      <c r="I292" s="27"/>
      <c r="J292" s="27" t="str">
        <f t="shared" si="4"/>
        <v>pending</v>
      </c>
    </row>
    <row r="293" spans="1:10" ht="30" x14ac:dyDescent="0.25">
      <c r="A293" s="27" t="s">
        <v>1150</v>
      </c>
      <c r="B293" s="27" t="s">
        <v>1446</v>
      </c>
      <c r="C293" s="27" t="s">
        <v>1156</v>
      </c>
      <c r="D293" s="27"/>
      <c r="E293" s="27"/>
      <c r="F293" s="27"/>
      <c r="G293" s="27"/>
      <c r="H293" s="27"/>
      <c r="I293" s="27"/>
      <c r="J293" s="27" t="str">
        <f t="shared" si="4"/>
        <v>pending</v>
      </c>
    </row>
    <row r="294" spans="1:10" ht="30" x14ac:dyDescent="0.25">
      <c r="A294" s="27" t="s">
        <v>1151</v>
      </c>
      <c r="B294" s="27" t="s">
        <v>1447</v>
      </c>
      <c r="C294" s="27" t="s">
        <v>1156</v>
      </c>
      <c r="D294" s="27"/>
      <c r="E294" s="27"/>
      <c r="F294" s="27"/>
      <c r="G294" s="27"/>
      <c r="H294" s="27"/>
      <c r="I294" s="27"/>
      <c r="J294" s="27" t="str">
        <f t="shared" si="4"/>
        <v>pending</v>
      </c>
    </row>
    <row r="295" spans="1:10" x14ac:dyDescent="0.25">
      <c r="A295" s="27" t="s">
        <v>1152</v>
      </c>
      <c r="B295" s="27" t="s">
        <v>1448</v>
      </c>
      <c r="C295" s="27" t="s">
        <v>1156</v>
      </c>
      <c r="D295" s="27"/>
      <c r="E295" s="27"/>
      <c r="F295" s="27"/>
      <c r="G295" s="27"/>
      <c r="H295" s="27"/>
      <c r="I295" s="27"/>
      <c r="J295" s="27" t="str">
        <f t="shared" si="4"/>
        <v>pending</v>
      </c>
    </row>
    <row r="296" spans="1:10" x14ac:dyDescent="0.25">
      <c r="A296" s="27" t="s">
        <v>1153</v>
      </c>
      <c r="B296" s="27" t="s">
        <v>1449</v>
      </c>
      <c r="C296" s="27" t="s">
        <v>1156</v>
      </c>
      <c r="D296" s="27"/>
      <c r="E296" s="27"/>
      <c r="F296" s="27"/>
      <c r="G296" s="27"/>
      <c r="H296" s="27"/>
      <c r="I296" s="27"/>
      <c r="J296" s="27" t="str">
        <f t="shared" si="4"/>
        <v>pending</v>
      </c>
    </row>
    <row r="297" spans="1:10" x14ac:dyDescent="0.25">
      <c r="A297" s="27" t="s">
        <v>1154</v>
      </c>
      <c r="B297" s="27" t="s">
        <v>1450</v>
      </c>
      <c r="C297" s="27" t="s">
        <v>1156</v>
      </c>
      <c r="D297" s="27"/>
      <c r="E297" s="27"/>
      <c r="F297" s="27"/>
      <c r="G297" s="27"/>
      <c r="H297" s="27"/>
      <c r="I297" s="27"/>
      <c r="J297" s="27" t="str">
        <f t="shared" si="4"/>
        <v>pending</v>
      </c>
    </row>
  </sheetData>
  <sortState xmlns:xlrd2="http://schemas.microsoft.com/office/spreadsheetml/2017/richdata2" ref="A2:A297">
    <sortCondition ref="A223:A297"/>
  </sortState>
  <conditionalFormatting sqref="A1:B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main_links</vt:lpstr>
      <vt:lpstr>Core_cat</vt:lpstr>
      <vt:lpstr>unusable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Dhruva Tikhe</dc:creator>
  <cp:lastModifiedBy>none</cp:lastModifiedBy>
  <cp:lastPrinted>2025-09-11T13:00:18Z</cp:lastPrinted>
  <dcterms:created xsi:type="dcterms:W3CDTF">2015-06-05T18:17:20Z</dcterms:created>
  <dcterms:modified xsi:type="dcterms:W3CDTF">2026-08-09T18:05:59Z</dcterms:modified>
</cp:coreProperties>
</file>