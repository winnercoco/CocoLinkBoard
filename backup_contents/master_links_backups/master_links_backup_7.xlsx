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4CC896A2-4A66-4829-AC00-D691B9E7CAF9}" xr6:coauthVersionLast="47" xr6:coauthVersionMax="47" xr10:uidLastSave="{00000000-0000-0000-0000-000000000000}"/>
  <bookViews>
    <workbookView xWindow="-120" yWindow="-120" windowWidth="29040" windowHeight="16440" tabRatio="336" xr2:uid="{00000000-000D-0000-FFFF-FFFF00000000}"/>
  </bookViews>
  <sheets>
    <sheet name="main_links" sheetId="2" r:id="rId1"/>
    <sheet name="Core_cat" sheetId="6" r:id="rId2"/>
    <sheet name="unusable" sheetId="5" r:id="rId3"/>
  </sheets>
  <definedNames>
    <definedName name="_xlnm._FilterDatabase" localSheetId="0" hidden="1">main_links!$A$1:$S$299</definedName>
    <definedName name="_xlnm._FilterDatabase" localSheetId="2" hidden="1">unusable!$A$1:$J$297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8" i="2" l="1"/>
  <c r="L298" i="2" a="1"/>
  <c r="O298" i="2" a="1"/>
  <c r="S298" i="2"/>
  <c r="A297" i="2"/>
  <c r="L55" i="2" a="1"/>
  <c r="O55" i="2" a="1"/>
  <c r="S55" i="2"/>
  <c r="A55" i="2"/>
  <c r="O3" i="2" a="1"/>
  <c r="O4" i="2" a="1"/>
  <c r="O5" i="2" a="1"/>
  <c r="O6" i="2" a="1"/>
  <c r="O7" i="2" a="1"/>
  <c r="O8" i="2" a="1"/>
  <c r="O56" i="2" a="1"/>
  <c r="O9" i="2" a="1"/>
  <c r="O57" i="2" a="1"/>
  <c r="O10" i="2" a="1"/>
  <c r="O11" i="2" a="1"/>
  <c r="O14" i="2" a="1"/>
  <c r="O15" i="2" a="1"/>
  <c r="O16" i="2" a="1"/>
  <c r="O17" i="2" a="1"/>
  <c r="O18" i="2" a="1"/>
  <c r="O19" i="2" a="1"/>
  <c r="O20" i="2" a="1"/>
  <c r="O58" i="2" a="1"/>
  <c r="O59" i="2" a="1"/>
  <c r="O60" i="2" a="1"/>
  <c r="O21" i="2" a="1"/>
  <c r="O25" i="2" a="1"/>
  <c r="O61" i="2" a="1"/>
  <c r="O26" i="2" a="1"/>
  <c r="O97" i="2" a="1"/>
  <c r="O27" i="2" a="1"/>
  <c r="O28" i="2" a="1"/>
  <c r="O29" i="2" a="1"/>
  <c r="O30" i="2" a="1"/>
  <c r="O31" i="2" a="1"/>
  <c r="O32" i="2" a="1"/>
  <c r="O33" i="2" a="1"/>
  <c r="O34" i="2" a="1"/>
  <c r="O35" i="2" a="1"/>
  <c r="O98" i="2" a="1"/>
  <c r="O36" i="2" a="1"/>
  <c r="O99" i="2" a="1"/>
  <c r="O100" i="2" a="1"/>
  <c r="O37" i="2" a="1"/>
  <c r="O101" i="2" a="1"/>
  <c r="O38" i="2" a="1"/>
  <c r="O39" i="2" a="1"/>
  <c r="O102" i="2" a="1"/>
  <c r="O135" i="2" a="1"/>
  <c r="O40" i="2" a="1"/>
  <c r="O136" i="2" a="1"/>
  <c r="O41" i="2" a="1"/>
  <c r="O42" i="2" a="1"/>
  <c r="O43" i="2" a="1"/>
  <c r="O44" i="2" a="1"/>
  <c r="O45" i="2" a="1"/>
  <c r="O62" i="2" a="1"/>
  <c r="O172" i="2" a="1"/>
  <c r="O63" i="2" a="1"/>
  <c r="O173" i="2" a="1"/>
  <c r="O64" i="2" a="1"/>
  <c r="O65" i="2" a="1"/>
  <c r="O66" i="2" a="1"/>
  <c r="O67" i="2" a="1"/>
  <c r="O68" i="2" a="1"/>
  <c r="O69" i="2" a="1"/>
  <c r="O70" i="2" a="1"/>
  <c r="O71" i="2" a="1"/>
  <c r="O72" i="2" a="1"/>
  <c r="O73" i="2" a="1"/>
  <c r="O74" i="2" a="1"/>
  <c r="O174" i="2" a="1"/>
  <c r="O75" i="2" a="1"/>
  <c r="O76" i="2" a="1"/>
  <c r="O77" i="2" a="1"/>
  <c r="O78" i="2" a="1"/>
  <c r="O175" i="2" a="1"/>
  <c r="O79" i="2" a="1"/>
  <c r="O80" i="2" a="1"/>
  <c r="O81" i="2" a="1"/>
  <c r="O176" i="2" a="1"/>
  <c r="O177" i="2" a="1"/>
  <c r="O199" i="2" a="1"/>
  <c r="O207" i="2" a="1"/>
  <c r="O12" i="2" a="1"/>
  <c r="O82" i="2" a="1"/>
  <c r="O83" i="2" a="1"/>
  <c r="O84" i="2" a="1"/>
  <c r="O13" i="2" a="1"/>
  <c r="O22" i="2" a="1"/>
  <c r="O85" i="2" a="1"/>
  <c r="O86" i="2" a="1"/>
  <c r="O23" i="2" a="1"/>
  <c r="O24" i="2" a="1"/>
  <c r="O46" i="2" a="1"/>
  <c r="O47" i="2" a="1"/>
  <c r="O87" i="2" a="1"/>
  <c r="O103" i="2" a="1"/>
  <c r="O104" i="2" a="1"/>
  <c r="O105" i="2" a="1"/>
  <c r="O106" i="2" a="1"/>
  <c r="O48" i="2" a="1"/>
  <c r="O107" i="2" a="1"/>
  <c r="O108" i="2" a="1"/>
  <c r="O49" i="2" a="1"/>
  <c r="O109" i="2" a="1"/>
  <c r="O110" i="2" a="1"/>
  <c r="O111" i="2" a="1"/>
  <c r="O112" i="2" a="1"/>
  <c r="O113" i="2" a="1"/>
  <c r="O114" i="2" a="1"/>
  <c r="O115" i="2" a="1"/>
  <c r="O116" i="2" a="1"/>
  <c r="O117" i="2" a="1"/>
  <c r="O118" i="2" a="1"/>
  <c r="O119" i="2" a="1"/>
  <c r="O50" i="2" a="1"/>
  <c r="O120" i="2" a="1"/>
  <c r="O121" i="2" a="1"/>
  <c r="O122" i="2" a="1"/>
  <c r="O123" i="2" a="1"/>
  <c r="O124" i="2" a="1"/>
  <c r="O125" i="2" a="1"/>
  <c r="O126" i="2" a="1"/>
  <c r="O127" i="2" a="1"/>
  <c r="O128" i="2" a="1"/>
  <c r="O51" i="2" a="1"/>
  <c r="O88" i="2" a="1"/>
  <c r="O89" i="2" a="1"/>
  <c r="O90" i="2" a="1"/>
  <c r="O91" i="2" a="1"/>
  <c r="O92" i="2" a="1"/>
  <c r="O93" i="2" a="1"/>
  <c r="O129" i="2" a="1"/>
  <c r="O137" i="2" a="1"/>
  <c r="O138" i="2" a="1"/>
  <c r="O139" i="2" a="1"/>
  <c r="O140" i="2" a="1"/>
  <c r="O141" i="2" a="1"/>
  <c r="O142" i="2" a="1"/>
  <c r="O143" i="2" a="1"/>
  <c r="O144" i="2" a="1"/>
  <c r="O145" i="2" a="1"/>
  <c r="O146" i="2" a="1"/>
  <c r="O147" i="2" a="1"/>
  <c r="O148" i="2" a="1"/>
  <c r="O149" i="2" a="1"/>
  <c r="O150" i="2" a="1"/>
  <c r="O151" i="2" a="1"/>
  <c r="O152" i="2" a="1"/>
  <c r="O153" i="2" a="1"/>
  <c r="O154" i="2" a="1"/>
  <c r="O155" i="2" a="1"/>
  <c r="O156" i="2" a="1"/>
  <c r="O157" i="2" a="1"/>
  <c r="O158" i="2" a="1"/>
  <c r="O159" i="2" a="1"/>
  <c r="O160" i="2" a="1"/>
  <c r="O161" i="2" a="1"/>
  <c r="O162" i="2" a="1"/>
  <c r="O163" i="2" a="1"/>
  <c r="O164" i="2" a="1"/>
  <c r="O165" i="2" a="1"/>
  <c r="O166" i="2" a="1"/>
  <c r="O167" i="2" a="1"/>
  <c r="O168" i="2" a="1"/>
  <c r="O178" i="2" a="1"/>
  <c r="O179" i="2" a="1"/>
  <c r="O52" i="2" a="1"/>
  <c r="O169" i="2" a="1"/>
  <c r="O170" i="2" a="1"/>
  <c r="O53" i="2" a="1"/>
  <c r="O180" i="2" a="1"/>
  <c r="O181" i="2" a="1"/>
  <c r="O54" i="2" a="1"/>
  <c r="O94" i="2" a="1"/>
  <c r="O182" i="2" a="1"/>
  <c r="O183" i="2" a="1"/>
  <c r="O95" i="2" a="1"/>
  <c r="O184" i="2" a="1"/>
  <c r="O185" i="2" a="1"/>
  <c r="O96" i="2" a="1"/>
  <c r="O130" i="2" a="1"/>
  <c r="O186" i="2" a="1"/>
  <c r="O187" i="2" a="1"/>
  <c r="O188" i="2" a="1"/>
  <c r="O189" i="2" a="1"/>
  <c r="O190" i="2" a="1"/>
  <c r="O131" i="2" a="1"/>
  <c r="O191" i="2" a="1"/>
  <c r="O192" i="2" a="1"/>
  <c r="O193" i="2" a="1"/>
  <c r="O132" i="2" a="1"/>
  <c r="O194" i="2" a="1"/>
  <c r="O133" i="2" a="1"/>
  <c r="O195" i="2" a="1"/>
  <c r="O134" i="2" a="1"/>
  <c r="O171" i="2" a="1"/>
  <c r="O196" i="2" a="1"/>
  <c r="O200" i="2" a="1"/>
  <c r="O197" i="2" a="1"/>
  <c r="O201" i="2" a="1"/>
  <c r="O202" i="2" a="1"/>
  <c r="O203" i="2" a="1"/>
  <c r="O204" i="2" a="1"/>
  <c r="O205" i="2" a="1"/>
  <c r="O198" i="2" a="1"/>
  <c r="O208" i="2" a="1"/>
  <c r="O209" i="2" a="1"/>
  <c r="O206" i="2" a="1"/>
  <c r="O210" i="2" a="1"/>
  <c r="O211" i="2" a="1"/>
  <c r="O212" i="2" a="1"/>
  <c r="O213" i="2" a="1"/>
  <c r="O214" i="2" a="1"/>
  <c r="O215" i="2" a="1"/>
  <c r="O216" i="2" a="1"/>
  <c r="O217" i="2" a="1"/>
  <c r="O218" i="2" a="1"/>
  <c r="O219" i="2" a="1"/>
  <c r="O220" i="2" a="1"/>
  <c r="O221" i="2" a="1"/>
  <c r="O222" i="2" a="1"/>
  <c r="O223" i="2" a="1"/>
  <c r="O224" i="2" a="1"/>
  <c r="O225" i="2" a="1"/>
  <c r="O226" i="2" a="1"/>
  <c r="O227" i="2" a="1"/>
  <c r="O228" i="2" a="1"/>
  <c r="O229" i="2" a="1"/>
  <c r="O230" i="2" a="1"/>
  <c r="O231" i="2" a="1"/>
  <c r="O232" i="2" a="1"/>
  <c r="O233" i="2" a="1"/>
  <c r="O234" i="2" a="1"/>
  <c r="O235" i="2" a="1"/>
  <c r="O236" i="2" a="1"/>
  <c r="O237" i="2" a="1"/>
  <c r="O238" i="2" a="1"/>
  <c r="O239" i="2" a="1"/>
  <c r="O240" i="2" a="1"/>
  <c r="O241" i="2" a="1"/>
  <c r="O242" i="2" a="1"/>
  <c r="O243" i="2" a="1"/>
  <c r="O244" i="2" a="1"/>
  <c r="O245" i="2" a="1"/>
  <c r="O246" i="2" a="1"/>
  <c r="O247" i="2" a="1"/>
  <c r="O248" i="2" a="1"/>
  <c r="O249" i="2" a="1"/>
  <c r="O250" i="2" a="1"/>
  <c r="O251" i="2" a="1"/>
  <c r="O252" i="2" a="1"/>
  <c r="O253" i="2" a="1"/>
  <c r="O254" i="2" a="1"/>
  <c r="O255" i="2" a="1"/>
  <c r="O256" i="2" a="1"/>
  <c r="O257" i="2" a="1"/>
  <c r="O258" i="2" a="1"/>
  <c r="O259" i="2" a="1"/>
  <c r="O260" i="2" a="1"/>
  <c r="O261" i="2" a="1"/>
  <c r="O262" i="2" a="1"/>
  <c r="O263" i="2" a="1"/>
  <c r="O264" i="2" a="1"/>
  <c r="O265" i="2" a="1"/>
  <c r="O266" i="2" a="1"/>
  <c r="O267" i="2" a="1"/>
  <c r="O268" i="2" a="1"/>
  <c r="O269" i="2" a="1"/>
  <c r="O270" i="2" a="1"/>
  <c r="O271" i="2" a="1"/>
  <c r="O272" i="2" a="1"/>
  <c r="O273" i="2" a="1"/>
  <c r="O274" i="2" a="1"/>
  <c r="O275" i="2" a="1"/>
  <c r="O276" i="2" a="1"/>
  <c r="O277" i="2" a="1"/>
  <c r="O278" i="2" a="1"/>
  <c r="O279" i="2" a="1"/>
  <c r="O280" i="2" a="1"/>
  <c r="O281" i="2" a="1"/>
  <c r="O282" i="2" a="1"/>
  <c r="O283" i="2" a="1"/>
  <c r="O284" i="2" a="1"/>
  <c r="O285" i="2" a="1"/>
  <c r="O286" i="2" a="1"/>
  <c r="O287" i="2" a="1"/>
  <c r="O288" i="2" a="1"/>
  <c r="O289" i="2" a="1"/>
  <c r="O290" i="2" a="1"/>
  <c r="O291" i="2" a="1"/>
  <c r="O292" i="2" a="1"/>
  <c r="O293" i="2" a="1"/>
  <c r="O294" i="2" a="1"/>
  <c r="O295" i="2" a="1"/>
  <c r="O296" i="2" a="1"/>
  <c r="O297" i="2" a="1"/>
  <c r="O299" i="2" a="1"/>
  <c r="O2" i="2" a="1"/>
  <c r="L297" i="2" a="1"/>
  <c r="S297" i="2"/>
  <c r="S2" i="2"/>
  <c r="S3" i="2"/>
  <c r="S4" i="2"/>
  <c r="S103" i="2"/>
  <c r="S5" i="2"/>
  <c r="S6" i="2"/>
  <c r="S210" i="2"/>
  <c r="S171" i="2"/>
  <c r="S211" i="2"/>
  <c r="S12" i="2"/>
  <c r="S9" i="2"/>
  <c r="S14" i="2"/>
  <c r="S15" i="2"/>
  <c r="S16" i="2"/>
  <c r="S17" i="2"/>
  <c r="S18" i="2"/>
  <c r="S212" i="2"/>
  <c r="S213" i="2"/>
  <c r="S19" i="2"/>
  <c r="S214" i="2"/>
  <c r="S104" i="2"/>
  <c r="S215" i="2"/>
  <c r="S216" i="2"/>
  <c r="S46" i="2"/>
  <c r="S217" i="2"/>
  <c r="S26" i="2"/>
  <c r="S47" i="2"/>
  <c r="S27" i="2"/>
  <c r="S180" i="2"/>
  <c r="S28" i="2"/>
  <c r="S218" i="2"/>
  <c r="S219" i="2"/>
  <c r="S62" i="2"/>
  <c r="S29" i="2"/>
  <c r="S30" i="2"/>
  <c r="S220" i="2"/>
  <c r="S221" i="2"/>
  <c r="S31" i="2"/>
  <c r="S32" i="2"/>
  <c r="S33" i="2"/>
  <c r="S139" i="2"/>
  <c r="S200" i="2"/>
  <c r="S34" i="2"/>
  <c r="S140" i="2"/>
  <c r="S141" i="2"/>
  <c r="S35" i="2"/>
  <c r="S222" i="2"/>
  <c r="S223" i="2"/>
  <c r="S142" i="2"/>
  <c r="S224" i="2"/>
  <c r="S225" i="2"/>
  <c r="S10" i="2"/>
  <c r="S226" i="2"/>
  <c r="S63" i="2"/>
  <c r="S56" i="2"/>
  <c r="S57" i="2"/>
  <c r="S7" i="2"/>
  <c r="S65" i="2"/>
  <c r="S66" i="2"/>
  <c r="S67" i="2"/>
  <c r="S68" i="2"/>
  <c r="S70" i="2"/>
  <c r="S71" i="2"/>
  <c r="S72" i="2"/>
  <c r="S73" i="2"/>
  <c r="S74" i="2"/>
  <c r="S227" i="2"/>
  <c r="S228" i="2"/>
  <c r="S58" i="2"/>
  <c r="S38" i="2"/>
  <c r="S75" i="2"/>
  <c r="S229" i="2"/>
  <c r="S230" i="2"/>
  <c r="S231" i="2"/>
  <c r="S76" i="2"/>
  <c r="S77" i="2"/>
  <c r="S78" i="2"/>
  <c r="S105" i="2"/>
  <c r="S232" i="2"/>
  <c r="S59" i="2"/>
  <c r="S80" i="2"/>
  <c r="S143" i="2"/>
  <c r="S81" i="2"/>
  <c r="S64" i="2"/>
  <c r="S41" i="2"/>
  <c r="S42" i="2"/>
  <c r="S208" i="2"/>
  <c r="S8" i="2"/>
  <c r="S60" i="2"/>
  <c r="S98" i="2"/>
  <c r="S144" i="2"/>
  <c r="S109" i="2"/>
  <c r="S233" i="2"/>
  <c r="S110" i="2"/>
  <c r="S69" i="2"/>
  <c r="S43" i="2"/>
  <c r="S44" i="2"/>
  <c r="S112" i="2"/>
  <c r="S113" i="2"/>
  <c r="S114" i="2"/>
  <c r="S115" i="2"/>
  <c r="S116" i="2"/>
  <c r="S234" i="2"/>
  <c r="S235" i="2"/>
  <c r="S206" i="2"/>
  <c r="S117" i="2"/>
  <c r="S118" i="2"/>
  <c r="S236" i="2"/>
  <c r="S119" i="2"/>
  <c r="S99" i="2"/>
  <c r="S237" i="2"/>
  <c r="S120" i="2"/>
  <c r="S45" i="2"/>
  <c r="S181" i="2"/>
  <c r="S121" i="2"/>
  <c r="S79" i="2"/>
  <c r="S122" i="2"/>
  <c r="S196" i="2"/>
  <c r="S106" i="2"/>
  <c r="S123" i="2"/>
  <c r="S124" i="2"/>
  <c r="S125" i="2"/>
  <c r="S172" i="2"/>
  <c r="S126" i="2"/>
  <c r="S127" i="2"/>
  <c r="S128" i="2"/>
  <c r="S97" i="2"/>
  <c r="S107" i="2"/>
  <c r="S108" i="2"/>
  <c r="S145" i="2"/>
  <c r="S147" i="2"/>
  <c r="S238" i="2"/>
  <c r="S148" i="2"/>
  <c r="S149" i="2"/>
  <c r="S150" i="2"/>
  <c r="S239" i="2"/>
  <c r="S151" i="2"/>
  <c r="S240" i="2"/>
  <c r="S152" i="2"/>
  <c r="S153" i="2"/>
  <c r="S154" i="2"/>
  <c r="S201" i="2"/>
  <c r="S155" i="2"/>
  <c r="S156" i="2"/>
  <c r="S157" i="2"/>
  <c r="S158" i="2"/>
  <c r="S159" i="2"/>
  <c r="S11" i="2"/>
  <c r="S160" i="2"/>
  <c r="S241" i="2"/>
  <c r="S242" i="2"/>
  <c r="S161" i="2"/>
  <c r="S111" i="2"/>
  <c r="S243" i="2"/>
  <c r="S13" i="2"/>
  <c r="S20" i="2"/>
  <c r="S135" i="2"/>
  <c r="S22" i="2"/>
  <c r="S163" i="2"/>
  <c r="S164" i="2"/>
  <c r="S165" i="2"/>
  <c r="S146" i="2"/>
  <c r="S166" i="2"/>
  <c r="S23" i="2"/>
  <c r="S167" i="2"/>
  <c r="S24" i="2"/>
  <c r="S168" i="2"/>
  <c r="S182" i="2"/>
  <c r="S183" i="2"/>
  <c r="S173" i="2"/>
  <c r="S184" i="2"/>
  <c r="S48" i="2"/>
  <c r="S185" i="2"/>
  <c r="S178" i="2"/>
  <c r="S179" i="2"/>
  <c r="S186" i="2"/>
  <c r="S187" i="2"/>
  <c r="S188" i="2"/>
  <c r="S36" i="2"/>
  <c r="S49" i="2"/>
  <c r="S189" i="2"/>
  <c r="S190" i="2"/>
  <c r="S174" i="2"/>
  <c r="S50" i="2"/>
  <c r="S191" i="2"/>
  <c r="S37" i="2"/>
  <c r="S51" i="2"/>
  <c r="S39" i="2"/>
  <c r="S192" i="2"/>
  <c r="S193" i="2"/>
  <c r="S175" i="2"/>
  <c r="S194" i="2"/>
  <c r="S176" i="2"/>
  <c r="S195" i="2"/>
  <c r="S177" i="2"/>
  <c r="S202" i="2"/>
  <c r="S203" i="2"/>
  <c r="S88" i="2"/>
  <c r="S204" i="2"/>
  <c r="S89" i="2"/>
  <c r="S205" i="2"/>
  <c r="S90" i="2"/>
  <c r="S91" i="2"/>
  <c r="S199" i="2"/>
  <c r="S209" i="2"/>
  <c r="S82" i="2"/>
  <c r="S207" i="2"/>
  <c r="S244" i="2"/>
  <c r="S83" i="2"/>
  <c r="S84" i="2"/>
  <c r="S92" i="2"/>
  <c r="S245" i="2"/>
  <c r="S246" i="2"/>
  <c r="S93" i="2"/>
  <c r="S247" i="2"/>
  <c r="S85" i="2"/>
  <c r="S248" i="2"/>
  <c r="S86" i="2"/>
  <c r="S129" i="2"/>
  <c r="S249" i="2"/>
  <c r="S250" i="2"/>
  <c r="S251" i="2"/>
  <c r="S137" i="2"/>
  <c r="S252" i="2"/>
  <c r="S253" i="2"/>
  <c r="S254" i="2"/>
  <c r="S255" i="2"/>
  <c r="S256" i="2"/>
  <c r="S138" i="2"/>
  <c r="S162" i="2"/>
  <c r="S257" i="2"/>
  <c r="S258" i="2"/>
  <c r="S259" i="2"/>
  <c r="S260" i="2"/>
  <c r="S261" i="2"/>
  <c r="S262" i="2"/>
  <c r="S263" i="2"/>
  <c r="S264" i="2"/>
  <c r="S265" i="2"/>
  <c r="S21" i="2"/>
  <c r="S266" i="2"/>
  <c r="S267" i="2"/>
  <c r="S268" i="2"/>
  <c r="S269" i="2"/>
  <c r="S270" i="2"/>
  <c r="S271" i="2"/>
  <c r="S52" i="2"/>
  <c r="S53" i="2"/>
  <c r="S272" i="2"/>
  <c r="S273" i="2"/>
  <c r="S274" i="2"/>
  <c r="S275" i="2"/>
  <c r="S40" i="2"/>
  <c r="S276" i="2"/>
  <c r="S54" i="2"/>
  <c r="S277" i="2"/>
  <c r="S278" i="2"/>
  <c r="S279" i="2"/>
  <c r="S94" i="2"/>
  <c r="S280" i="2"/>
  <c r="S281" i="2"/>
  <c r="S95" i="2"/>
  <c r="S96" i="2"/>
  <c r="S61" i="2"/>
  <c r="S282" i="2"/>
  <c r="S87" i="2"/>
  <c r="S130" i="2"/>
  <c r="S283" i="2"/>
  <c r="S131" i="2"/>
  <c r="S284" i="2"/>
  <c r="S102" i="2"/>
  <c r="S285" i="2"/>
  <c r="S286" i="2"/>
  <c r="S287" i="2"/>
  <c r="S288" i="2"/>
  <c r="S100" i="2"/>
  <c r="S289" i="2"/>
  <c r="S132" i="2"/>
  <c r="S290" i="2"/>
  <c r="S291" i="2"/>
  <c r="S292" i="2"/>
  <c r="S101" i="2"/>
  <c r="S133" i="2"/>
  <c r="S293" i="2"/>
  <c r="S134" i="2"/>
  <c r="S294" i="2"/>
  <c r="S295" i="2"/>
  <c r="S169" i="2"/>
  <c r="S170" i="2"/>
  <c r="S136" i="2"/>
  <c r="S296" i="2"/>
  <c r="S197" i="2"/>
  <c r="S198" i="2"/>
  <c r="S299" i="2"/>
  <c r="S25" i="2"/>
  <c r="A216" i="2"/>
  <c r="L216" i="2" a="1"/>
  <c r="L217" i="2" a="1"/>
  <c r="A217" i="2"/>
  <c r="L247" i="2" a="1"/>
  <c r="A247" i="2"/>
  <c r="L293" i="2" a="1"/>
  <c r="A293" i="2"/>
  <c r="A294" i="2"/>
  <c r="L294" i="2" a="1"/>
  <c r="L296" i="2" a="1"/>
  <c r="A296" i="2"/>
  <c r="A226" i="2"/>
  <c r="A280" i="2"/>
  <c r="A222" i="2"/>
  <c r="A215" i="2"/>
  <c r="A224" i="2"/>
  <c r="A250" i="2"/>
  <c r="A249" i="2"/>
  <c r="A255" i="2"/>
  <c r="A299" i="2"/>
  <c r="A228" i="2"/>
  <c r="A264" i="2"/>
  <c r="A257" i="2"/>
  <c r="A271" i="2"/>
  <c r="A282" i="2"/>
  <c r="A238" i="2"/>
  <c r="A241" i="2"/>
  <c r="L226" i="2" a="1"/>
  <c r="L280" i="2" a="1"/>
  <c r="L222" i="2" a="1"/>
  <c r="L215" i="2" a="1"/>
  <c r="L224" i="2" a="1"/>
  <c r="L250" i="2" a="1"/>
  <c r="L249" i="2" a="1"/>
  <c r="L255" i="2" a="1"/>
  <c r="L299" i="2" a="1"/>
  <c r="L228" i="2" a="1"/>
  <c r="L264" i="2" a="1"/>
  <c r="L257" i="2" a="1"/>
  <c r="L271" i="2" a="1"/>
  <c r="L282" i="2" a="1"/>
  <c r="L238" i="2" a="1"/>
  <c r="L241" i="2" a="1"/>
  <c r="A292" i="2"/>
  <c r="A290" i="2"/>
  <c r="A235" i="2"/>
  <c r="A288" i="2"/>
  <c r="A283" i="2"/>
  <c r="L292" i="2" a="1"/>
  <c r="L290" i="2" a="1"/>
  <c r="L235" i="2" a="1"/>
  <c r="L288" i="2" a="1"/>
  <c r="L283" i="2" a="1"/>
  <c r="L287" i="2" a="1"/>
  <c r="L259" i="2" a="1"/>
  <c r="L295" i="2" a="1"/>
  <c r="L279" i="2" a="1"/>
  <c r="L277" i="2" a="1"/>
  <c r="L286" i="2" a="1"/>
  <c r="L231" i="2" a="1"/>
  <c r="L284" i="2" a="1"/>
  <c r="L270" i="2" a="1"/>
  <c r="L278" i="2" a="1"/>
  <c r="L258" i="2" a="1"/>
  <c r="L285" i="2" a="1"/>
  <c r="L261" i="2" a="1"/>
  <c r="L213" i="2" a="1"/>
  <c r="L246" i="2" a="1"/>
  <c r="L245" i="2" a="1"/>
  <c r="L248" i="2" a="1"/>
  <c r="L252" i="2" a="1"/>
  <c r="L281" i="2" a="1"/>
  <c r="L256" i="2" a="1"/>
  <c r="L274" i="2" a="1"/>
  <c r="L275" i="2" a="1"/>
  <c r="L267" i="2" a="1"/>
  <c r="L239" i="2" a="1"/>
  <c r="L260" i="2" a="1"/>
  <c r="L266" i="2" a="1"/>
  <c r="L273" i="2" a="1"/>
  <c r="L276" i="2" a="1"/>
  <c r="L229" i="2" a="1"/>
  <c r="L253" i="2" a="1"/>
  <c r="L214" i="2" a="1"/>
  <c r="L254" i="2" a="1"/>
  <c r="L237" i="2" a="1"/>
  <c r="L262" i="2" a="1"/>
  <c r="L265" i="2" a="1"/>
  <c r="L251" i="2" a="1"/>
  <c r="L268" i="2" a="1"/>
  <c r="L230" i="2" a="1"/>
  <c r="L233" i="2" a="1"/>
  <c r="L211" i="2" a="1"/>
  <c r="L244" i="2" a="1"/>
  <c r="L234" i="2" a="1"/>
  <c r="L291" i="2" a="1"/>
  <c r="L227" i="2" a="1"/>
  <c r="L240" i="2" a="1"/>
  <c r="L220" i="2" a="1"/>
  <c r="L242" i="2" a="1"/>
  <c r="L272" i="2" a="1"/>
  <c r="L243" i="2" a="1"/>
  <c r="L236" i="2" a="1"/>
  <c r="L232" i="2" a="1"/>
  <c r="L269" i="2" a="1"/>
  <c r="L219" i="2" a="1"/>
  <c r="L210" i="2" a="1"/>
  <c r="L221" i="2" a="1"/>
  <c r="L223" i="2" a="1"/>
  <c r="L218" i="2" a="1"/>
  <c r="L225" i="2" a="1"/>
  <c r="A287" i="2"/>
  <c r="A259" i="2"/>
  <c r="A295" i="2"/>
  <c r="A279" i="2"/>
  <c r="A277" i="2"/>
  <c r="A286" i="2"/>
  <c r="A231" i="2"/>
  <c r="A284" i="2"/>
  <c r="A270" i="2"/>
  <c r="A278" i="2"/>
  <c r="A258" i="2"/>
  <c r="A285" i="2"/>
  <c r="A261" i="2"/>
  <c r="A213" i="2"/>
  <c r="A246" i="2"/>
  <c r="A245" i="2"/>
  <c r="A248" i="2"/>
  <c r="A252" i="2"/>
  <c r="A281" i="2"/>
  <c r="A256" i="2"/>
  <c r="A274" i="2"/>
  <c r="A275" i="2"/>
  <c r="A267" i="2"/>
  <c r="A239" i="2"/>
  <c r="A260" i="2"/>
  <c r="A266" i="2"/>
  <c r="A273" i="2"/>
  <c r="A276" i="2"/>
  <c r="A229" i="2"/>
  <c r="A253" i="2"/>
  <c r="A214" i="2"/>
  <c r="A254" i="2"/>
  <c r="A237" i="2"/>
  <c r="A262" i="2"/>
  <c r="A265" i="2"/>
  <c r="A251" i="2"/>
  <c r="A268" i="2"/>
  <c r="A230" i="2"/>
  <c r="A233" i="2"/>
  <c r="A211" i="2"/>
  <c r="A244" i="2"/>
  <c r="A234" i="2"/>
  <c r="A291" i="2"/>
  <c r="A227" i="2"/>
  <c r="A240" i="2"/>
  <c r="A220" i="2"/>
  <c r="A242" i="2"/>
  <c r="A272" i="2"/>
  <c r="A243" i="2"/>
  <c r="A236" i="2"/>
  <c r="A232" i="2"/>
  <c r="A269" i="2"/>
  <c r="A219" i="2"/>
  <c r="A210" i="2"/>
  <c r="A221" i="2"/>
  <c r="A223" i="2"/>
  <c r="A218" i="2"/>
  <c r="A225" i="2"/>
  <c r="L289" i="2" a="1"/>
  <c r="L263" i="2" a="1"/>
  <c r="A289" i="2"/>
  <c r="A263" i="2"/>
  <c r="A212" i="2"/>
  <c r="L212" i="2" a="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 i="5"/>
  <c r="L19" i="2" a="1"/>
  <c r="L80" i="2" a="1"/>
  <c r="L124" i="2" a="1"/>
  <c r="L166" i="2" a="1"/>
  <c r="A19" i="2"/>
  <c r="A80" i="2"/>
  <c r="A124" i="2"/>
  <c r="A166" i="2"/>
  <c r="L18" i="2" a="1"/>
  <c r="A18" i="2"/>
  <c r="L207" i="2" a="1"/>
  <c r="L208" i="2" a="1"/>
  <c r="L209" i="2" a="1"/>
  <c r="L202" i="2" a="1"/>
  <c r="L206" i="2" a="1"/>
  <c r="L79" i="2" a="1"/>
  <c r="L199" i="2" a="1"/>
  <c r="L203" i="2" a="1"/>
  <c r="L200" i="2" a="1"/>
  <c r="L204" i="2" a="1"/>
  <c r="L201" i="2" a="1"/>
  <c r="L205" i="2" a="1"/>
  <c r="L180" i="2" a="1"/>
  <c r="L179" i="2" a="1"/>
  <c r="L178" i="2" a="1"/>
  <c r="L197" i="2" a="1"/>
  <c r="L182" i="2" a="1"/>
  <c r="L177" i="2" a="1"/>
  <c r="L189" i="2" a="1"/>
  <c r="L42" i="2" a="1"/>
  <c r="L194" i="2" a="1"/>
  <c r="L175" i="2" a="1"/>
  <c r="L172" i="2" a="1"/>
  <c r="L181" i="2" a="1"/>
  <c r="L174" i="2" a="1"/>
  <c r="L176" i="2" a="1"/>
  <c r="L191" i="2" a="1"/>
  <c r="L196" i="2" a="1"/>
  <c r="L184" i="2" a="1"/>
  <c r="L173" i="2" a="1"/>
  <c r="L198" i="2" a="1"/>
  <c r="L185" i="2" a="1"/>
  <c r="L188" i="2" a="1"/>
  <c r="L183" i="2" a="1"/>
  <c r="L195" i="2" a="1"/>
  <c r="L192" i="2" a="1"/>
  <c r="L190" i="2" a="1"/>
  <c r="L193" i="2" a="1"/>
  <c r="L187" i="2" a="1"/>
  <c r="L186" i="2" a="1"/>
  <c r="L141" i="2" a="1"/>
  <c r="L144" i="2" a="1"/>
  <c r="L140" i="2" a="1"/>
  <c r="L167" i="2" a="1"/>
  <c r="L162" i="2" a="1"/>
  <c r="L138" i="2" a="1"/>
  <c r="L137" i="2" a="1"/>
  <c r="L168" i="2" a="1"/>
  <c r="L165" i="2" a="1"/>
  <c r="L152" i="2" a="1"/>
  <c r="L135" i="2" a="1"/>
  <c r="L136" i="2" a="1"/>
  <c r="L147" i="2" a="1"/>
  <c r="L161" i="2" a="1"/>
  <c r="L164" i="2" a="1"/>
  <c r="L171" i="2" a="1"/>
  <c r="L159" i="2" a="1"/>
  <c r="L156" i="2" a="1"/>
  <c r="L148" i="2" a="1"/>
  <c r="L157" i="2" a="1"/>
  <c r="L158" i="2" a="1"/>
  <c r="L160" i="2" a="1"/>
  <c r="L149" i="2" a="1"/>
  <c r="L155" i="2" a="1"/>
  <c r="L139" i="2" a="1"/>
  <c r="L154" i="2" a="1"/>
  <c r="L153" i="2" a="1"/>
  <c r="L170" i="2" a="1"/>
  <c r="L146" i="2" a="1"/>
  <c r="L150" i="2" a="1"/>
  <c r="L163" i="2" a="1"/>
  <c r="L143" i="2" a="1"/>
  <c r="L169" i="2" a="1"/>
  <c r="L145" i="2" a="1"/>
  <c r="L151" i="2" a="1"/>
  <c r="L142" i="2" a="1"/>
  <c r="L123" i="2" a="1"/>
  <c r="L105" i="2" a="1"/>
  <c r="L115" i="2" a="1"/>
  <c r="L116" i="2" a="1"/>
  <c r="L121" i="2" a="1"/>
  <c r="L103" i="2" a="1"/>
  <c r="L126" i="2" a="1"/>
  <c r="L119" i="2" a="1"/>
  <c r="L128" i="2" a="1"/>
  <c r="L125" i="2" a="1"/>
  <c r="L122" i="2" a="1"/>
  <c r="L69" i="2" a="1"/>
  <c r="L129" i="2" a="1"/>
  <c r="L134" i="2" a="1"/>
  <c r="L109" i="2" a="1"/>
  <c r="L100" i="2" a="1"/>
  <c r="L130" i="2" a="1"/>
  <c r="L98" i="2" a="1"/>
  <c r="L133" i="2" a="1"/>
  <c r="L101" i="2" a="1"/>
  <c r="L107" i="2" a="1"/>
  <c r="L97" i="2" a="1"/>
  <c r="L108" i="2" a="1"/>
  <c r="L118" i="2" a="1"/>
  <c r="L113" i="2" a="1"/>
  <c r="L114" i="2" a="1"/>
  <c r="L132" i="2" a="1"/>
  <c r="L120" i="2" a="1"/>
  <c r="L99" i="2" a="1"/>
  <c r="L131" i="2" a="1"/>
  <c r="L102" i="2" a="1"/>
  <c r="L127" i="2" a="1"/>
  <c r="L110" i="2" a="1"/>
  <c r="L106" i="2" a="1"/>
  <c r="L117" i="2" a="1"/>
  <c r="L112" i="2" a="1"/>
  <c r="L111" i="2" a="1"/>
  <c r="L104" i="2" a="1"/>
  <c r="L65" i="2" a="1"/>
  <c r="L76" i="2" a="1"/>
  <c r="L86" i="2" a="1"/>
  <c r="L84" i="2" a="1"/>
  <c r="L62" i="2" a="1"/>
  <c r="L81" i="2" a="1"/>
  <c r="L85" i="2" a="1"/>
  <c r="L73" i="2" a="1"/>
  <c r="L71" i="2" a="1"/>
  <c r="L70" i="2" a="1"/>
  <c r="L68" i="2" a="1"/>
  <c r="L87" i="2" a="1"/>
  <c r="L67" i="2" a="1"/>
  <c r="L93" i="2" a="1"/>
  <c r="L92" i="2" a="1"/>
  <c r="L91" i="2" a="1"/>
  <c r="L90" i="2" a="1"/>
  <c r="L89" i="2" a="1"/>
  <c r="L74" i="2" a="1"/>
  <c r="L88" i="2" a="1"/>
  <c r="L94" i="2" a="1"/>
  <c r="L96" i="2" a="1"/>
  <c r="L60" i="2" a="1"/>
  <c r="L61" i="2" a="1"/>
  <c r="L66" i="2" a="1"/>
  <c r="L64" i="2" a="1"/>
  <c r="L57" i="2" a="1"/>
  <c r="L56" i="2" a="1"/>
  <c r="L83" i="2" a="1"/>
  <c r="L82" i="2" a="1"/>
  <c r="L95" i="2" a="1"/>
  <c r="L59" i="2" a="1"/>
  <c r="L58" i="2" a="1"/>
  <c r="L77" i="2" a="1"/>
  <c r="L78" i="2" a="1"/>
  <c r="L75" i="2" a="1"/>
  <c r="L63" i="2" a="1"/>
  <c r="L72" i="2" a="1"/>
  <c r="L47" i="2" a="1"/>
  <c r="L43" i="2" a="1"/>
  <c r="L25" i="2" a="1"/>
  <c r="L45" i="2" a="1"/>
  <c r="L29" i="2" a="1"/>
  <c r="L34" i="2" a="1"/>
  <c r="L26" i="2" a="1"/>
  <c r="L31" i="2" a="1"/>
  <c r="L38" i="2" a="1"/>
  <c r="L28" i="2" a="1"/>
  <c r="L49" i="2" a="1"/>
  <c r="L39" i="2" a="1"/>
  <c r="L51" i="2" a="1"/>
  <c r="L37" i="2" a="1"/>
  <c r="L50" i="2" a="1"/>
  <c r="L36" i="2" a="1"/>
  <c r="L48" i="2" a="1"/>
  <c r="L46" i="2" a="1"/>
  <c r="L53" i="2" a="1"/>
  <c r="L40" i="2" a="1"/>
  <c r="L30" i="2" a="1"/>
  <c r="L35" i="2" a="1"/>
  <c r="L54" i="2" a="1"/>
  <c r="L52" i="2" a="1"/>
  <c r="L41" i="2" a="1"/>
  <c r="L33" i="2" a="1"/>
  <c r="L27" i="2" a="1"/>
  <c r="L32" i="2" a="1"/>
  <c r="L44" i="2" a="1"/>
  <c r="L15" i="2" a="1"/>
  <c r="L20" i="2" a="1"/>
  <c r="L14" i="2" a="1"/>
  <c r="L17" i="2" a="1"/>
  <c r="L21" i="2" a="1"/>
  <c r="L24" i="2" a="1"/>
  <c r="L23" i="2" a="1"/>
  <c r="L22" i="2" a="1"/>
  <c r="L16" i="2" a="1"/>
  <c r="L10" i="2" a="1"/>
  <c r="L12" i="2" a="1"/>
  <c r="L9" i="2" a="1"/>
  <c r="L13" i="2" a="1"/>
  <c r="L11" i="2" a="1"/>
  <c r="L4" i="2" a="1"/>
  <c r="L5" i="2" a="1"/>
  <c r="L6" i="2" a="1"/>
  <c r="L3" i="2" a="1"/>
  <c r="L2" i="2" a="1"/>
  <c r="L7" i="2" a="1"/>
  <c r="L8" i="2" a="1"/>
  <c r="A44" i="2"/>
  <c r="A4" i="2"/>
  <c r="A47" i="2"/>
  <c r="A5" i="2"/>
  <c r="A3" i="2"/>
  <c r="A8" i="2"/>
  <c r="A9" i="2"/>
  <c r="A13" i="2"/>
  <c r="A15" i="2"/>
  <c r="A14" i="2"/>
  <c r="A21" i="2"/>
  <c r="A20" i="2"/>
  <c r="A22" i="2"/>
  <c r="A23" i="2"/>
  <c r="A24" i="2"/>
  <c r="A26" i="2"/>
  <c r="A52" i="2"/>
  <c r="A54" i="2"/>
  <c r="A45" i="2"/>
  <c r="A29" i="2"/>
  <c r="A32" i="2"/>
  <c r="A27" i="2"/>
  <c r="A33" i="2"/>
  <c r="A25" i="2"/>
  <c r="A35" i="2"/>
  <c r="A31" i="2"/>
  <c r="A28" i="2"/>
  <c r="A30" i="2"/>
  <c r="A38" i="2"/>
  <c r="A41" i="2"/>
  <c r="A40" i="2"/>
  <c r="A53" i="2"/>
  <c r="A46" i="2"/>
  <c r="A48" i="2"/>
  <c r="A36" i="2"/>
  <c r="A12" i="2"/>
  <c r="A50" i="2"/>
  <c r="A37" i="2"/>
  <c r="A51" i="2"/>
  <c r="A39" i="2"/>
  <c r="A49" i="2"/>
  <c r="A59" i="2"/>
  <c r="A95" i="2"/>
  <c r="A76" i="2"/>
  <c r="A68" i="2"/>
  <c r="A78" i="2"/>
  <c r="A77" i="2"/>
  <c r="A65" i="2"/>
  <c r="A72" i="2"/>
  <c r="A56" i="2"/>
  <c r="A63" i="2"/>
  <c r="A81" i="2"/>
  <c r="A62" i="2"/>
  <c r="A57" i="2"/>
  <c r="A66" i="2"/>
  <c r="A70" i="2"/>
  <c r="A73" i="2"/>
  <c r="A67" i="2"/>
  <c r="A64" i="2"/>
  <c r="A71" i="2"/>
  <c r="A87" i="2"/>
  <c r="A61" i="2"/>
  <c r="A60" i="2"/>
  <c r="A96" i="2"/>
  <c r="A94" i="2"/>
  <c r="A88" i="2"/>
  <c r="A74" i="2"/>
  <c r="A89" i="2"/>
  <c r="A90" i="2"/>
  <c r="A91" i="2"/>
  <c r="A82" i="2"/>
  <c r="A83" i="2"/>
  <c r="A84" i="2"/>
  <c r="A92" i="2"/>
  <c r="A93" i="2"/>
  <c r="A85" i="2"/>
  <c r="A86" i="2"/>
  <c r="A102" i="2"/>
  <c r="A131" i="2"/>
  <c r="A99" i="2"/>
  <c r="A104" i="2"/>
  <c r="A114" i="2"/>
  <c r="A106" i="2"/>
  <c r="A113" i="2"/>
  <c r="A116" i="2"/>
  <c r="A111" i="2"/>
  <c r="A110" i="2"/>
  <c r="A132" i="2"/>
  <c r="A112" i="2"/>
  <c r="A127" i="2"/>
  <c r="A122" i="2"/>
  <c r="A118" i="2"/>
  <c r="A115" i="2"/>
  <c r="A126" i="2"/>
  <c r="A125" i="2"/>
  <c r="A117" i="2"/>
  <c r="A103" i="2"/>
  <c r="A108" i="2"/>
  <c r="A97" i="2"/>
  <c r="A107" i="2"/>
  <c r="A109" i="2"/>
  <c r="A69" i="2"/>
  <c r="A101" i="2"/>
  <c r="A133" i="2"/>
  <c r="A98" i="2"/>
  <c r="A130" i="2"/>
  <c r="A100" i="2"/>
  <c r="A120" i="2"/>
  <c r="A121" i="2"/>
  <c r="A134" i="2"/>
  <c r="A129" i="2"/>
  <c r="A128" i="2"/>
  <c r="A139" i="2"/>
  <c r="A150" i="2"/>
  <c r="A160" i="2"/>
  <c r="A144" i="2"/>
  <c r="A141" i="2"/>
  <c r="A142" i="2"/>
  <c r="A148" i="2"/>
  <c r="A155" i="2"/>
  <c r="A158" i="2"/>
  <c r="A164" i="2"/>
  <c r="A170" i="2"/>
  <c r="A146" i="2"/>
  <c r="A156" i="2"/>
  <c r="A157" i="2"/>
  <c r="A159" i="2"/>
  <c r="A171" i="2"/>
  <c r="A167" i="2"/>
  <c r="A151" i="2"/>
  <c r="A140" i="2"/>
  <c r="A161" i="2"/>
  <c r="A149" i="2"/>
  <c r="A136" i="2"/>
  <c r="A135" i="2"/>
  <c r="A145" i="2"/>
  <c r="A152" i="2"/>
  <c r="A153" i="2"/>
  <c r="A154" i="2"/>
  <c r="A165" i="2"/>
  <c r="A168" i="2"/>
  <c r="A169" i="2"/>
  <c r="A137" i="2"/>
  <c r="A138" i="2"/>
  <c r="A162" i="2"/>
  <c r="A198" i="2"/>
  <c r="A173" i="2"/>
  <c r="A186" i="2"/>
  <c r="A185" i="2"/>
  <c r="A180" i="2"/>
  <c r="A193" i="2"/>
  <c r="A190" i="2"/>
  <c r="A192" i="2"/>
  <c r="A196" i="2"/>
  <c r="A189" i="2"/>
  <c r="A184" i="2"/>
  <c r="A191" i="2"/>
  <c r="A176" i="2"/>
  <c r="A174" i="2"/>
  <c r="A181" i="2"/>
  <c r="A172" i="2"/>
  <c r="A175" i="2"/>
  <c r="A194" i="2"/>
  <c r="A187" i="2"/>
  <c r="A42" i="2"/>
  <c r="A188" i="2"/>
  <c r="A177" i="2"/>
  <c r="A182" i="2"/>
  <c r="A197" i="2"/>
  <c r="A195" i="2"/>
  <c r="A178" i="2"/>
  <c r="A179" i="2"/>
  <c r="A199" i="2"/>
  <c r="A200" i="2"/>
  <c r="A203" i="2"/>
  <c r="A201" i="2"/>
  <c r="A204" i="2"/>
  <c r="A205" i="2"/>
  <c r="A79" i="2"/>
  <c r="A206" i="2"/>
  <c r="A202" i="2"/>
  <c r="A209" i="2"/>
  <c r="A208" i="2"/>
  <c r="A207" i="2"/>
  <c r="A58" i="2"/>
  <c r="A75" i="2"/>
  <c r="A105" i="2"/>
  <c r="A147" i="2"/>
  <c r="A16" i="2"/>
  <c r="A119" i="2"/>
  <c r="A143" i="2"/>
  <c r="A163" i="2"/>
  <c r="A34" i="2"/>
  <c r="A43" i="2"/>
  <c r="A17" i="2"/>
  <c r="A183" i="2"/>
  <c r="A10" i="2"/>
  <c r="A123" i="2"/>
  <c r="A7" i="2"/>
  <c r="A11" i="2"/>
  <c r="A6" i="2"/>
  <c r="A2" i="2"/>
  <c r="E9" i="6"/>
  <c r="E10" i="6"/>
  <c r="E11" i="6"/>
  <c r="E12" i="6"/>
  <c r="E13" i="6"/>
  <c r="E14" i="6"/>
  <c r="E15" i="6"/>
  <c r="E16" i="6"/>
  <c r="E17" i="6"/>
  <c r="E8" i="6"/>
  <c r="E2" i="6"/>
  <c r="E3" i="6"/>
  <c r="E4" i="6"/>
  <c r="E5" i="6"/>
  <c r="E6" i="6"/>
  <c r="E1"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<sst xmlns="http://schemas.openxmlformats.org/spreadsheetml/2006/main" count="4659" uniqueCount="1849">
  <si>
    <t>https://xhamster18.desi/videos/nubile-films-seductive-games-of-passion-3267609</t>
  </si>
  <si>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</si>
  <si>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</si>
  <si>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</si>
  <si>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</si>
  <si>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</si>
  <si>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</si>
  <si>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</si>
  <si>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</si>
  <si>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</si>
  <si>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</si>
  <si>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</si>
  <si>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https://heavyfetish.com/videos/16497/device-bondage-2010-10298-isislove-amberrayne-missjadeindica/</t>
  </si>
  <si>
    <t>https://heavyfetish.com/videos/6454/infernal-restraints-dakota-marr-wrong-house-pretzel/</t>
  </si>
  <si>
    <t>https://heavyfetish.com/videos/6476/infernal-restraints-sister-dee-the-fly/</t>
  </si>
  <si>
    <t>https://heavyfetish.com/videos/6345/infernal-restraints-katie-kush-crush/</t>
  </si>
  <si>
    <t>https://heavyfetish.com/videos/6128/hogtied-yhivi/</t>
  </si>
  <si>
    <t>https://heavyfetish.com/videos/14079/wired-pussy-jade-indica-gets-spanked-and-shocked-in-hot-lesbian-bdsm-scene/</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</si>
  <si>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</si>
  <si>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</si>
  <si>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</si>
  <si>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</si>
  <si>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</si>
  <si>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</si>
  <si>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</si>
  <si>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</si>
  <si>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https://bdsmvilla.com/video/57349/roses-are-red</t>
  </si>
  <si>
    <t>https://bdsmvilla.com/video/57429/device-bondage</t>
  </si>
  <si>
    <t>https://bdsmvilla.com/video/57392/queen-snake-splits</t>
  </si>
  <si>
    <t>https://heavyfetish.com/videos/6121/hogtied-charlotte-cross-2/</t>
  </si>
  <si>
    <t>https://heavyfetish.com/videos/6039/hogtied-kendra-james/</t>
  </si>
  <si>
    <t>https://bdsmstreak.com/video/30350/calico-lane-ice-pony-outdoors</t>
  </si>
  <si>
    <t>https://punishworld.com/132373-the-fetish-shop-story-thieves-deserves-cruel-punishment-black-sonja-and-chanel-rough-bondage-movie-the-full-movie/</t>
  </si>
  <si>
    <t>https://bdsmvilla.com/video/37545/lorelei-lee-dominating-remy-lacroix</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</si>
  <si>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</si>
  <si>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</si>
  <si>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</si>
  <si>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</si>
  <si>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</si>
  <si>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</si>
  <si>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</si>
  <si>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</si>
  <si>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</si>
  <si>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</si>
  <si>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https://bdsmvilla.com/video/34184/holly-michaels-suspension-and-domination</t>
  </si>
  <si>
    <t>https://bdsmvilla.com/video/32839/shocking-her-holes</t>
  </si>
  <si>
    <t>https://bdsmvilla.com/video/59525/cheyenne-jewel-punished-with-unwilling-orgasms-and-mean-metal-bondage</t>
  </si>
  <si>
    <t>https://bdsmvilla.com/video/56824</t>
  </si>
  <si>
    <t>https://bdsmvilla.com/video/63317</t>
  </si>
  <si>
    <t>https://bdsmvilla.com/video/56618/newcomer-loses-her-innocence</t>
  </si>
  <si>
    <t>https://bdsmvilla.com/video/63471/journalist-ash-hollywood-learns-what-is-means-to-be-nonbiased-through-electro-motivation</t>
  </si>
  <si>
    <t>https://bdsmvilla.com/video/58177/kelly-divine-stretched-fucked-flogged-and-squirting-everywhere-rosebud-exposed</t>
  </si>
  <si>
    <t>https://heavyfetish.com/videos/5377/insex-burning-bush-313/</t>
  </si>
  <si>
    <t>https://bdsmvilla.com/video/58028/electric-body-used-to-power-a-light-bulb-and-butt-plug</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</si>
  <si>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</si>
  <si>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</si>
  <si>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</si>
  <si>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</si>
  <si>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</si>
  <si>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https://bdsmvilla.com/video/62480/wild-anal-seductress</t>
  </si>
  <si>
    <t>https://heavyfetish.com/videos/24728/thetrainingofo-daisy-ducati-2/</t>
  </si>
  <si>
    <t>https://heavyfetish.com/videos/13011/queensnake-trampling-holly-qs-holly/</t>
  </si>
  <si>
    <t>https://tube.perverzija.com/hotandmean-riley-reid-ryan-reidim-gonna-fuck-you-up/</t>
  </si>
  <si>
    <t>https://tube.perverzija.com/whengirlsplay-riley-reid-and-jill-kassidy-lesbian-bed-death/</t>
  </si>
  <si>
    <t>https://tube.perverzija.com/studio/kink/</t>
  </si>
  <si>
    <t>https://bdsmstreak.com/video/74080/oops-she-did-it-again-prostate-milking</t>
  </si>
  <si>
    <t>main_link</t>
  </si>
  <si>
    <t>website</t>
  </si>
  <si>
    <t>duration</t>
  </si>
  <si>
    <t>studio</t>
  </si>
  <si>
    <t>language</t>
  </si>
  <si>
    <t>core_cat</t>
  </si>
  <si>
    <t>link</t>
  </si>
  <si>
    <t>english</t>
  </si>
  <si>
    <t>general_tags</t>
  </si>
  <si>
    <t>rate</t>
  </si>
  <si>
    <t>lesbian</t>
  </si>
  <si>
    <t>sexually broken</t>
  </si>
  <si>
    <t>bdsm-soft-maledom</t>
  </si>
  <si>
    <t>bdsm-hard-maledom</t>
  </si>
  <si>
    <t>bdsm-hard-lesdom</t>
  </si>
  <si>
    <t>ass up face down</t>
  </si>
  <si>
    <t>doggy</t>
  </si>
  <si>
    <t>https://abxxx.com/video/367946/bdsm-session-with-janice-griffith/</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</si>
  <si>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</si>
  <si>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</si>
  <si>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</si>
  <si>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</si>
  <si>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</si>
  <si>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</si>
  <si>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</si>
  <si>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</si>
  <si>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</si>
  <si>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https://www.pornhits.com/video/30157/super-flexible-sensi-pearl-gets-tied-up-and-fucked/</t>
  </si>
  <si>
    <t>https://www.pornhits.com/video/26315/brat-princess-cuckoldress-with-chastity-lynn/</t>
  </si>
  <si>
    <t>chastity lynn</t>
  </si>
  <si>
    <t>wenona</t>
  </si>
  <si>
    <t>suspended split</t>
  </si>
  <si>
    <t>https://bdsmstreak.com/video/44559/nikki-darling-in-public-disgrace</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</si>
  <si>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</si>
  <si>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</si>
  <si>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</si>
  <si>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</si>
  <si>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</si>
  <si>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</si>
  <si>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</si>
  <si>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</si>
  <si>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</si>
  <si>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infernal restraints</t>
  </si>
  <si>
    <t>elise graves</t>
  </si>
  <si>
    <t>tied to bed</t>
  </si>
  <si>
    <t>head in toilet at 23m,inverted ass fuck at 31m,double 619 at 40m,locked bj with leash at 44m</t>
  </si>
  <si>
    <t>pick up and fuck at 35m,blindfold cunnilingus at 28m,pussy on pussy at 56m,ass to mouth and dick to ass at 1hr18m</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</si>
  <si>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</si>
  <si>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</si>
  <si>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</si>
  <si>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</si>
  <si>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</si>
  <si>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tightrope</t>
  </si>
  <si>
    <t>candle crotch walk at 12m,hot sauce chain walk at 16m</t>
  </si>
  <si>
    <t>panty inside asshole at 9m,dildo on face for facing sitting at 43m</t>
  </si>
  <si>
    <t>https://heavyfetish.com/videos/15887/theenglishmansion-leather-mistress-milking/</t>
  </si>
  <si>
    <t>the english mansion</t>
  </si>
  <si>
    <t>leather mistress</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</si>
  <si>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</si>
  <si>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</si>
  <si>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</si>
  <si>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</si>
  <si>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</si>
  <si>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</si>
  <si>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</si>
  <si>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</si>
  <si>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</si>
  <si>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</si>
  <si>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</si>
  <si>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</si>
  <si>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</si>
  <si>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</si>
  <si>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</si>
  <si>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https://heavyfetish.com/videos/86573/tall-blonde-amateur-gets-fucked-while-wearing-blackout-contact-lenses/</t>
  </si>
  <si>
    <t>https://bdsmstreak.com/video/53949/sasha-sparks-and-lacie-hart?jwsource=cl</t>
  </si>
  <si>
    <t>https://bdsmstreak.com/video/74984/melody-marks</t>
  </si>
  <si>
    <t>https://spankbang.com/9j37f/video/melody+marks+to+watch+a+predator</t>
  </si>
  <si>
    <t>https://txxx.me/videos/16561915/hegre-art-kiki-volcano-orgasm-massage/?promo=23513</t>
  </si>
  <si>
    <t>https://txxx.com/videos/4916899/mark-davis-princess-donna-dolore-in-princess-of-kink-sexandsubmission/</t>
  </si>
  <si>
    <t>https://heavyfetish.com/videos/9483/device-bondage-lily-2/</t>
  </si>
  <si>
    <t>https://curebdsm.com/filling-the-void</t>
  </si>
  <si>
    <t>https://curebdsm.com/stars/Lily%20LaBeau</t>
  </si>
  <si>
    <t>https://curebdsm.com/search?q=katie+kush</t>
  </si>
  <si>
    <t>https://heavyfetish.com/videos/11290/dungeoncorp-katie-kush-bondage-freak-1/</t>
  </si>
  <si>
    <t>https://www.tnaflix.com/anal-porn/Riley-Reid-Paige-Owens-Anal-Threesome/video6077551</t>
  </si>
  <si>
    <t>https://www.omg.xxx/videos/93789405/epic-anal-casey-calvert-dominates-tommy-king/</t>
  </si>
  <si>
    <t>https://curebdsm.com/super-slut</t>
  </si>
  <si>
    <t>https://www.tnaflix.com/anal-porn/Emily-Willis-Drenched-In-Oil-Anally-Drilled-EvilAngel/video4055707</t>
  </si>
  <si>
    <t>https://pornxp.com/videos/75763482924</t>
  </si>
  <si>
    <t>https://pornxp.com/tags/InnocentHigh</t>
  </si>
  <si>
    <t>https://www.porndead.org/video/ph6064cff14a9ce</t>
  </si>
  <si>
    <t>https://pornxp.com/videos/106369411584</t>
  </si>
  <si>
    <t>https://spankbang.com/5p9k8/video/rope+walk</t>
  </si>
  <si>
    <t>https://heavyfetish.com/videos/59166/zipped/</t>
  </si>
  <si>
    <t>dildo in mouth locked at 25</t>
  </si>
  <si>
    <t>donna dolore</t>
  </si>
  <si>
    <t>blindfolded guy,</t>
  </si>
  <si>
    <t>emily willis</t>
  </si>
  <si>
    <t>fill ass with lube at 7m</t>
  </si>
  <si>
    <t>bangbros</t>
  </si>
  <si>
    <t>pick up and eat pussy at 1m, 619 at 1m,stand up fuck at 10m</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</si>
  <si>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</si>
  <si>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</si>
  <si>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</si>
  <si>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</si>
  <si>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</si>
  <si>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</si>
  <si>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</si>
  <si>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</si>
  <si>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</si>
  <si>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</si>
  <si>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</si>
  <si>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</si>
  <si>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bdsm</t>
  </si>
  <si>
    <t>soft</t>
  </si>
  <si>
    <t>hard</t>
  </si>
  <si>
    <t>maledom</t>
  </si>
  <si>
    <t>femdom</t>
  </si>
  <si>
    <t>lesdom</t>
  </si>
  <si>
    <t>normal</t>
  </si>
  <si>
    <t>rough</t>
  </si>
  <si>
    <t>sensual</t>
  </si>
  <si>
    <t>cis</t>
  </si>
  <si>
    <t>normal-sensual-lesbian</t>
  </si>
  <si>
    <t>melody marks</t>
  </si>
  <si>
    <t>elle d</t>
  </si>
  <si>
    <t>lot of close up shots of oiled skin,fit girl abs</t>
  </si>
  <si>
    <t>lily labeau</t>
  </si>
  <si>
    <t>metal bondage of holding up the ass over the head in a flat position</t>
  </si>
  <si>
    <t>brazzers</t>
  </si>
  <si>
    <t>presley dawson</t>
  </si>
  <si>
    <t>side fuck few times, petite model and accurate to high school girl</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</si>
  <si>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</si>
  <si>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</si>
  <si>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</si>
  <si>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</si>
  <si>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</si>
  <si>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</si>
  <si>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</si>
  <si>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lay down legs to side</t>
  </si>
  <si>
    <t>feet torture at 30m</t>
  </si>
  <si>
    <t>also hits cowgirl and reverse cowgirl but not for long time</t>
  </si>
  <si>
    <t>nipple pinching at 4m,crotch rope held by weights at 9m,contraption to control weight of rope at 19m</t>
  </si>
  <si>
    <t>hard tied</t>
  </si>
  <si>
    <t>cherie deville</t>
  </si>
  <si>
    <t>tits tied hard at 15m,made to suck dildo and locked at 30m,anal hook at 35m</t>
  </si>
  <si>
    <t>nubile films</t>
  </si>
  <si>
    <t>syren de mer</t>
  </si>
  <si>
    <t>sensi pearl</t>
  </si>
  <si>
    <t>janice griffith</t>
  </si>
  <si>
    <t>tyler scott</t>
  </si>
  <si>
    <t>madeline marlowe</t>
  </si>
  <si>
    <t>calico lane</t>
  </si>
  <si>
    <t>sister dee</t>
  </si>
  <si>
    <t>sticks up the nose at 2m,hair in mouth at 5m,spreader bar on legs at  31m</t>
  </si>
  <si>
    <t>teen fidelity</t>
  </si>
  <si>
    <t>typical scene double team,hardcore movements</t>
  </si>
  <si>
    <t>bdsm-soft-lesdom</t>
  </si>
  <si>
    <t>wax at 20m,chained legs at 24m</t>
  </si>
  <si>
    <t>strapon blowjob at 12m</t>
  </si>
  <si>
    <t>kendra james</t>
  </si>
  <si>
    <t>rope is tightly held around the crotch at 10m</t>
  </si>
  <si>
    <t>joslyn james</t>
  </si>
  <si>
    <t>pussy lips held open at 16m,electro dildo in pussy at 17m</t>
  </si>
  <si>
    <t>llela</t>
  </si>
  <si>
    <t>pussy hair pulled by a weighted rope at 12m,feeding pussy hair at 24m,panty gag at 44m,inflating dildo inside pussy at 33m</t>
  </si>
  <si>
    <t>cherry torn</t>
  </si>
  <si>
    <t>toilet brush</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</si>
  <si>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</si>
  <si>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</si>
  <si>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</si>
  <si>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</si>
  <si>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</si>
  <si>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</si>
  <si>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</si>
  <si>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</si>
  <si>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</si>
  <si>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</si>
  <si>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</si>
  <si>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</si>
  <si>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</si>
  <si>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</si>
  <si>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</si>
  <si>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</si>
  <si>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</si>
  <si>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ass up face up legs joined</t>
  </si>
  <si>
    <t>wax at 34m,pretzel is half way</t>
  </si>
  <si>
    <t>annabelle lee</t>
  </si>
  <si>
    <t>shocking cane at 8m,tit pull and slap at 10m, panties in mouth at 10m,oil at 18m,electric steel plug and hook at 19m,nipple sticks at 42m</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</si>
  <si>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</si>
  <si>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</si>
  <si>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</si>
  <si>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</si>
  <si>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</si>
  <si>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</si>
  <si>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</si>
  <si>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</si>
  <si>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</si>
  <si>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</si>
  <si>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flagged suspicious,doesn’t load well, katie kush full length bdsm videos</t>
  </si>
  <si>
    <t>lily's full length bdsm videos but smaller collection and not very exciting</t>
  </si>
  <si>
    <t>lot of long length videos across several categories</t>
  </si>
  <si>
    <t>charlotte cross</t>
  </si>
  <si>
    <t>flag</t>
  </si>
  <si>
    <t>general videos mainly for random cases, not big studios</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</si>
  <si>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</si>
  <si>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</si>
  <si>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</si>
  <si>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</si>
  <si>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</si>
  <si>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</si>
  <si>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</si>
  <si>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</si>
  <si>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</si>
  <si>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</si>
  <si>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</si>
  <si>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</si>
  <si>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</si>
  <si>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</si>
  <si>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</si>
  <si>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</si>
  <si>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</si>
  <si>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</si>
  <si>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</si>
  <si>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</si>
  <si>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</si>
  <si>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</si>
  <si>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</si>
  <si>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</si>
  <si>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</si>
  <si>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</si>
  <si>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</si>
  <si>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</si>
  <si>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</si>
  <si>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</si>
  <si>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https://beeg.com/-0899813051751019</t>
  </si>
  <si>
    <t>ass fingering at 5m</t>
  </si>
  <si>
    <t>https://heavyfetish.com/videos/89132/siswet-receives-a-whole-foot-into-her-asshole/</t>
  </si>
  <si>
    <t>https://heavyfetish.com/videos/102397/divine-bitches-training-of-a-bitchboy/</t>
  </si>
  <si>
    <t>https://www.porntopedia.com/video/110258/lorelei-lees-ruthless-domination-divine-femdom-relentless-bondage/?utm_source=tubetraffic&amp;utm_medium=cpc&amp;utm_campaign=1&amp;utm_term=&amp;utm_content=</t>
  </si>
  <si>
    <t>https://heavyfetish.com/videos/102023/the-english-mansion-owned-by-kiana/</t>
  </si>
  <si>
    <t>lorelei lee</t>
  </si>
  <si>
    <t>kiana</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</si>
  <si>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</si>
  <si>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</si>
  <si>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</si>
  <si>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</si>
  <si>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</si>
  <si>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</si>
  <si>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</si>
  <si>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</si>
  <si>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basic femdom handjob videos, nothing super exlusive</t>
  </si>
  <si>
    <t>average quality humiliation videos, mostly feet and cum service</t>
  </si>
  <si>
    <t>amature and professional chastity along with high focus on torture and denial</t>
  </si>
  <si>
    <t>https://www.eporner.com/video-J7qRDyI3Im5/permanent-chastity/?trx=1227735290aee694b81473a256bea12420712</t>
  </si>
  <si>
    <t>adria rae</t>
  </si>
  <si>
    <t>https://www.porntrex.com/video/2979491/kink-penny-barber-gorgeous-gusher</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</si>
  <si>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</si>
  <si>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</si>
  <si>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</si>
  <si>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</si>
  <si>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</si>
  <si>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</si>
  <si>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</si>
  <si>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foot in ass at 0m, whole foot in ass at 3m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</si>
  <si>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</si>
  <si>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</si>
  <si>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</si>
  <si>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</si>
  <si>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</si>
  <si>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</si>
  <si>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https://www.porntry.com/videos/22501682/839b596862993727fd9847f01e9660fa/</t>
  </si>
  <si>
    <t>https://www.porntry.com/videos/22502128/48becf08ce1d8544f1ecd11b29940273/</t>
  </si>
  <si>
    <t>daphne rosen</t>
  </si>
  <si>
    <t>bobbi starr</t>
  </si>
  <si>
    <t>https://www.porntry.com/videos/22564804/1910c56168474048302fda1693b08f22/</t>
  </si>
  <si>
    <t>arabelle raphael</t>
  </si>
  <si>
    <t>https://tube.perverzija.com/meninpain-bobbi-starr-and-isis-love-the-reward/</t>
  </si>
  <si>
    <t>https://xhamster44.desi/videos/no-safe-word-xh5QQce?pw=</t>
  </si>
  <si>
    <t>https://www.tubebdsm.com/category/bdsm-extreme</t>
  </si>
  <si>
    <t>https://abbdsm.com/video/141957/hot-submissive-teen-18-babe-gets-ass-destroyed-in-anal-sex-domination-fuck/</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</si>
  <si>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</si>
  <si>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</si>
  <si>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</si>
  <si>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</si>
  <si>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</si>
  <si>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</si>
  <si>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</si>
  <si>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</si>
  <si>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cute and pretty girls with vanilla style basic porn, not very realistic but overall fun</t>
  </si>
  <si>
    <t>https://abxxx.com/video/376062/sex-amp-submission-audrey-rose/?campaign_id=520379779</t>
  </si>
  <si>
    <t>audrey rose</t>
  </si>
  <si>
    <t>high quality full length maledom and lesdom porn, acts as aggregator so some are paid</t>
  </si>
  <si>
    <t>https://www.eporner.com/video-ZBe3ACnRulb/maintain-your-balance/?trx=1227735290aee694b81473a256bea12420712</t>
  </si>
  <si>
    <t>stars</t>
  </si>
  <si>
    <t>categories</t>
  </si>
  <si>
    <t>positions</t>
  </si>
  <si>
    <t>piper perri,phoenix marie</t>
  </si>
  <si>
    <t>gia dimarco,ariel x</t>
  </si>
  <si>
    <t>ash,allie</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</si>
  <si>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</si>
  <si>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</si>
  <si>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</si>
  <si>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</si>
  <si>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</si>
  <si>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</si>
  <si>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</si>
  <si>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</si>
  <si>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</si>
  <si>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</si>
  <si>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</si>
  <si>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</si>
  <si>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</si>
  <si>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</si>
  <si>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</si>
  <si>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</si>
  <si>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</si>
  <si>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</si>
  <si>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</si>
  <si>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</si>
  <si>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</si>
  <si>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</si>
  <si>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</si>
  <si>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</si>
  <si>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</si>
  <si>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teacher-student,blowjob,piv,anal,petite,plaid</t>
  </si>
  <si>
    <t>fucking machine,gangbang,vibrator,blowjob,femdom,lesdom</t>
  </si>
  <si>
    <t>chastity,permanent chastity,torture,denial,cumshot,feet</t>
  </si>
  <si>
    <t>metal constraints,anal hook,wiregag,inflatable gag,fucking machine,shocking pussy</t>
  </si>
  <si>
    <t>electric,body clothespin,open mouth gag,ball gag,nipple suction,vibrator</t>
  </si>
  <si>
    <t>dildo stick,nipple clamps,rubber band feet,nipple clothespin,vibrator,ball gag</t>
  </si>
  <si>
    <t>open mouth gag,nose hook,dildo stick,chastity belt,suffocation,spreader bar</t>
  </si>
  <si>
    <t>oiled,massage,fingering,orgasm,fit girl</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</si>
  <si>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</si>
  <si>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</si>
  <si>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</si>
  <si>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</si>
  <si>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</si>
  <si>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</si>
  <si>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</si>
  <si>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humbler vertical,arched,lay down</t>
  </si>
  <si>
    <t>doggy,spread eagle,suspended</t>
  </si>
  <si>
    <t>frog,kneel down frog,pretzel</t>
  </si>
  <si>
    <t>tightrope,bent on wheel,doggy</t>
  </si>
  <si>
    <t>suspended,doggy,lay down</t>
  </si>
  <si>
    <t>wooden horse,bent,doggy</t>
  </si>
  <si>
    <t>missionary,doggy</t>
  </si>
  <si>
    <t>suspended,lay down</t>
  </si>
  <si>
    <t>missionary,lay down diamond,split face down suspended</t>
  </si>
  <si>
    <t>x vertical,doggy,m legs</t>
  </si>
  <si>
    <t>arms up tied,vertical m legs,joined legs up</t>
  </si>
  <si>
    <t>pretzel,ass up face up,spread eagle</t>
  </si>
  <si>
    <t>pretzel,one bar prison,split</t>
  </si>
  <si>
    <t>arms up tied,inverted hogtied,pretzel</t>
  </si>
  <si>
    <t>full nelson,pretzel,69</t>
  </si>
  <si>
    <t>inverted bent,pretzel,suspended fetal</t>
  </si>
  <si>
    <t>missionary,doggy,reverse cowgirl</t>
  </si>
  <si>
    <t>doggy,missionary,wheel barrow</t>
  </si>
  <si>
    <t>doggy,inverted,arched</t>
  </si>
  <si>
    <t>spread eagle,pretzel,doggy</t>
  </si>
  <si>
    <t>69,spread eagle,lay down</t>
  </si>
  <si>
    <t>against wall,missionary legs up,inside cage</t>
  </si>
  <si>
    <t>lay down face down,m legs,missionary legs up</t>
  </si>
  <si>
    <t>lay down,ass up face down,inverted</t>
  </si>
  <si>
    <t>ass up face down,missionary legs up,suspended</t>
  </si>
  <si>
    <t>lay down legs side,lay down face down,lay down face up</t>
  </si>
  <si>
    <t>pretzel vertical,suspended,bent suspended</t>
  </si>
  <si>
    <t>bent,suspended fetal,spread eagle</t>
  </si>
  <si>
    <t>pretzel,missionary,suspended</t>
  </si>
  <si>
    <t>lay down,doggy</t>
  </si>
  <si>
    <t>lay down,doggy,missionary legs up</t>
  </si>
  <si>
    <t>ass up face down,doggy,missionary</t>
  </si>
  <si>
    <t>missionary,inverted,missionary legs up</t>
  </si>
  <si>
    <t>hogtied,stand over rod</t>
  </si>
  <si>
    <t>69,spread eagle,chair</t>
  </si>
  <si>
    <t>arms up split,spread eagle</t>
  </si>
  <si>
    <t>lay down,wooden horse,hogtied</t>
  </si>
  <si>
    <t>lay down,ass up face down,wheel barrow</t>
  </si>
  <si>
    <t>doggy,missionary,cowgirl</t>
  </si>
  <si>
    <t>spread eagle,missionary</t>
  </si>
  <si>
    <t>hogtied,stomach laydown</t>
  </si>
  <si>
    <t>69,619,full nelson</t>
  </si>
  <si>
    <t>stand on ice,wooden horse,bent froward</t>
  </si>
  <si>
    <t>hogtied,crucified,under net</t>
  </si>
  <si>
    <t>bent,lay down</t>
  </si>
  <si>
    <t>doggy,spread eagle,joined legs up</t>
  </si>
  <si>
    <t>69,doggy,lay down</t>
  </si>
  <si>
    <t>lay down legs up,doggy,missionary</t>
  </si>
  <si>
    <t>reverse cowgirl,inverted,pretzel</t>
  </si>
  <si>
    <t>lay down,missionary,cowgirl</t>
  </si>
  <si>
    <t>lay down,suspended face down,bent</t>
  </si>
  <si>
    <t>right angle,pretzel,doggy</t>
  </si>
  <si>
    <t>stand,lay down</t>
  </si>
  <si>
    <t>tightrope,lay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</si>
  <si>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</si>
  <si>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</si>
  <si>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</si>
  <si>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</si>
  <si>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</si>
  <si>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</si>
  <si>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</si>
  <si>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balls tied to ground at 8m,ice on back at 19m,spitroast at 31m,face dildo at 39m</t>
  </si>
  <si>
    <t>https://www.pornhits.com/video/487013/leigh-raven-going-for-gold/</t>
  </si>
  <si>
    <t>https://www.pornhits.com/video/55501/basement-bitch-cuckold/</t>
  </si>
  <si>
    <t>https://www.pornhits.com/video/452951/all-for-me/</t>
  </si>
  <si>
    <t>https://www.pornhits.com/video/56131/chastity-woes-episode-2/</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</si>
  <si>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</si>
  <si>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</si>
  <si>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</si>
  <si>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</si>
  <si>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</si>
  <si>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</si>
  <si>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</si>
  <si>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</si>
  <si>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</si>
  <si>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</si>
  <si>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</si>
  <si>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</si>
  <si>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</si>
  <si>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</si>
  <si>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</si>
  <si>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</si>
  <si>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</si>
  <si>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https://www.eporner.com/video-YF6E7Jl9juO/river-lynn-bondage-sex/?trx=1227735290aee694b81473a256bea12420712</t>
  </si>
  <si>
    <t>river lynn</t>
  </si>
  <si>
    <t>innocent high</t>
  </si>
  <si>
    <t>femdom empire</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</si>
  <si>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</si>
  <si>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</si>
  <si>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</si>
  <si>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</si>
  <si>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</si>
  <si>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</si>
  <si>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</si>
  <si>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</si>
  <si>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</si>
  <si>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</si>
  <si>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peg at 28m,cunnilingus at 42m,cock plate at 46m,feet licking at 52m</t>
  </si>
  <si>
    <t>anal hook at 7m,spaking at 8m,balls rubberband at 15m,syringe at 20m,peg at 22m,cunnilingus at 31m</t>
  </si>
  <si>
    <t>smunknowning face in ass at 20m,peg at 29m</t>
  </si>
  <si>
    <t>good quality femdom peg along with interesting positions</t>
  </si>
  <si>
    <t>chastity,ball gag,anal hook,spank,enema,peg</t>
  </si>
  <si>
    <t>panty gag,nipple suction,flame,spike wheel,nipple clamps,spank</t>
  </si>
  <si>
    <t xml:space="preserve">remote control,spank,anal beads,electric,wax,strapon </t>
  </si>
  <si>
    <t>spank,peg,body clothespin,panty gag</t>
  </si>
  <si>
    <t>spank,peg,nipple clamps,vibrator</t>
  </si>
  <si>
    <t>spank,wedgie,enema,oiled,vibrator,strapon</t>
  </si>
  <si>
    <t>teen,fingering,butt plug,spank,side fuck,anal</t>
  </si>
  <si>
    <t>balls tied up to ceiling at 9m,electric zapper at 10m,dick bite at 14m,anal hook at 18m,spank at 18m,dildo bj at 26,oegging at 28m,69 at 35m</t>
  </si>
  <si>
    <t>chastity at 10m,spank at 24m,peg at 28m,feet at 39m</t>
  </si>
  <si>
    <t>spank at 5m,electric at 21m,electric wand anal at 23m,peg at 30m,cunnilingus at 36m,face dildo at 42m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</si>
  <si>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</si>
  <si>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</si>
  <si>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</si>
  <si>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</si>
  <si>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</si>
  <si>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</si>
  <si>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</si>
  <si>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</si>
  <si>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</si>
  <si>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blindfold,flog,ball gag,peg,spank,cunnilingus</t>
  </si>
  <si>
    <t>body clothespin,flog,cbt,feet,peg,wax</t>
  </si>
  <si>
    <t>chastity,body clothespin,spank,flog,peg,feet</t>
  </si>
  <si>
    <t>cunnilingus,flog,nipple bite,ball clamps,face dildo,peg,face underground</t>
  </si>
  <si>
    <t>dildo stick,nipple clamps,pussy slap,flog</t>
  </si>
  <si>
    <t>flog,ball gag,nipple sticks,nipple clamps,vibrator</t>
  </si>
  <si>
    <t>flog,chastity,lolipop plug,peg,wax,femdom service</t>
  </si>
  <si>
    <t>flog,flame,switchdom,wax,body clothespin,nipple clamps</t>
  </si>
  <si>
    <t>flog,nipple clamps,blindfold,dildo stick,anal,wax</t>
  </si>
  <si>
    <t>flog,nipple clamps,electric,blindfold,strapon,spreader bar</t>
  </si>
  <si>
    <t>flog,nipple clamps,electric,paddle</t>
  </si>
  <si>
    <t>flog,rubber band feet,piv,vibrator</t>
  </si>
  <si>
    <t>flog,tape gag,wax,nipple clamps,ball gag</t>
  </si>
  <si>
    <t>flog,vibrator,peg,spank,face riding,leash</t>
  </si>
  <si>
    <t>humbler,cigg,flog,peg,electric glass butt plug</t>
  </si>
  <si>
    <t>japanese,foot worship,cbt,flog,peg,gangbang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</si>
  <si>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</si>
  <si>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</si>
  <si>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</si>
  <si>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</si>
  <si>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</si>
  <si>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outdoor,head mask,flog,ice pussy,anal hook,tunnel gag</t>
  </si>
  <si>
    <t>pussy slap, tit slap,nipple bite,spank,flog,ball gag,pussy clothespin,lesbian,cunnilingus,spike wheel,pussy ornament</t>
  </si>
  <si>
    <t>spank,butt plug,electric,flog,strapon,ball gag</t>
  </si>
  <si>
    <t>spank,flog,nipple clamps,nipple suction,fingering,ball gag</t>
  </si>
  <si>
    <t>suspended,flog,nipple clamps,spank,lesdom</t>
  </si>
  <si>
    <t>suspended,flog,peg,gangbang,slave,feet</t>
  </si>
  <si>
    <t>tit bite,flog ,blowjob,oiled,nipple clamps,piv</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</si>
  <si>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</si>
  <si>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</si>
  <si>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</si>
  <si>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</si>
  <si>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</si>
  <si>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cunnilingus at 10m,flog at 14m,nipple bite at 15m.ball clamp at 18m,pussy on chastity at 24m,face dildo at 27m,peg at 32m,face underground</t>
  </si>
  <si>
    <t>preping at 9m,ass flog at 17m, legs up tied to wall at 30m</t>
  </si>
  <si>
    <t>flog at 2m,cunnilingus at 15m,peg at 16m,female pretzel,dildo on mouth at 20m,cock clothespin at 26m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</si>
  <si>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</si>
  <si>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</si>
  <si>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</si>
  <si>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</si>
  <si>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generic bdsm with lot of spank and flog,pussy and tit slap at 3m,nipple bite at 3m,,laydown bj at 13m,lesbian bdsm at 59m,pussy ornament at 75m</t>
  </si>
  <si>
    <t>spank at 5m,steel plug anal at 10m,flog at 22m</t>
  </si>
  <si>
    <t>flog at 18m,nipple mousetrap at 34m,spike wheel on pussy at 35m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</si>
  <si>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</si>
  <si>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</si>
  <si>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</si>
  <si>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</si>
  <si>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</si>
  <si>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cbt,electric,dick biting,cane,anal hook,spank,flog,peg,cunnilingus</t>
  </si>
  <si>
    <t>chastity,cbt,peg,flog,cane,vibrator</t>
  </si>
  <si>
    <t>chastity,flog,cane,spank,electric,peg,blindfold,cock plate,cunnilingus,face dildo</t>
  </si>
  <si>
    <t>electric,flog,anal hook,nipple sticks,oiled,cane</t>
  </si>
  <si>
    <t>flog,peg,cane,cbt,body clothespin,nipple clamps</t>
  </si>
  <si>
    <t>peg,cbt,gangbang,vibrator,flog,cane</t>
  </si>
  <si>
    <t>peg,chastity,femboy,ball bite,cane,pet play</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</si>
  <si>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</si>
  <si>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</si>
  <si>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</si>
  <si>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</si>
  <si>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gag,gangbang,pretzel,fist</t>
  </si>
  <si>
    <t>ball gag,vibrator,lesdom,oiled,fist,nipple clamps</t>
  </si>
  <si>
    <t>chastity,spank,cane,flog,peg,anal fist,blowjob,cow girl</t>
  </si>
  <si>
    <t>fist,oiled,foot in ass,vibrator</t>
  </si>
  <si>
    <t>nipple clamps,dildo plug,body clothespin,pussy fist</t>
  </si>
  <si>
    <t>abduction at 16m,dick smell at 22m,tit and pussy flog at 24m, throat fist at 28m,ass spank at 30m,pretzel at 58m,kneel down frog flog at 60m, very natural actors</t>
  </si>
  <si>
    <t>spank at 17m,peg at 25m,fist at 30m,award in ass at 34m,blowjob at 40m,cow girl at 44m,good chemistry between the dom and sub</t>
  </si>
  <si>
    <t>pussy fist at 18m</t>
  </si>
  <si>
    <t>bbc,blowjob,pussy eat,piv</t>
  </si>
  <si>
    <t>blowjob,pussy eat,piv</t>
  </si>
  <si>
    <t>cane,nipple clamps,ball gag,blowjob,pussy eat</t>
  </si>
  <si>
    <t>flog,feet on dick,peg,wax,heels worship,pussy eat</t>
  </si>
  <si>
    <t>kidnapping,pussy eat,tape gag,blowjob,vibrator</t>
  </si>
  <si>
    <t>leather,mummy,cock ring,oiled,handjob,cum eat</t>
  </si>
  <si>
    <t>ass eat at 15m,flog at 23m,peg at 25m,spitroast</t>
  </si>
  <si>
    <t>ass eat at 14m,foot licking at 35m</t>
  </si>
  <si>
    <t>inverted pussy eat at 22m</t>
  </si>
  <si>
    <t>cbt at 12m,spank at 16m,peg at 22m,pussy eat at 33m</t>
  </si>
  <si>
    <t>feet eat at 23m,inverted ass fuck at 40m</t>
  </si>
  <si>
    <t>fight,abduction,flog at 13m,pussy flog at 17m,tit pull at 19m,oiled at 20m,foot eat at 29m,lesbian peg at end</t>
  </si>
  <si>
    <t>panty inside mouth at 13m,grind on cage with pussyat 23m</t>
  </si>
  <si>
    <t>nipple clothespin,ball gag,pussy hair pull ,straight jacket,fingering,sensory deprivation</t>
  </si>
  <si>
    <t>pretzel at 15m,vibrator insider pussy at 19m,nipple pull and tickling at 31m,wax at 34m, m legs fingering</t>
  </si>
  <si>
    <t>tits pull at 9m,one leg pull up at 10m,step on tits at 29m</t>
  </si>
  <si>
    <t>bite gag,flog,nipple clamps,shave,spank,body clothespin</t>
  </si>
  <si>
    <t>nose hook,cane,open mouth gag,shave,pussy clamps,panty gag</t>
  </si>
  <si>
    <t>cane at 10m,flog at 15m,flexible pipe flog at 19m,shave at 20m,rope on pussy at 24m,spank at 42m, water boarding at 45m</t>
  </si>
  <si>
    <t>crotch chain walk,nipple clamps,enema,blindfold,anal hook,spike wheel</t>
  </si>
  <si>
    <t>tit slap,bite gag,flog,rubber band feet,spike wheel,vibrator</t>
  </si>
  <si>
    <t>spank,spit,chastity,cuck,peg</t>
  </si>
  <si>
    <t>flog,vibrator,step on,dildo stick,tit pull,suspended</t>
  </si>
  <si>
    <t>nipple clamps,flog,tit pull,step on,wax,fingering</t>
  </si>
  <si>
    <t>blowjob,piv,strip</t>
  </si>
  <si>
    <t>gangbang,bukkake,strip,bbc</t>
  </si>
  <si>
    <t>sensual strip to hardcore bdsm,tied together at 60m</t>
  </si>
  <si>
    <t>strip at 18m</t>
  </si>
  <si>
    <t>basic strip and blowjobs</t>
  </si>
  <si>
    <t>sensual strip at 1m, 69 at 11m</t>
  </si>
  <si>
    <t>strip at 6m,tit flog at 6m,oiled at 15m</t>
  </si>
  <si>
    <t>ball gag,strip,flog,cane,vibrator</t>
  </si>
  <si>
    <t>ball gag,flog,nipples binder clips,fucking machine,clit suction,tit suction cups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</si>
  <si>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</si>
  <si>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</si>
  <si>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</si>
  <si>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</si>
  <si>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</si>
  <si>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</si>
  <si>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ball gag,body clothespin,spank,water board,public indoors,humiliation</t>
  </si>
  <si>
    <t>1f-2m,blowjob,piv,fondle</t>
  </si>
  <si>
    <t>blowjob,piv,fingering,inverted face fuck,fondle</t>
  </si>
  <si>
    <t>blowjob,piv,fondle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</si>
  <si>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</si>
  <si>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</si>
  <si>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</si>
  <si>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</si>
  <si>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arms up tied,pretzel horizontal,double 69</t>
  </si>
  <si>
    <t>pretzel horizontal,head in toilet,double 619</t>
  </si>
  <si>
    <t>kneel bent back,kneel vertical</t>
  </si>
  <si>
    <t>kneel vertical,pretzel vertical,lay down</t>
  </si>
  <si>
    <t>kneel vertical,seperated legs up</t>
  </si>
  <si>
    <t>kneel,upside down</t>
  </si>
  <si>
    <t>lay down,doggy,kneel</t>
  </si>
  <si>
    <t>lay down,spread eagle,kneel down vertical</t>
  </si>
  <si>
    <t>arms up tied,face down horizontal split,kneel down vertical</t>
  </si>
  <si>
    <t>doggy,kneel,doggy</t>
  </si>
  <si>
    <t>doggy,lay down,kneel</t>
  </si>
  <si>
    <t>kneel</t>
  </si>
  <si>
    <t>missionary,lay down,pretzel</t>
  </si>
  <si>
    <t>doggy,missionary,lay down</t>
  </si>
  <si>
    <t>kneel,doggy,inverted</t>
  </si>
  <si>
    <t>kneel,doggy,top doggy</t>
  </si>
  <si>
    <t>strip pole,kneel</t>
  </si>
  <si>
    <t>inverted,lay down,kneel</t>
  </si>
  <si>
    <t>kneel,spitroast,reverse cowgirl</t>
  </si>
  <si>
    <t>spitroast</t>
  </si>
  <si>
    <t>spitroast,centipede,69</t>
  </si>
  <si>
    <t>spitroast,cowgirl,inverted sofa</t>
  </si>
  <si>
    <t>spitroast,doggy,kneel down vertical</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</si>
  <si>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</si>
  <si>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</si>
  <si>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burried,lay down legs to side,stand</t>
  </si>
  <si>
    <t>doggy,lay down,stand</t>
  </si>
  <si>
    <t>hogtied,a legs stand,lay down</t>
  </si>
  <si>
    <t>kneel down vertical,doggy,stand</t>
  </si>
  <si>
    <t>kneel down,a legs stand</t>
  </si>
  <si>
    <t>kneel,doggy,stand</t>
  </si>
  <si>
    <t>lay down face down,ass up face down,stand</t>
  </si>
  <si>
    <t>lay down,doggy,stand</t>
  </si>
  <si>
    <t>lay down,missionary,stand</t>
  </si>
  <si>
    <t>lay down,stand,missionary,69</t>
  </si>
  <si>
    <t>lay on side one leg up,stand,doggy</t>
  </si>
  <si>
    <t>leg up stand,69,inverted</t>
  </si>
  <si>
    <t>leg up stand,m legs</t>
  </si>
  <si>
    <t>pretzel,suspended,stand</t>
  </si>
  <si>
    <t>stand</t>
  </si>
  <si>
    <t>stand one leg up,inverted on chair,m legs</t>
  </si>
  <si>
    <t>stand,doggy,</t>
  </si>
  <si>
    <t>stand,doggy,lay down</t>
  </si>
  <si>
    <t>stand,doggy,missionary</t>
  </si>
  <si>
    <t>stand,inverted pussy over face,missionary</t>
  </si>
  <si>
    <t>stand,kneel vertical,hogtied</t>
  </si>
  <si>
    <t>stand,lay down, legs to side,doggy</t>
  </si>
  <si>
    <t>stand,lay down,spread eagle</t>
  </si>
  <si>
    <t>stand,legs up joined,doggy</t>
  </si>
  <si>
    <t>stand,missionary suspended,hogtied</t>
  </si>
  <si>
    <t>stand,missionary,lay down,suspended missionary</t>
  </si>
  <si>
    <t>stand,pretzel,lay down</t>
  </si>
  <si>
    <t>stand,reverse cowgirl,missionary legs up</t>
  </si>
  <si>
    <t>stand,suspended face down,bent</t>
  </si>
  <si>
    <t>stand,suspended,prone bone</t>
  </si>
  <si>
    <t>stand,upside down,kneel,doggy,missionary</t>
  </si>
  <si>
    <t>suspended,kneel vertical,stand</t>
  </si>
  <si>
    <t>stand on ice,eat worms,flogged with anal hook</t>
  </si>
  <si>
    <t>arms up against wall,leg up stand</t>
  </si>
  <si>
    <t>tit spank at 9m,nipple clamps weighed down at 11m,pretzel vertical at 18m,step on tits at 34m,tit pull at 35m,</t>
  </si>
  <si>
    <t>pillory,bent backward,wooden horse</t>
  </si>
  <si>
    <t>lay down,against wall,over table</t>
  </si>
  <si>
    <t>sounding,multiple girls,trample,enema,peg,feet</t>
  </si>
  <si>
    <t>2f-1m,trample,feet,spank,cunnilingus,peg,wax,ball gag,anal hook</t>
  </si>
  <si>
    <t>sounding at 6m,trample at 45m,head in thighs at 59m,whip at 65m,enema at 80m,peg at 93m</t>
  </si>
  <si>
    <t>trample at 12m,bootlicking at 13m,spank at 16m,cunnilingus at 19m</t>
  </si>
  <si>
    <t>sandal trample at 5m,high heel trample at 8m,high heels in nipples at 9m,high heel in pussy at 17m</t>
  </si>
  <si>
    <t>cloth tear at 12m,flog at 14m,trample at 18m, foot on dick at 20m, ass eat at 24m,peg at 40m</t>
  </si>
  <si>
    <t>https://beeg.com/FemDom?f=pegging</t>
  </si>
  <si>
    <t>https://www.fuq.com/category/femdom-pegging</t>
  </si>
  <si>
    <t>https://www.eporner.com/profile/Peterboni/</t>
  </si>
  <si>
    <t>uploads and favorites lot of good maledom and lesdom content full length</t>
  </si>
  <si>
    <t>massage,ball gag, tit suction cups,tanlines,oiled,vibrator</t>
  </si>
  <si>
    <t>doggy,missionary,pretzel</t>
  </si>
  <si>
    <t>https://www.eporner.com/video-DyzpntUTPNR/anna-bell-peaks/</t>
  </si>
  <si>
    <t>https://www.eporner.com/video-CJgRBHS0tZK/lesbian-bondage-massage/</t>
  </si>
  <si>
    <t>https://www.eporner.com/video-0Jc4FNhL6Tz/katrina-fucks-her-brunette-girlfriend-aidra-with-a-strap-on/</t>
  </si>
  <si>
    <t>massage,oiled,vibrator</t>
  </si>
  <si>
    <t>oiled up at 8m,not enough bondage or stuff to jerk off to</t>
  </si>
  <si>
    <t>stand, lay down</t>
  </si>
  <si>
    <t>ball gag,cane,flog,spank,spike wheel,nipple suction,panty gag,cunnilingus,electric</t>
  </si>
  <si>
    <t>body lick,bikini,foot worship,call girls,non nude,multiple girls</t>
  </si>
  <si>
    <t>gangbang,blackout contacts,body clothespin,flog,nipple clamps,drink game</t>
  </si>
  <si>
    <t>gangbang,piss drink,double penetration,fingering,anal,blowjob</t>
  </si>
  <si>
    <t>lay down,kneel,missionary,doggy</t>
  </si>
  <si>
    <t>kneel,lay down,frog,missionary</t>
  </si>
  <si>
    <t>undress at 5m,spank at 11m,flog at 14m,ass flog at 16m,clit and nipple suction at 31m,</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</si>
  <si>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</si>
  <si>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</si>
  <si>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</si>
  <si>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</si>
  <si>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</si>
  <si>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</si>
  <si>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</si>
  <si>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spank,paddle,hair pull</t>
  </si>
  <si>
    <t>bite gag,blowjob,titjob</t>
  </si>
  <si>
    <t>mid titjob with hands tied</t>
  </si>
  <si>
    <t>titjob at 12m,oiled footjob at 14m</t>
  </si>
  <si>
    <t>missionary,sit, lay down</t>
  </si>
  <si>
    <t>rubber,latex,butt plug,peg,blindfold,asphyxiation,titjob,footjob,trample,piv</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</si>
  <si>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</si>
  <si>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</si>
  <si>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oiled,feet,foot in ass,foot in pussy,silver powder,fishnet,scissor</t>
  </si>
  <si>
    <t>flog,nipple clamps weight,ball gag,blindfold,nipple string,fingering</t>
  </si>
  <si>
    <t>pussy wedgie at 3m,flog at 3m, anal hook at 9m, spank at 20m, clit suction at 24m, slap at 26m,smothered in tits at 29m,tit slap at 33m, dp dildo at 39m,nipple clamps weight at 43m,oiled at 46m,one bar prison at 46m,oil spit at 47m,ass cane at 47,fucking machine at 51m</t>
  </si>
  <si>
    <t>doggy,missionary legs tied together,a legs stand</t>
  </si>
  <si>
    <t>Yes</t>
  </si>
  <si>
    <t>No</t>
  </si>
  <si>
    <t>https://punishworld.com/197708-ebony-slave-in-device-bondage-whipped/</t>
  </si>
  <si>
    <t>https://www.eporner.com/video-n7DF7TBvbWl/hqcollect-6219/</t>
  </si>
  <si>
    <t>https://www.eporner.com/video-I84EQTWfKvD/bondage-fetish/</t>
  </si>
  <si>
    <t>https://heavyfetish.com/videos/10066/device-bondage-isis-love-missy-minks-audrey-rose/</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</si>
  <si>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</si>
  <si>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</si>
  <si>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</si>
  <si>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</si>
  <si>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</si>
  <si>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</si>
  <si>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suspended upside down,lay down, bent</t>
  </si>
  <si>
    <t>small to medium length bdsm and rope bondage videos aggregator for tara lynn foxx</t>
  </si>
  <si>
    <t>tit flog at 0m,pussy flog at 0m</t>
  </si>
  <si>
    <t>bent,bent backwards,missionary legs up</t>
  </si>
  <si>
    <t>flog,small tits,pussy flog,vibrator,cane</t>
  </si>
  <si>
    <t>https://www.xozilla.xxx/videos/136923/kinky-femdom-porn-clip/</t>
  </si>
  <si>
    <t>sit split,pretzel vertical,inverted split</t>
  </si>
  <si>
    <t>face sit,missionary,kneel down vertical</t>
  </si>
  <si>
    <t>stand,doggy,sit</t>
  </si>
  <si>
    <t>sit</t>
  </si>
  <si>
    <t>lay down,face sit,spitroast</t>
  </si>
  <si>
    <t>doggy,bent,sit</t>
  </si>
  <si>
    <t>missionary legs up,suspended sit,frog</t>
  </si>
  <si>
    <t>sit split,lay down</t>
  </si>
  <si>
    <t>sit,doggy,lay down</t>
  </si>
  <si>
    <t>suspended upside down,doggy,sit</t>
  </si>
  <si>
    <t>joined legs up,lay down,face sit</t>
  </si>
  <si>
    <t>missionary legs up,lay down,face sit</t>
  </si>
  <si>
    <t>sit ,missionary,doggy</t>
  </si>
  <si>
    <t>face sit,69,m legs</t>
  </si>
  <si>
    <t>lay down,face sit</t>
  </si>
  <si>
    <t>ass up face down,suspended,face sit</t>
  </si>
  <si>
    <t>chastity,feet,peg,face sit,cage,mummy</t>
  </si>
  <si>
    <t>pussy eat,fondle,face sit,fingering,dildo,cunnilingus</t>
  </si>
  <si>
    <t>leashed at 2m,boot licking at 4m,face sit and fondle at 12m,inverted at 20m</t>
  </si>
  <si>
    <t>face sit at 14m,69 at 15m</t>
  </si>
  <si>
    <t>lay down legs up,pillory vertical</t>
  </si>
  <si>
    <t>hislut</t>
  </si>
  <si>
    <t>tutorial,rope gag,anal hook,cbt,shibari,ball suction</t>
  </si>
  <si>
    <t>dom teaches how to chastity and rope a man,ball suction at 30m</t>
  </si>
  <si>
    <t>bent,missionary,doggy</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</si>
  <si>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</si>
  <si>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</si>
  <si>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</si>
  <si>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</si>
  <si>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</si>
  <si>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</si>
  <si>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</si>
  <si>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</si>
  <si>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isis love,jessie cox, ami emerson</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</si>
  <si>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</si>
  <si>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</si>
  <si>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</si>
  <si>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</si>
  <si>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</si>
  <si>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</si>
  <si>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</si>
  <si>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</si>
  <si>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</si>
  <si>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</si>
  <si>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flog,tit flog,pussy flog,tit pull,nipple suction,tit suction cups,vibrator,ball gag,pussy hair pull,pussy spank,cane,nipple mouse trap,anal hook</t>
  </si>
  <si>
    <t>sit,stand,wheel barrow face down</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</si>
  <si>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</si>
  <si>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</si>
  <si>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</si>
  <si>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</si>
  <si>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</si>
  <si>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lay down, suspended upside down,sit</t>
  </si>
  <si>
    <t>lot of high quality 1080p downloadable device bondage videos legit a gem mine</t>
  </si>
  <si>
    <t>katrina colt</t>
  </si>
  <si>
    <t>resolution</t>
  </si>
  <si>
    <t>video_name</t>
  </si>
  <si>
    <t>downloaded</t>
  </si>
  <si>
    <t>real_name</t>
  </si>
  <si>
    <t>website_video_name</t>
  </si>
  <si>
    <t>Tall Blonde Amateur Gets Fucked While Wearing Blackout Contact Lenses</t>
  </si>
  <si>
    <t xml:space="preserve">Lily La Beau – A Sadist’s Dream Come True </t>
  </si>
  <si>
    <t>https://bdsmlust.com/hogtied-hogtie-suspension-domination-and-use/</t>
  </si>
  <si>
    <t>beyond limts (720p)</t>
  </si>
  <si>
    <t>ten</t>
  </si>
  <si>
    <t>Hogtied – Hogtie Suspension, Domination and Use</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</si>
  <si>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</si>
  <si>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</si>
  <si>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</si>
  <si>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</si>
  <si>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</si>
  <si>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jodi taylor, mz berlin, ivy addams</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</si>
  <si>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</si>
  <si>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</si>
  <si>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</si>
  <si>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</si>
  <si>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</si>
  <si>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</si>
  <si>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</si>
  <si>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</si>
  <si>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</si>
  <si>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</si>
  <si>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</si>
  <si>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</si>
  <si>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</si>
  <si>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</si>
  <si>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</si>
  <si>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</si>
  <si>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</si>
  <si>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</si>
  <si>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</si>
  <si>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</si>
  <si>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</si>
  <si>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</si>
  <si>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</si>
  <si>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stand,squat,bent</t>
  </si>
  <si>
    <t>undress at 7m,nipple clamps at 11m,inflatable gag at 21m,inflatable butt plug at 22m,nipple sticks at 31m</t>
  </si>
  <si>
    <t>https://heavyfetish.com/videos/94773/hogtied-katrina-colt/</t>
  </si>
  <si>
    <t>spank,paddle,hair pull,large paddle at 19m,ass up face down at 28m</t>
  </si>
  <si>
    <t>doggy,over knee,pretzel,ass up face down</t>
  </si>
  <si>
    <t>stand,ass up face down,inverted pussy over face</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</si>
  <si>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</si>
  <si>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</si>
  <si>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</si>
  <si>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</si>
  <si>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</si>
  <si>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</si>
  <si>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spit,vibrator,armpits,cunnilingus,fingering,nipple bite,strapon,leash,sybian</t>
  </si>
  <si>
    <t>spit at 1m,strapon at 24m,leash at 31m,sybian at 31m</t>
  </si>
  <si>
    <t>tit pull,nipple clamps,pussy clamps,blindfold,vibrator,flog,dildo stick,sybian,ball gag</t>
  </si>
  <si>
    <t>tit pull at 5m,nipple clamps at 8m,pussy clamps at 10m,blindfold at 11m,sybian at 32m</t>
  </si>
  <si>
    <t>stand,missionary,prone bone</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</si>
  <si>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</si>
  <si>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</si>
  <si>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</si>
  <si>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</si>
  <si>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struggle, lay down on side,69 at 9m,high heels in ass at 11m,enema at 42m</t>
  </si>
  <si>
    <t>pinned,undress,piv,fondle</t>
  </si>
  <si>
    <t>tiny girl,tit slap,tit pull,nipple clothespin,pussy clamps,cane,slap,spank,paddle,belt</t>
  </si>
  <si>
    <t>undress at 9m,pussy clamps at 16m,face slap at 22m,strong spank and brusing at end 30m later</t>
  </si>
  <si>
    <t>pussy bite,high heel,nipple pinch,flog,enema,rope gag</t>
  </si>
  <si>
    <t>pussy bite at 2m</t>
  </si>
  <si>
    <t>pussy clothspin at 12m,pretzel at 20m,feet lick at 23m,pussy bite at 27m,pussy flog at 30m,strapon at 33m,dual dildo at 45m</t>
  </si>
  <si>
    <t>sit,pretzel,lay down</t>
  </si>
  <si>
    <t>ass up face down,inverted,doggy</t>
  </si>
  <si>
    <t>spank at 6m,enema at 9m,oil at 19m, anal hook at 41m</t>
  </si>
  <si>
    <t>spank,enema,butt plug,oiled,anal hook,blowjob,anal</t>
  </si>
  <si>
    <t>flog at 14m,peg at 23m</t>
  </si>
  <si>
    <t>ball clamps,body clothespin,ball gag,flog,peg,piv,</t>
  </si>
  <si>
    <t>stand,lay down diamond,hogtied</t>
  </si>
  <si>
    <t>fingering,dildo stick vibrator,flog,cane,oiled,nipple clamps,butt plug,anal hook,ball gag,</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</si>
  <si>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</si>
  <si>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</si>
  <si>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</si>
  <si>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</si>
  <si>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</si>
  <si>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stand,pretzel,bent</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</si>
  <si>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</si>
  <si>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</si>
  <si>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</si>
  <si>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</si>
  <si>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https://www.tnaflix.com/amateur-porn/Naked-Cross-Bondage-On-The-Floor-Cadence-Lux/video25531412</t>
  </si>
  <si>
    <t>Cadence Lux: The Depths of Hell</t>
  </si>
  <si>
    <t>lux on floor (720p)</t>
  </si>
  <si>
    <t>Naked Cross Bondage On The Floor - Cadence Lux</t>
  </si>
  <si>
    <t>drug,flog,nipple suction toothpick,vibrator,tit slap,tit pull,cane,suffocation,step on,waterboard</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</si>
  <si>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</si>
  <si>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</si>
  <si>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</si>
  <si>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</si>
  <si>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</si>
  <si>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</si>
  <si>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</si>
  <si>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</si>
  <si>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</si>
  <si>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</si>
  <si>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</si>
  <si>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</si>
  <si>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</si>
  <si>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</si>
  <si>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</si>
  <si>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bent over at 25m,chain inside pussy and ass at 41m</t>
  </si>
  <si>
    <t>https://bdsmstreak.com/video/93110/jessie-cox-ami-emerson-and-isis-love-part-1-of-4-of-the-september-live-feed</t>
  </si>
  <si>
    <t>https://hitbdsm.com/19-year-old-is-devastated-in-brutal-bondage</t>
  </si>
  <si>
    <t>https://hitbdsm.com/19yr-old-fashion-fitness-model-made-to-cum-so-hard-she-cant-even-beg-for-mercy-totally-destroyed</t>
  </si>
  <si>
    <t>https://hitbdsm.com/19yr-orgasmed-past-the-breaking-point-can-someone-be-orgasmed-to-insanity-we-almost-found-out</t>
  </si>
  <si>
    <t>https://hitbdsm.com/1-blonde-1-brunette-1-redhead-hot-lesbian-punishment-and-sex</t>
  </si>
  <si>
    <t>https://hitbdsm.com/adorable-19-year-old-has-a-tough-first-ever-lesbian-experience-on-whippedass-com</t>
  </si>
  <si>
    <t>https://hitbdsm.com/a-few-of-felonys-favorite-things</t>
  </si>
  <si>
    <t>https://hitbdsm.com/a-for-anal</t>
  </si>
  <si>
    <t>https://hitbdsm.com/alexa-von-tess-5</t>
  </si>
  <si>
    <t>https://hitbdsm.com/alexa-von-tess-and-sandra-romain</t>
  </si>
  <si>
    <t>https://hitbdsm.com/alicia-stone-sienna-and-isis-love-part-2-of-4-of-the-february-live-show</t>
  </si>
  <si>
    <t>https://hitbdsm.com/all-anal-slave-girls-training-the-gape</t>
  </si>
  <si>
    <t>https://hitbdsm.com/all-natural-beauty-in-pile-driver-orgasm-overload</t>
  </si>
  <si>
    <t>https://hitbdsm.com/all-natural-blonde-babe-lisey-sweet-ass-fucked-and-abused-in-bondage</t>
  </si>
  <si>
    <t>https://hitbdsm.com/amateur-hottie-tries-electricity-with-isis-love</t>
  </si>
  <si>
    <t>https://hitbdsm.com/amber-rayne-4</t>
  </si>
  <si>
    <t>https://hitbdsm.com/amber-rayne-live-show-part-2-drawn-and-quartered</t>
  </si>
  <si>
    <t>https://hitbdsm.com/amber-rayne-live-show-part-3-bent-and-fisted</t>
  </si>
  <si>
    <t>https://hitbdsm.com/amber-rayne-returns-to-device-bondage</t>
  </si>
  <si>
    <t>https://hitbdsm.com/anal-action-at-its-deepest-hardest-claire-adams-lorelei-lee</t>
  </si>
  <si>
    <t>https://hitbdsm.com/anal-audition-skylar-sweats-through-a-hot-soapy-enema</t>
  </si>
  <si>
    <t>https://hitbdsm.com/anal-campus-sluts</t>
  </si>
  <si>
    <t>https://hitbdsm.com/anal-exploring-sexy-slut-gaia</t>
  </si>
  <si>
    <t>https://hitbdsm.com/anal-girls-slumber-holiday</t>
  </si>
  <si>
    <t>https://hitbdsm.com/anal-perversion</t>
  </si>
  <si>
    <t>https://hitbdsm.com/anal-slut-gets-cold-steel-anal-invasion</t>
  </si>
  <si>
    <t>https://hitbdsm.com/angela-white-begs-to-suffer-for-her-master-in-metal-bondage</t>
  </si>
  <si>
    <t>https://hitbdsm.com/annabelle-lee-no-mas-no-mas</t>
  </si>
  <si>
    <t>https://hitbdsm.com/annie-cruz-bitch-in-heat</t>
  </si>
  <si>
    <t>https://hitbdsm.com/annie-cruz-trapped-in-a-piledriver-made-to-squirt-in-her-own-face-and-throat</t>
  </si>
  <si>
    <t>https://hitbdsm.com/ariel-x-3</t>
  </si>
  <si>
    <t>https://hitbdsm.com/ariel-x-4</t>
  </si>
  <si>
    <t>https://hitbdsm.com/ariel-x-7</t>
  </si>
  <si>
    <t>https://hitbdsm.com/ariel-x-body-builder-double-penetrated-in-diabolical-devices</t>
  </si>
  <si>
    <t>https://hitbdsm.com/ariel-x-double-penetrated-and-squirting-everywhere</t>
  </si>
  <si>
    <t>https://hitbdsm.com/ariel-x-extreme-bondage-brutal-torment-and-squirting-orgasms</t>
  </si>
  <si>
    <t>https://hitbdsm.com/ariel-x-live-show-complete-edited-version</t>
  </si>
  <si>
    <t>https://hitbdsm.com/a-sadists-dream-come-true</t>
  </si>
  <si>
    <t>https://hitbdsm.com/ashley-jane-ally-ann-and-princess-donna-part-1-of-4-of-the-november-live-show</t>
  </si>
  <si>
    <t>https://hitbdsm.com/ashli-orion-2</t>
  </si>
  <si>
    <t>https://hitbdsm.com/ashli-orion-cums-back-for-more-brutal-ties-only-on-hogtied</t>
  </si>
  <si>
    <t>https://hitbdsm.com/ass-fucking-enemas-galore-bobbi-starr-ariel-x</t>
  </si>
  <si>
    <t>https://hitbdsm.com/ass-hooked-caned-made-to-cum-so-much-she-begs-for-mercy-humilated-and-abused-so-helpless</t>
  </si>
  <si>
    <t>https://hitbdsm.com/a-tale-of-kasey-and-casey</t>
  </si>
  <si>
    <t>https://hitbdsm.com/athletic-milf-fuck-toy-cherie-deville-punished-in-bondage-and-sybian</t>
  </si>
  <si>
    <t>https://hitbdsm.com/bad-pussy</t>
  </si>
  <si>
    <t>https://hitbdsm.com/ballerina-sluts</t>
  </si>
  <si>
    <t>https://hitbdsm.com/beautiful-blonde-with-big-tits-gets-oiled-up-and-used-as-a-cum-canvas</t>
  </si>
  <si>
    <t>https://hitbdsm.com/beauty-and-the-beast-kristen-scott-vs-the-pope</t>
  </si>
  <si>
    <t>https://hitbdsm.com/bella-rossi-dispenses-pain-and-pleasure-to-gabriella-violets-asses</t>
  </si>
  <si>
    <t>https://hitbdsm.com/bent</t>
  </si>
  <si>
    <t>https://hitbdsm.com/beretta-challenged-with-wanton-cruelty</t>
  </si>
  <si>
    <t>https://hitbdsm.com/beretta-james</t>
  </si>
  <si>
    <t>https://hitbdsm.com/beretta-james-live-show-complete-edited-version</t>
  </si>
  <si>
    <t>https://hitbdsm.com/berlin-and-her-massive-breasts-are-back-great-breast-bondage-and-hardcore-orgams</t>
  </si>
  <si>
    <t>https://hitbdsm.com/berlin-the-extreme-bitch-is-back</t>
  </si>
  <si>
    <t>https://hitbdsm.com/big-booty-latina-pushes-her-anal-boundaries-for-everything-butt-fans</t>
  </si>
  <si>
    <t>https://hitbdsm.com/big-tits-brutal-bondage-extreme-corporal-punishment-and-squirting-orgasms</t>
  </si>
  <si>
    <t>https://hitbdsm.com/birthday-party-for-the-princess-pt-2</t>
  </si>
  <si>
    <t>https://hitbdsm.com/bitch-bound-in-bag-extreme-spread-eagle-special</t>
  </si>
  <si>
    <t>https://hitbdsm.com/black-mailed-step-mother-daughter-sexually-punished-2</t>
  </si>
  <si>
    <t>https://hitbdsm.com/blair-bitch-project</t>
  </si>
  <si>
    <t>https://hitbdsm.com/blonde-bombshell-anal-electrofucked-live</t>
  </si>
  <si>
    <t>https://hitbdsm.com/blonde-bombshell-bound-spanked-and-anally-fisted</t>
  </si>
  <si>
    <t>https://hitbdsm.com/blonde-college-student-is-subjected-to-extreme-suffering</t>
  </si>
  <si>
    <t>https://hitbdsm.com/blonde-fuck-slut-squeals-and-begs-to-cum</t>
  </si>
  <si>
    <t>https://hitbdsm.com/blonde-with-big-natural-breasts-rode-hard</t>
  </si>
  <si>
    <t>https://hitbdsm.com/blond-firecracker-fucked-senseless-by-machines</t>
  </si>
  <si>
    <t>https://hitbdsm.com/bound-by-metal-covered-in-wax-fucked-by-machine</t>
  </si>
  <si>
    <t>https://hitbdsm.com/breaking-the-innocent</t>
  </si>
  <si>
    <t>https://hitbdsm.com/brooke-lee-adams-orgasmed-to-near-unconsciousness-seriously</t>
  </si>
  <si>
    <t>https://hitbdsm.com/brooke-report-the-sexy-body-of-brooke-johnson-gets-bound-and-broken</t>
  </si>
  <si>
    <t>https://hitbdsm.com/brunettes-have-more-fun-sweet-revenge</t>
  </si>
  <si>
    <t>https://hitbdsm.com/brutality-and-torment</t>
  </si>
  <si>
    <t>https://hitbdsm.com/buff-milf-cherie-deville-submits-to-rope-bondage-and-unwilling-orgasms</t>
  </si>
  <si>
    <t>https://hitbdsm.com/busty-california-blonde-courtney-gets-bent-fucked-challenged</t>
  </si>
  <si>
    <t>https://hitbdsm.com/cabo-day-of-the-dead-part-4-a-fantasy</t>
  </si>
  <si>
    <t>https://hitbdsm.com/cadence-lux-the-depths-of-hell</t>
  </si>
  <si>
    <t>https://hitbdsm.com/calico-4</t>
  </si>
  <si>
    <t>https://hitbdsm.com/candy-manson</t>
  </si>
  <si>
    <t>https://hitbdsm.com/casey-calvert-bondage-torment-and-sexual-servitude</t>
  </si>
  <si>
    <t>https://hitbdsm.com/chanel-preston-returns-to-hogtied</t>
  </si>
  <si>
    <t>https://hitbdsm.com/chanel-prestons-hot-new-play-thing</t>
  </si>
  <si>
    <t>https://hitbdsm.com/cherry-torns-dirty-talking-anal-lesbian-slut</t>
  </si>
  <si>
    <t>https://hitbdsm.com/claire-adams-vs-dahlia-sky</t>
  </si>
  <si>
    <t>https://hitbdsm.com/claire-adams-vs-rough-rider-wenona</t>
  </si>
  <si>
    <t>https://hitbdsm.com/claire-dames-and-wenona-there-is-something-you-dont-see-everyday</t>
  </si>
  <si>
    <t>https://hitbdsm.com/claires-day-off</t>
  </si>
  <si>
    <t>https://hitbdsm.com/college-girl-ravished</t>
  </si>
  <si>
    <t>https://hitbdsm.com/come-enema-and-anal-domination</t>
  </si>
  <si>
    <t>https://hitbdsm.com/crystal-frost</t>
  </si>
  <si>
    <t>https://hitbdsm.com/cute-red-head-plucked-off-the-street-hung-upside-down-and-double-penetrated</t>
  </si>
  <si>
    <t>https://hitbdsm.com/cute-young-blonde-overwhelmed-with-bondage-and-cock</t>
  </si>
  <si>
    <t>https://hitbdsm.com/cyd-black-and-amber-rayne</t>
  </si>
  <si>
    <t>https://hitbdsm.com/damage-me-please</t>
  </si>
  <si>
    <t>https://hitbdsm.com/dani-daniels-in-brutal-bondage-tormented-and-made-to-cum-uncontrollably</t>
  </si>
  <si>
    <t>https://hitbdsm.com/day-of-reckoning</t>
  </si>
  <si>
    <t>https://hitbdsm.com/delilah-strong-2</t>
  </si>
  <si>
    <t>https://hitbdsm.com/destroying-the-homecoming-queen</t>
  </si>
  <si>
    <t>https://hitbdsm.com/devastating-darling</t>
  </si>
  <si>
    <t>https://hitbdsm.com/dirty-fucking-girl-ten-is-pushed-beyond-her-clitoral-limits</t>
  </si>
  <si>
    <t>https://hitbdsm.com/dollys-innocence-lost</t>
  </si>
  <si>
    <t>https://hitbdsm.com/double-teamed-extreme-bondagebrutal-suffering-and-squirting-orgasms</t>
  </si>
  <si>
    <t>https://hitbdsm.com/double-trouble</t>
  </si>
  <si>
    <t>https://hitbdsm.com/double-your-pleasure</t>
  </si>
  <si>
    <t>https://hitbdsm.com/double-zippers-and-a-double-sybians-these-girls-are-made-to-cum-until-they-forget-their-names</t>
  </si>
  <si>
    <t>https://hitbdsm.com/dragonlilly-the-sarge</t>
  </si>
  <si>
    <t>https://hitbdsm.com/dual-pleasures-adrianna-nicole-claire-adams</t>
  </si>
  <si>
    <t>https://hitbdsm.com/dyke-bar-3-abella-danger-fisted-dpd-and-dominated-by-wild-lesbians</t>
  </si>
  <si>
    <t>https://hitbdsm.com/dynamite-katie-summers-brings-it-live</t>
  </si>
  <si>
    <t>https://hitbdsm.com/encore-of-amber-raynes-april-6th-live-show</t>
  </si>
  <si>
    <t>https://hitbdsm.com/extreme-bondage-brutal-torment-and-intense-orgasm-denial</t>
  </si>
  <si>
    <t>https://hitbdsm.com/extreme-immobilization-felony-is-at-the-mercy-of-two-fierce-doms</t>
  </si>
  <si>
    <t>https://hitbdsm.com/falling-into-ashes-ash-hollywood</t>
  </si>
  <si>
    <t>https://hitbdsm.com/father-issues</t>
  </si>
  <si>
    <t>https://hitbdsm.com/feature-shoot-wet-rock-canyon</t>
  </si>
  <si>
    <t>https://hitbdsm.com/felony-2</t>
  </si>
  <si>
    <t>https://hitbdsm.com/felony-amazing-milf-squirter</t>
  </si>
  <si>
    <t>https://hitbdsm.com/felony-bound-in-cruel-latex-metal-and-leather-bondage</t>
  </si>
  <si>
    <t>https://hitbdsm.com/felony-overloaded-overflowed</t>
  </si>
  <si>
    <t>https://hitbdsm.com/final-reckoning</t>
  </si>
  <si>
    <t>https://hitbdsm.com/first-kinky-lesbian-experience</t>
  </si>
  <si>
    <t>https://hitbdsm.com/first-timer-in-extreme-bondage-with-brutal-tormented-and-made-to-cum</t>
  </si>
  <si>
    <t>https://hitbdsm.com/fisting-class</t>
  </si>
  <si>
    <t>https://hitbdsm.com/fist-punching-sarah</t>
  </si>
  <si>
    <t>https://hitbdsm.com/fragments-viii</t>
  </si>
  <si>
    <t>https://hitbdsm.com/fresh-meat-rosalyn-sphinx</t>
  </si>
  <si>
    <t>https://hitbdsm.com/fresh-talent</t>
  </si>
  <si>
    <t>https://hitbdsm.com/fucking-up-rain-degrey-with-insane-bondage-and-brutal-torment</t>
  </si>
  <si>
    <t>https://hitbdsm.com/genuine-20yr-old-farmers-daughter-former-cheerleader-gymnast-gets-destroyed-by-cock</t>
  </si>
  <si>
    <t>https://hitbdsm.com/girl-next-door-severely-bound-and-helpless-stripped-elbows-bound-legs-split-multi-orgasms</t>
  </si>
  <si>
    <t>https://hitbdsm.com/gold-digging-step-mother-served-double-anal-trouble</t>
  </si>
  <si>
    <t>https://hitbdsm.com/grueling-bondage</t>
  </si>
  <si>
    <t>https://hitbdsm.com/hall-of-fuckingmachines-fame-the-top-of-the-fuck-chain</t>
  </si>
  <si>
    <t>https://hitbdsm.com/helpless-whore-devastated-by-extreme-bondage</t>
  </si>
  <si>
    <t>https://hitbdsm.com/helpless-whores-suffering</t>
  </si>
  <si>
    <t>https://hitbdsm.com/hot-blonde-anikka-albrights-first-bondage-shoot-ever</t>
  </si>
  <si>
    <t>https://hitbdsm.com/hot-blond-is-caned-ass-fucked-made-to-cum-over-and-over-4-doms-brutally-work-the-whore-over</t>
  </si>
  <si>
    <t>https://hitbdsm.com/i-hate-bugs</t>
  </si>
  <si>
    <t>https://hitbdsm.com/immigration-authority</t>
  </si>
  <si>
    <t>https://hitbdsm.com/iona-grace-punished-wanton-slut</t>
  </si>
  <si>
    <t>https://hitbdsm.com/isis-love-9</t>
  </si>
  <si>
    <t>https://hitbdsm.com/jade-indica-fucks-her-own-ass-in-suspension</t>
  </si>
  <si>
    <t>https://hitbdsm.com/jade-marxxx-3</t>
  </si>
  <si>
    <t>https://hitbdsm.com/jade-marxxx-live-part-1</t>
  </si>
  <si>
    <t>https://hitbdsm.com/jenni-lee-and-jade-marxxx</t>
  </si>
  <si>
    <t>https://hitbdsm.com/jessica-sexin-and-isis-love</t>
  </si>
  <si>
    <t>https://hitbdsm.com/jessie-cox-ami-emerson-and-isis-love-part-1-of-4-of-the-september-live-feed</t>
  </si>
  <si>
    <t>https://hitbdsm.com/jodi-taylor-eager-slut-elaborately-bound-caned-zapped-and-fucked</t>
  </si>
  <si>
    <t>https://hitbdsm.com/jodi-taylor-live</t>
  </si>
  <si>
    <t>https://hitbdsm.com/juliette-march-perfect-pain-slut-pushed-to-the-extreme</t>
  </si>
  <si>
    <t>https://hitbdsm.com/katie-summers-tormented-cunt</t>
  </si>
  <si>
    <t>https://hitbdsm.com/katya-rodriguez-hogtied-newcomer-bound-and-tormented-in-bondage</t>
  </si>
  <si>
    <t>https://hitbdsm.com/kayla-paige-and-tory-lane</t>
  </si>
  <si>
    <t>https://hitbdsm.com/keira-croft-pain-slut-gets-destroyed-squirts-everywhere</t>
  </si>
  <si>
    <t>https://hitbdsm.com/kikis-cumery-part-3-smothering-and-squirting-at-kikis-hump-palace</t>
  </si>
  <si>
    <t>https://hitbdsm.com/killing-the-machines-with-pussy-squirt-cytherea-and-dylan-ryan</t>
  </si>
  <si>
    <t>https://hitbdsm.com/lesbian-femdom-role-switch-leaves-both-women-begging-for-more</t>
  </si>
  <si>
    <t>https://hitbdsm.com/lil-pixie-odette-delacroix-world-class-deep-throating-champion-bound-vibrated-and-throat-blasted</t>
  </si>
  <si>
    <t>https://hitbdsm.com/lily-labeau-endures-extreme-bondage-brutal-foot-torment-and-screaming-orgasms</t>
  </si>
  <si>
    <t>https://hitbdsm.com/little-giver</t>
  </si>
  <si>
    <t>https://hitbdsm.com/little-nympho-whore</t>
  </si>
  <si>
    <t>https://hitbdsm.com/long-legs-and-huge-nipples-suffers-foot-caning-finger-fucking-til-squirting-agony-ecstasy</t>
  </si>
  <si>
    <t>https://hitbdsm.com/looking-for-trouble-3</t>
  </si>
  <si>
    <t>https://hitbdsm.com/lorelei-lee-is-bent-in-unforgiving-device-bondage</t>
  </si>
  <si>
    <t>https://hitbdsm.com/loreleis-new-pet</t>
  </si>
  <si>
    <t>https://hitbdsm.com/lyla-storm-complete-edited-live-show</t>
  </si>
  <si>
    <t>https://hitbdsm.com/lyla-storm-vs-jack-hammer</t>
  </si>
  <si>
    <t>https://hitbdsm.com/madison-scott-is-bound-in-a-traditional-japanese-torture-position-make-to-cum-and-squirt</t>
  </si>
  <si>
    <t>https://hitbdsm.com/madison-young-and-sandra-romain</t>
  </si>
  <si>
    <t>https://hitbdsm.com/march-madness-extreme-bondage-orgasm-overload-brutal-torment-hair-suspension</t>
  </si>
  <si>
    <t>https://hitbdsm.com/marie-mccray</t>
  </si>
  <si>
    <t>https://hitbdsm.com/mark-davis-and-jade-marxxx</t>
  </si>
  <si>
    <t>https://hitbdsm.com/mark-davis-and-nadia-styles</t>
  </si>
  <si>
    <t>https://hitbdsm.com/masochistic-anal-sluts-suffer-and-squirt-for-bdsm-party</t>
  </si>
  <si>
    <t>https://hitbdsm.com/mason-winter-sky-and-christina-carter-part-1-of-4-of-the-july-live-feed</t>
  </si>
  <si>
    <t>https://hitbdsm.com/mia-lelani-big-titted-cunt-tormented-complete-edited-live-show</t>
  </si>
  <si>
    <t>https://hitbdsm.com/miss-kitty</t>
  </si>
  <si>
    <t>https://hitbdsm.com/missy-minks-live-show-edited</t>
  </si>
  <si>
    <t>https://hitbdsm.com/missy-minks-tough-lesbian-slut</t>
  </si>
  <si>
    <t>https://hitbdsm.com/mommies-know-best-gorgeous-milfs-train-disobedient-young-girls</t>
  </si>
  <si>
    <t>https://hitbdsm.com/my-step-mother-is-a-secret-sex-slave-2</t>
  </si>
  <si>
    <t>https://hitbdsm.com/mz-berlin-vs-odile</t>
  </si>
  <si>
    <t>https://hitbdsm.com/newbie-gets-brutally-fucked-in-tight-bondage</t>
  </si>
  <si>
    <t>https://hitbdsm.com/newbie-is-trapped-in-evil-devices-and-tormented</t>
  </si>
  <si>
    <t>https://hitbdsm.com/new-recruit-crew-member-electro-fucked-and-tormented</t>
  </si>
  <si>
    <t>https://hitbdsm.com/nikki-darling-katharine-cane-complete-edited-live-show</t>
  </si>
  <si>
    <t>https://hitbdsm.com/no-cuntry-for-dirty-sluts</t>
  </si>
  <si>
    <t>https://hitbdsm.com/no-holds-barred-daisy-ducati-shocks-fucks-lesbian-pain-slut</t>
  </si>
  <si>
    <t>https://hitbdsm.com/obedient-girl-sensi-pearl</t>
  </si>
  <si>
    <t>https://hitbdsm.com/office-take-down</t>
  </si>
  <si>
    <t>https://hitbdsm.com/omega-fucks-another-tiny-brunette-into-sub-space</t>
  </si>
  <si>
    <t>https://hitbdsm.com/one-bad-ass-bitch-mona-wales</t>
  </si>
  <si>
    <t>https://hitbdsm.com/one-girl-is-stretched-to-the-limit-of-her-body-the-other-takes-the-cane-and-takes-it-hard</t>
  </si>
  <si>
    <t>https://hitbdsm.com/one-tough-bitch-holly-heart-and-maestro</t>
  </si>
  <si>
    <t>https://hitbdsm.com/painful-intimacy</t>
  </si>
  <si>
    <t>https://hitbdsm.com/pain-slut-destroyed-with-pleasure-massive-orgasm-overload-totally-implodes-this-whores-brain</t>
  </si>
  <si>
    <t>https://hitbdsm.com/penned-in</t>
  </si>
  <si>
    <t>https://hitbdsm.com/penny-barber-2</t>
  </si>
  <si>
    <t>https://hitbdsm.com/penny-dreadful-part-2</t>
  </si>
  <si>
    <t>https://hitbdsm.com/petite-asian-bondage-virgin-gets-a-dose-of-suffering</t>
  </si>
  <si>
    <t>https://hitbdsm.com/petite-blonde-gets-destroyed-in-extreme-bondage</t>
  </si>
  <si>
    <t>https://hitbdsm.com/petite-bondage-slut-sensi-pearl</t>
  </si>
  <si>
    <t>https://hitbdsm.com/phoenix-marie-gets-her-ass-fisted-in-bondage</t>
  </si>
  <si>
    <t>https://hitbdsm.com/piper-perris-sex-slave-initiation</t>
  </si>
  <si>
    <t>https://hitbdsm.com/pom-pom-girl-gets-gang-banged-by-basketball-coach-and-team</t>
  </si>
  <si>
    <t>https://hitbdsm.com/popping-the-cherry</t>
  </si>
  <si>
    <t>https://hitbdsm.com/pornstar-home-movies-derrick-felony</t>
  </si>
  <si>
    <t>https://hitbdsm.com/presenting-chloes-cunt-folded-opened-and-exposed</t>
  </si>
  <si>
    <t>https://hitbdsm.com/princess-donna-is-sandras-electro-submissive</t>
  </si>
  <si>
    <t>https://hitbdsm.com/princess-donnas-b-day-bash</t>
  </si>
  <si>
    <t>https://hitbdsm.com/public-gangbang-3</t>
  </si>
  <si>
    <t>https://hitbdsm.com/pushing-her-buttons</t>
  </si>
  <si>
    <t>https://hitbdsm.com/pushing-limits-with-hardcore-bdsm-sex</t>
  </si>
  <si>
    <t>https://hitbdsm.com/rain-degrey-makes-ashli-orion-cum-in-an-inverted-suspension</t>
  </si>
  <si>
    <t>https://hitbdsm.com/rain-gets-the-full-orgasmic-overload</t>
  </si>
  <si>
    <t>https://hitbdsm.com/red-hair-fair-skin-finger-fucked-machine-fucked-extreme-nipple-play-hot-wax-hard-caning</t>
  </si>
  <si>
    <t>https://hitbdsm.com/red-head-with-massive-huge-tits-then-it-must-be-berlin-we-love-a-girl-who-loves-bondage</t>
  </si>
  <si>
    <t>https://hitbdsm.com/resistance-is-futile-dana-gives-into-her-lust-and-aching-asshole</t>
  </si>
  <si>
    <t>https://hitbdsm.com/role-reversal-2</t>
  </si>
  <si>
    <t>https://hitbdsm.com/ruined-orgasm-theres-no-pleasurable-release-when-your-orgasm-is-abandoned</t>
  </si>
  <si>
    <t>https://hitbdsm.com/sara-faye-elyse-and-claire-adams</t>
  </si>
  <si>
    <t>https://hitbdsm.com/sarah-shevon-the-pile-driver</t>
  </si>
  <si>
    <t>https://hitbdsm.com/sasha-has-soooo-many-firsts-anal-squirt</t>
  </si>
  <si>
    <t>https://hitbdsm.com/scandalous-anal-college-admission-for-bratty-step-daughter</t>
  </si>
  <si>
    <t>https://hitbdsm.com/screaming-through-the-pain</t>
  </si>
  <si>
    <t>https://hitbdsm.com/service-session-clit-appreciation-day</t>
  </si>
  <si>
    <t>https://hitbdsm.com/sexy-bad-girl-tamed-by-chain</t>
  </si>
  <si>
    <t>https://hitbdsm.com/sexy-brunette-experiences-nipple-torture-brutal-crotch-rope-and-extreme-bondage</t>
  </si>
  <si>
    <t>https://hitbdsm.com/sexy-milf-in-hot-bondage-massive</t>
  </si>
  <si>
    <t>https://hitbdsm.com/sheena-shaw-rough-rider</t>
  </si>
  <si>
    <t>https://hitbdsm.com/sister-dee</t>
  </si>
  <si>
    <t>https://hitbdsm.com/slutty-anal-nurses</t>
  </si>
  <si>
    <t>https://hitbdsm.com/stella-cox-learns-the-hard-way-not-to-mess-with-a-dommes-money</t>
  </si>
  <si>
    <t>https://hitbdsm.com/step-sister-slut-featuring-riley-reid</t>
  </si>
  <si>
    <t>https://hitbdsm.com/stock-fucked</t>
  </si>
  <si>
    <t>https://hitbdsm.com/stolen-goods</t>
  </si>
  <si>
    <t>https://hitbdsm.com/submission-to-pain-cherries-felony</t>
  </si>
  <si>
    <t>https://hitbdsm.com/super-cute-blond-is-tormented-cloths-pins-on-her-body-are-ripped-off-made-to-cum-over-and-over</t>
  </si>
  <si>
    <t>https://hitbdsm.com/super-flexible-sensi-pearl-gets-tied-up-and-fucked</t>
  </si>
  <si>
    <t>https://hitbdsm.com/super-sexy-alt-pain-slut-captured-in-brutal-bondage-and-tormented</t>
  </si>
  <si>
    <t>https://hitbdsm.com/super-slut</t>
  </si>
  <si>
    <t>https://hitbdsm.com/tall-blond-bombshell-taken-down</t>
  </si>
  <si>
    <t>https://hitbdsm.com/tall-long-legged-blond-is-hung-upside-down-made-to-cum-choked-clamped-abused-left-hanging</t>
  </si>
  <si>
    <t>https://hitbdsm.com/tara-lynn-foxx-complete-edited-live-show</t>
  </si>
  <si>
    <t>https://hitbdsm.com/the-electroslut-next-door</t>
  </si>
  <si>
    <t>https://hitbdsm.com/the-family-platform-anal-whore-exposed-by-slutty-step-daughter</t>
  </si>
  <si>
    <t>https://hitbdsm.com/the-fuck-doll</t>
  </si>
  <si>
    <t>https://hitbdsm.com/the-gentle-approach-to-heavy-ass-fucking</t>
  </si>
  <si>
    <t>https://hitbdsm.com/the-intern</t>
  </si>
  <si>
    <t>https://hitbdsm.com/the-interview-part-2</t>
  </si>
  <si>
    <t>https://hitbdsm.com/the-naive-model-and-the-creepy-photographer</t>
  </si>
  <si>
    <t>https://hitbdsm.com/the-new-bitch</t>
  </si>
  <si>
    <t>https://hitbdsm.com/the-night-nurse-dani-daniels</t>
  </si>
  <si>
    <t>https://hitbdsm.com/the-return-of-darling</t>
  </si>
  <si>
    <t>https://hitbdsm.com/the-sarge-meets-mia-bangg</t>
  </si>
  <si>
    <t>https://hitbdsm.com/the-terminator-the-groovy-and-the-faithful-slave-part-4</t>
  </si>
  <si>
    <t>https://hitbdsm.com/the-virgin</t>
  </si>
  <si>
    <t>https://hitbdsm.com/tied-together-ot-uses-predicament-bondage-to-make-kate-and-dolly-torment-each-other</t>
  </si>
  <si>
    <t>https://hitbdsm.com/tiny-big-booty-hottie-jynx-maze-is-bound-face-fucked-deep-throated-and-pussy-fucked-to-orgasms</t>
  </si>
  <si>
    <t>https://hitbdsm.com/tiny-blonde-odette-delacroix-bound-inside-a-box-and-roughly-fucked-from-both-ends-by-cock</t>
  </si>
  <si>
    <t>https://hitbdsm.com/tiny-blonde-tied-up-and-ass-fucked-in-public</t>
  </si>
  <si>
    <t>https://hitbdsm.com/tiny-casey-calvert-is-inverted-skull-fucked-pussy-fucked-nipple-tortured-squirts-like-a-fountain</t>
  </si>
  <si>
    <t>https://hitbdsm.com/tiny-sex-kitten-isabella-nice-submits-in-rope-bondage-and-anal-fucking</t>
  </si>
  <si>
    <t>https://hitbdsm.com/tiny-slut-big-pain</t>
  </si>
  <si>
    <t>https://hitbdsm.com/tomi-knox-assaults-fuck-doll-kristine-kahill-with-creative-devices-and-sadism</t>
  </si>
  <si>
    <t>https://hitbdsm.com/tough-as-nails</t>
  </si>
  <si>
    <t>https://hitbdsm.com/tough-blonde-bombshell-fan-favorite-lorelei-lee-complete-edited-live-show</t>
  </si>
  <si>
    <t>https://hitbdsm.com/tracey-sweet</t>
  </si>
  <si>
    <t>https://hitbdsm.com/two-cunts-one-game</t>
  </si>
  <si>
    <t>https://hitbdsm.com/two-cute-two-cute-sluts-for-the-price-of-one</t>
  </si>
  <si>
    <t>https://hitbdsm.com/two-of-the-hottest-and-toughest-porn-stars-team-up-for-one-explosive-update</t>
  </si>
  <si>
    <t>https://hitbdsm.com/vendetta-returns-to-hogtied-you-can-only-see-her-exclusively-at-kink</t>
  </si>
  <si>
    <t>https://hitbdsm.com/vendetta-vs-the-machines</t>
  </si>
  <si>
    <t>https://hitbdsm.com/vulgar-display-of-power-on-ebony-slut</t>
  </si>
  <si>
    <t>https://hitbdsm.com/welcome-sheena-shaw</t>
  </si>
  <si>
    <t>https://hitbdsm.com/wenona-6</t>
  </si>
  <si>
    <t>https://hitbdsm.com/wenona-7</t>
  </si>
  <si>
    <t>https://hitbdsm.com/wenona-jessie-cox-and-isis-love-part-1-of-4-of-the-march-live-show</t>
  </si>
  <si>
    <t>https://hitbdsm.com/wenona-put-into-extreme-bondage</t>
  </si>
  <si>
    <t>https://hitbdsm.com/wenona-suffers</t>
  </si>
  <si>
    <t>https://hitbdsm.com/wenona-the-sarge</t>
  </si>
  <si>
    <t>https://hitbdsm.com/whipped-ass-live-in-december</t>
  </si>
  <si>
    <t>without dash</t>
  </si>
  <si>
    <t>-</t>
  </si>
  <si>
    <t>56824</t>
  </si>
  <si>
    <t>63317</t>
  </si>
  <si>
    <t>bent</t>
  </si>
  <si>
    <t>shocking her holes</t>
  </si>
  <si>
    <t>holly michaels suspension and domination</t>
  </si>
  <si>
    <t>lorelei lee dominating remy lacroix</t>
  </si>
  <si>
    <t>newcomer loses her innocence</t>
  </si>
  <si>
    <t>roses are red</t>
  </si>
  <si>
    <t>queen snake splits</t>
  </si>
  <si>
    <t>device bondage</t>
  </si>
  <si>
    <t>electric body used to power a light bulb and butt plug</t>
  </si>
  <si>
    <t>kelly divine stretched fucked flogged and squirting everywhere rosebud exposed</t>
  </si>
  <si>
    <t>cheyenne jewel punished with unwilling orgasms and mean metal bondage</t>
  </si>
  <si>
    <t>wild anal seductress</t>
  </si>
  <si>
    <t>journalist ash hollywood learns what is means to be nonbiased through electro motivation</t>
  </si>
  <si>
    <t>19 year old is devastated in brutal bondage</t>
  </si>
  <si>
    <t>19yr old fashion fitness model made to cum so hard she cant even beg for mercy totally destroyed</t>
  </si>
  <si>
    <t>19yr orgasmed past the breaking point can someone be orgasmed to insanity we almost found out</t>
  </si>
  <si>
    <t>1 blonde 1 brunette 1 redhead hot lesbian punishment and sex</t>
  </si>
  <si>
    <t>adorable 19 year old has a tough first ever lesbian experience on whippedass com</t>
  </si>
  <si>
    <t>a few of felonys favorite things</t>
  </si>
  <si>
    <t>a for anal</t>
  </si>
  <si>
    <t>alexa von tess 5</t>
  </si>
  <si>
    <t>alexa von tess and sandra romain</t>
  </si>
  <si>
    <t>alicia stone sienna and isis love part 2 of 4 of the february live show</t>
  </si>
  <si>
    <t>all anal slave girls training the gape</t>
  </si>
  <si>
    <t>all natural beauty in pile driver orgasm overload</t>
  </si>
  <si>
    <t>all natural blonde babe lisey sweet ass fucked and abused in bondage</t>
  </si>
  <si>
    <t>amateur hottie tries electricity with isis love</t>
  </si>
  <si>
    <t>amber rayne 4</t>
  </si>
  <si>
    <t>amber rayne live show part 2 drawn and quartered</t>
  </si>
  <si>
    <t>amber rayne live show part 3 bent and fisted</t>
  </si>
  <si>
    <t>amber rayne returns to device bondage</t>
  </si>
  <si>
    <t>anal action at its deepest hardest claire adams lorelei lee</t>
  </si>
  <si>
    <t>anal audition skylar sweats through a hot soapy enema</t>
  </si>
  <si>
    <t>anal campus sluts</t>
  </si>
  <si>
    <t>anal exploring sexy slut gaia</t>
  </si>
  <si>
    <t>anal girls slumber holiday</t>
  </si>
  <si>
    <t>anal perversion</t>
  </si>
  <si>
    <t>anal slut gets cold steel anal invasion</t>
  </si>
  <si>
    <t>angela white begs to suffer for her master in metal bondage</t>
  </si>
  <si>
    <t>annabelle lee no mas no mas</t>
  </si>
  <si>
    <t>annie cruz bitch in heat</t>
  </si>
  <si>
    <t>annie cruz trapped in a piledriver made to squirt in her own face and throat</t>
  </si>
  <si>
    <t>ariel x 3</t>
  </si>
  <si>
    <t>ariel x 4</t>
  </si>
  <si>
    <t>ariel x 7</t>
  </si>
  <si>
    <t>ariel x body builder double penetrated in diabolical devices</t>
  </si>
  <si>
    <t>ariel x double penetrated and squirting everywhere</t>
  </si>
  <si>
    <t>ariel x extreme bondage brutal torment and squirting orgasms</t>
  </si>
  <si>
    <t>ariel x live show complete edited version</t>
  </si>
  <si>
    <t>a sadists dream come true</t>
  </si>
  <si>
    <t>ashley jane ally ann and princess donna part 1 of 4 of the november live show</t>
  </si>
  <si>
    <t>ashli orion 2</t>
  </si>
  <si>
    <t>ashli orion cums back for more brutal ties only on hogtied</t>
  </si>
  <si>
    <t>ass fucking enemas galore bobbi starr ariel x</t>
  </si>
  <si>
    <t>ass hooked caned made to cum so much she begs for mercy humilated and abused so helpless</t>
  </si>
  <si>
    <t>a tale of kasey and casey</t>
  </si>
  <si>
    <t>athletic milf fuck toy cherie deville punished in bondage and sybian</t>
  </si>
  <si>
    <t>bad pussy</t>
  </si>
  <si>
    <t>ballerina sluts</t>
  </si>
  <si>
    <t>beautiful blonde with big tits gets oiled up and used as a cum canvas</t>
  </si>
  <si>
    <t>beauty and the beast kristen scott vs the pope</t>
  </si>
  <si>
    <t>bella rossi dispenses pain and pleasure to gabriella violets asses</t>
  </si>
  <si>
    <t>beretta challenged with wanton cruelty</t>
  </si>
  <si>
    <t>beretta james live show complete edited version</t>
  </si>
  <si>
    <t>berlin and her massive breasts are back great breast bondage and hardcore orgams</t>
  </si>
  <si>
    <t>berlin the extreme bitch is back</t>
  </si>
  <si>
    <t>big booty latina pushes her anal boundaries for everything butt fans</t>
  </si>
  <si>
    <t>big tits brutal bondage extreme corporal punishment and squirting orgasms</t>
  </si>
  <si>
    <t>birthday party for the princess pt 2</t>
  </si>
  <si>
    <t>bitch bound in bag extreme spread eagle special</t>
  </si>
  <si>
    <t>black mailed step mother daughter sexually punished 2</t>
  </si>
  <si>
    <t>blair bitch project</t>
  </si>
  <si>
    <t>blonde bombshell anal electrofucked live</t>
  </si>
  <si>
    <t>blonde bombshell bound spanked and anally fisted</t>
  </si>
  <si>
    <t>blonde college student is subjected to extreme suffering</t>
  </si>
  <si>
    <t>blonde fuck slut squeals and begs to cum</t>
  </si>
  <si>
    <t>blonde with big natural breasts rode hard</t>
  </si>
  <si>
    <t>blond firecracker fucked senseless by machines</t>
  </si>
  <si>
    <t>bound by metal covered in wax fucked by machine</t>
  </si>
  <si>
    <t>breaking the innocent</t>
  </si>
  <si>
    <t>brooke lee adams orgasmed to near unconsciousness seriously</t>
  </si>
  <si>
    <t>brooke report the sexy body of brooke johnson gets bound and broken</t>
  </si>
  <si>
    <t>brunettes have more fun sweet revenge</t>
  </si>
  <si>
    <t>brutality and torment</t>
  </si>
  <si>
    <t>buff milf cherie deville submits to rope bondage and unwilling orgasms</t>
  </si>
  <si>
    <t>busty california blonde courtney gets bent fucked challenged</t>
  </si>
  <si>
    <t>cabo day of the dead part 4 a fantasy</t>
  </si>
  <si>
    <t>cadence lux the depths of hell</t>
  </si>
  <si>
    <t>calico 4</t>
  </si>
  <si>
    <t>candy manson</t>
  </si>
  <si>
    <t>casey calvert bondage torment and sexual servitude</t>
  </si>
  <si>
    <t>chanel preston returns to hogtied</t>
  </si>
  <si>
    <t>chanel prestons hot new play thing</t>
  </si>
  <si>
    <t>cherry torns dirty talking anal lesbian slut</t>
  </si>
  <si>
    <t>claire adams vs dahlia sky</t>
  </si>
  <si>
    <t>claire adams vs rough rider wenona</t>
  </si>
  <si>
    <t>claire dames and wenona there is something you dont see everyday</t>
  </si>
  <si>
    <t>claires day off</t>
  </si>
  <si>
    <t>college girl ravished</t>
  </si>
  <si>
    <t>come enema and anal domination</t>
  </si>
  <si>
    <t>crystal frost</t>
  </si>
  <si>
    <t>cute red head plucked off the street hung upside down and double penetrated</t>
  </si>
  <si>
    <t>cute young blonde overwhelmed with bondage and cock</t>
  </si>
  <si>
    <t>cyd black and amber rayne</t>
  </si>
  <si>
    <t>damage me please</t>
  </si>
  <si>
    <t>dani daniels in brutal bondage tormented and made to cum uncontrollably</t>
  </si>
  <si>
    <t>day of reckoning</t>
  </si>
  <si>
    <t>delilah strong 2</t>
  </si>
  <si>
    <t>destroying the homecoming queen</t>
  </si>
  <si>
    <t>devastating darling</t>
  </si>
  <si>
    <t>dirty fucking girl ten is pushed beyond her clitoral limits</t>
  </si>
  <si>
    <t>dollys innocence lost</t>
  </si>
  <si>
    <t>double teamed extreme bondagebrutal suffering and squirting orgasms</t>
  </si>
  <si>
    <t>double trouble</t>
  </si>
  <si>
    <t>double your pleasure</t>
  </si>
  <si>
    <t>double zippers and a double sybians these girls are made to cum until they forget their names</t>
  </si>
  <si>
    <t>dragonlilly the sarge</t>
  </si>
  <si>
    <t>dual pleasures adrianna nicole claire adams</t>
  </si>
  <si>
    <t>dyke bar 3 abella danger fisted dpd and dominated by wild lesbians</t>
  </si>
  <si>
    <t>dynamite katie summers brings it live</t>
  </si>
  <si>
    <t>encore of amber raynes april 6th live show</t>
  </si>
  <si>
    <t>extreme bondage brutal torment and intense orgasm denial</t>
  </si>
  <si>
    <t>extreme immobilization felony is at the mercy of two fierce doms</t>
  </si>
  <si>
    <t>falling into ashes ash hollywood</t>
  </si>
  <si>
    <t>father issues</t>
  </si>
  <si>
    <t>feature shoot wet rock canyon</t>
  </si>
  <si>
    <t>felony 2</t>
  </si>
  <si>
    <t>felony amazing milf squirter</t>
  </si>
  <si>
    <t>felony bound in cruel latex metal and leather bondage</t>
  </si>
  <si>
    <t>felony overloaded overflowed</t>
  </si>
  <si>
    <t>final reckoning</t>
  </si>
  <si>
    <t>first kinky lesbian experience</t>
  </si>
  <si>
    <t>first timer in extreme bondage with brutal tormented and made to cum</t>
  </si>
  <si>
    <t>fisting class</t>
  </si>
  <si>
    <t>fist punching sarah</t>
  </si>
  <si>
    <t>fragments viii</t>
  </si>
  <si>
    <t>fresh meat rosalyn sphinx</t>
  </si>
  <si>
    <t>fresh talent</t>
  </si>
  <si>
    <t>fucking up rain degrey with insane bondage and brutal torment</t>
  </si>
  <si>
    <t>genuine 20yr old farmers daughter former cheerleader gymnast gets destroyed by cock</t>
  </si>
  <si>
    <t>girl next door severely bound and helpless stripped elbows bound legs split multi orgasms</t>
  </si>
  <si>
    <t>gold digging step mother served double anal trouble</t>
  </si>
  <si>
    <t>grueling bondage</t>
  </si>
  <si>
    <t>hall of fuckingmachines fame the top of the fuck chain</t>
  </si>
  <si>
    <t>helpless whore devastated by extreme bondage</t>
  </si>
  <si>
    <t>helpless whores suffering</t>
  </si>
  <si>
    <t>hot blonde anikka albrights first bondage shoot ever</t>
  </si>
  <si>
    <t>hot blond is caned ass fucked made to cum over and over 4 doms brutally work the whore over</t>
  </si>
  <si>
    <t>i hate bugs</t>
  </si>
  <si>
    <t>immigration authority</t>
  </si>
  <si>
    <t>iona grace punished wanton slut</t>
  </si>
  <si>
    <t>isis love 9</t>
  </si>
  <si>
    <t>jade indica fucks her own ass in suspension</t>
  </si>
  <si>
    <t>jade marxxx 3</t>
  </si>
  <si>
    <t>jade marxxx live part 1</t>
  </si>
  <si>
    <t>jenni lee and jade marxxx</t>
  </si>
  <si>
    <t>jessica sexin and isis love</t>
  </si>
  <si>
    <t>jessie cox ami emerson and isis love part 1 of 4 of the september live feed</t>
  </si>
  <si>
    <t>jodi taylor eager slut elaborately bound caned zapped and fucked</t>
  </si>
  <si>
    <t>jodi taylor live</t>
  </si>
  <si>
    <t>juliette march perfect pain slut pushed to the extreme</t>
  </si>
  <si>
    <t>katie summers tormented cunt</t>
  </si>
  <si>
    <t>katya rodriguez hogtied newcomer bound and tormented in bondage</t>
  </si>
  <si>
    <t>kayla paige and tory lane</t>
  </si>
  <si>
    <t>keira croft pain slut gets destroyed squirts everywhere</t>
  </si>
  <si>
    <t>kikis cumery part 3 smothering and squirting at kikis hump palace</t>
  </si>
  <si>
    <t>killing the machines with pussy squirt cytherea and dylan ryan</t>
  </si>
  <si>
    <t>lesbian femdom role switch leaves both women begging for more</t>
  </si>
  <si>
    <t>lil pixie odette delacroix world class deep throating champion bound vibrated and throat blasted</t>
  </si>
  <si>
    <t>lily labeau endures extreme bondage brutal foot torment and screaming orgasms</t>
  </si>
  <si>
    <t>little giver</t>
  </si>
  <si>
    <t>little nympho whore</t>
  </si>
  <si>
    <t>long legs and huge nipples suffers foot caning finger fucking til squirting agony ecstasy</t>
  </si>
  <si>
    <t>looking for trouble 3</t>
  </si>
  <si>
    <t>lorelei lee is bent in unforgiving device bondage</t>
  </si>
  <si>
    <t>loreleis new pet</t>
  </si>
  <si>
    <t>lyla storm complete edited live show</t>
  </si>
  <si>
    <t>lyla storm vs jack hammer</t>
  </si>
  <si>
    <t>madison scott is bound in a traditional japanese torture position make to cum and squirt</t>
  </si>
  <si>
    <t>madison young and sandra romain</t>
  </si>
  <si>
    <t>march madness extreme bondage orgasm overload brutal torment hair suspension</t>
  </si>
  <si>
    <t>marie mccray</t>
  </si>
  <si>
    <t>mark davis and jade marxxx</t>
  </si>
  <si>
    <t>mark davis and nadia styles</t>
  </si>
  <si>
    <t>masochistic anal sluts suffer and squirt for bdsm party</t>
  </si>
  <si>
    <t>mason winter sky and christina carter part 1 of 4 of the july live feed</t>
  </si>
  <si>
    <t>mia lelani big titted cunt tormented complete edited live show</t>
  </si>
  <si>
    <t>miss kitty</t>
  </si>
  <si>
    <t>missy minks live show edited</t>
  </si>
  <si>
    <t>missy minks tough lesbian slut</t>
  </si>
  <si>
    <t>mommies know best gorgeous milfs train disobedient young girls</t>
  </si>
  <si>
    <t>my step mother is a secret sex slave 2</t>
  </si>
  <si>
    <t>mz berlin vs odile</t>
  </si>
  <si>
    <t>newbie gets brutally fucked in tight bondage</t>
  </si>
  <si>
    <t>newbie is trapped in evil devices and tormented</t>
  </si>
  <si>
    <t>new recruit crew member electro fucked and tormented</t>
  </si>
  <si>
    <t>nikki darling katharine cane complete edited live show</t>
  </si>
  <si>
    <t>no cuntry for dirty sluts</t>
  </si>
  <si>
    <t>no holds barred daisy ducati shocks fucks lesbian pain slut</t>
  </si>
  <si>
    <t>obedient girl sensi pearl</t>
  </si>
  <si>
    <t>office take down</t>
  </si>
  <si>
    <t>omega fucks another tiny brunette into sub space</t>
  </si>
  <si>
    <t>one bad ass bitch mona wales</t>
  </si>
  <si>
    <t>one girl is stretched to the limit of her body the other takes the cane and takes it hard</t>
  </si>
  <si>
    <t>one tough bitch holly heart and maestro</t>
  </si>
  <si>
    <t>painful intimacy</t>
  </si>
  <si>
    <t>pain slut destroyed with pleasure massive orgasm overload totally implodes this whores brain</t>
  </si>
  <si>
    <t>penned in</t>
  </si>
  <si>
    <t>penny barber 2</t>
  </si>
  <si>
    <t>penny dreadful part 2</t>
  </si>
  <si>
    <t>petite asian bondage virgin gets a dose of suffering</t>
  </si>
  <si>
    <t>petite blonde gets destroyed in extreme bondage</t>
  </si>
  <si>
    <t>petite bondage slut sensi pearl</t>
  </si>
  <si>
    <t>phoenix marie gets her ass fisted in bondage</t>
  </si>
  <si>
    <t>piper perris sex slave initiation</t>
  </si>
  <si>
    <t>pom pom girl gets gang banged by basketball coach and team</t>
  </si>
  <si>
    <t>popping the cherry</t>
  </si>
  <si>
    <t>pornstar home movies derrick felony</t>
  </si>
  <si>
    <t>presenting chloes cunt folded opened and exposed</t>
  </si>
  <si>
    <t>princess donna is sandras electro submissive</t>
  </si>
  <si>
    <t>princess donnas b day bash</t>
  </si>
  <si>
    <t>public gangbang 3</t>
  </si>
  <si>
    <t>pushing her buttons</t>
  </si>
  <si>
    <t>pushing limits with hardcore bdsm sex</t>
  </si>
  <si>
    <t>rain degrey makes ashli orion cum in an inverted suspension</t>
  </si>
  <si>
    <t>rain gets the full orgasmic overload</t>
  </si>
  <si>
    <t>red hair fair skin finger fucked machine fucked extreme nipple play hot wax hard caning</t>
  </si>
  <si>
    <t>red head with massive huge tits then it must be berlin we love a girl who loves bondage</t>
  </si>
  <si>
    <t>resistance is futile dana gives into her lust and aching asshole</t>
  </si>
  <si>
    <t>role reversal 2</t>
  </si>
  <si>
    <t>ruined orgasm theres no pleasurable release when your orgasm is abandoned</t>
  </si>
  <si>
    <t>sara faye elyse and claire adams</t>
  </si>
  <si>
    <t>sarah shevon the pile driver</t>
  </si>
  <si>
    <t>sasha has soooo many firsts anal squirt</t>
  </si>
  <si>
    <t>scandalous anal college admission for bratty step daughter</t>
  </si>
  <si>
    <t>screaming through the pain</t>
  </si>
  <si>
    <t>service session clit appreciation day</t>
  </si>
  <si>
    <t>sexy bad girl tamed by chain</t>
  </si>
  <si>
    <t>sexy brunette experiences nipple torture brutal crotch rope and extreme bondage</t>
  </si>
  <si>
    <t>sexy milf in hot bondage massive</t>
  </si>
  <si>
    <t>sheena shaw rough rider</t>
  </si>
  <si>
    <t>slutty anal nurses</t>
  </si>
  <si>
    <t>stella cox learns the hard way not to mess with a dommes money</t>
  </si>
  <si>
    <t>step sister slut featuring riley reid</t>
  </si>
  <si>
    <t>stock fucked</t>
  </si>
  <si>
    <t>stolen goods</t>
  </si>
  <si>
    <t>submission to pain cherries felony</t>
  </si>
  <si>
    <t>super cute blond is tormented cloths pins on her body are ripped off made to cum over and over</t>
  </si>
  <si>
    <t>super flexible sensi pearl gets tied up and fucked</t>
  </si>
  <si>
    <t>super sexy alt pain slut captured in brutal bondage and tormented</t>
  </si>
  <si>
    <t>super slut</t>
  </si>
  <si>
    <t>tall blond bombshell taken down</t>
  </si>
  <si>
    <t>tall long legged blond is hung upside down made to cum choked clamped abused left hanging</t>
  </si>
  <si>
    <t>tara lynn foxx complete edited live show</t>
  </si>
  <si>
    <t>the electroslut next door</t>
  </si>
  <si>
    <t>the family platform anal whore exposed by slutty step daughter</t>
  </si>
  <si>
    <t>the fuck doll</t>
  </si>
  <si>
    <t>the gentle approach to heavy ass fucking</t>
  </si>
  <si>
    <t>the intern</t>
  </si>
  <si>
    <t>the interview part 2</t>
  </si>
  <si>
    <t>the naive model and the creepy photographer</t>
  </si>
  <si>
    <t>the new bitch</t>
  </si>
  <si>
    <t>the night nurse dani daniels</t>
  </si>
  <si>
    <t>the return of darling</t>
  </si>
  <si>
    <t>the sarge meets mia bangg</t>
  </si>
  <si>
    <t>the terminator the groovy and the faithful slave part 4</t>
  </si>
  <si>
    <t>the virgin</t>
  </si>
  <si>
    <t>tied together ot uses predicament bondage to make kate and dolly torment each other</t>
  </si>
  <si>
    <t>tiny big booty hottie jynx maze is bound face fucked deep throated and pussy fucked to orgasms</t>
  </si>
  <si>
    <t>tiny blonde odette delacroix bound inside a box and roughly fucked from both ends by cock</t>
  </si>
  <si>
    <t>tiny blonde tied up and ass fucked in public</t>
  </si>
  <si>
    <t>tiny casey calvert is inverted skull fucked pussy fucked nipple tortured squirts like a fountain</t>
  </si>
  <si>
    <t>tiny sex kitten isabella nice submits in rope bondage and anal fucking</t>
  </si>
  <si>
    <t>tiny slut big pain</t>
  </si>
  <si>
    <t>tomi knox assaults fuck doll kristine kahill with creative devices and sadism</t>
  </si>
  <si>
    <t>tough as nails</t>
  </si>
  <si>
    <t>tough blonde bombshell fan favorite lorelei lee complete edited live show</t>
  </si>
  <si>
    <t>tracey sweet</t>
  </si>
  <si>
    <t>two cunts one game</t>
  </si>
  <si>
    <t>two cute two cute sluts for the price of one</t>
  </si>
  <si>
    <t>two of the hottest and toughest porn stars team up for one explosive update</t>
  </si>
  <si>
    <t>vendetta returns to hogtied you can only see her exclusively at kink</t>
  </si>
  <si>
    <t>vendetta vs the machines</t>
  </si>
  <si>
    <t>vulgar display of power on ebony slut</t>
  </si>
  <si>
    <t>welcome sheena shaw</t>
  </si>
  <si>
    <t>wenona 6</t>
  </si>
  <si>
    <t>wenona 7</t>
  </si>
  <si>
    <t>wenona jessie cox and isis love part 1 of 4 of the march live show</t>
  </si>
  <si>
    <t>wenona put into extreme bondage</t>
  </si>
  <si>
    <t>wenona suffers</t>
  </si>
  <si>
    <t>wenona the sarge</t>
  </si>
  <si>
    <t>whipped ass live in december</t>
  </si>
  <si>
    <t>https://bdsmstreak.com/video/32839/shocking-her-holes</t>
  </si>
  <si>
    <t>cici rhodes</t>
  </si>
  <si>
    <t>holly micheals</t>
  </si>
  <si>
    <t>https://bdsmlust.com/hogtied-holly-michaels-suspension-and-domination/</t>
  </si>
  <si>
    <t xml:space="preserve">lorelei lee, remy lacroix </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</si>
  <si>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</si>
  <si>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</si>
  <si>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</si>
  <si>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</si>
  <si>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</si>
  <si>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</si>
  <si>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</si>
  <si>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</si>
  <si>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jessica</t>
  </si>
  <si>
    <t>kink electrosluts</t>
  </si>
  <si>
    <t>isis love,audrey rose</t>
  </si>
  <si>
    <t>https://www.porntry.com/videos/22501693/fcf101dc9e489774ee10635ef60ff256/</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</si>
  <si>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</si>
  <si>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</si>
  <si>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</si>
  <si>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</si>
  <si>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</si>
  <si>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</si>
  <si>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kink original</t>
  </si>
  <si>
    <t>jane wilde</t>
  </si>
  <si>
    <t>very cute</t>
  </si>
  <si>
    <t>halie james, sarah jane ceylon, princess donna dolore</t>
  </si>
  <si>
    <t>31m</t>
  </si>
  <si>
    <t>https://bdsmstreak.com/video/69767/the-veteran-and-the-newbie</t>
  </si>
  <si>
    <t>isis love,ash hollywood</t>
  </si>
  <si>
    <t>https://bdsmstreak.com/video/74422/journalist-ash-hollywood-learns-what-is-means-to-be-nonbiased-through-electro-motivation</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</si>
  <si>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</si>
  <si>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</si>
  <si>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</si>
  <si>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</si>
  <si>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</si>
  <si>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</si>
  <si>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</si>
  <si>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krystal main, maitresse madeline marlowe, lilla katt</t>
  </si>
  <si>
    <t>aiden star,naidyne</t>
  </si>
  <si>
    <t>felony,bobbi star</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</si>
  <si>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</si>
  <si>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</si>
  <si>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</si>
  <si>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</si>
  <si>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</si>
  <si>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</si>
  <si>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no trim,mp4 from bdsmmansion</t>
  </si>
  <si>
    <t>sit,pretzel,lay down,missionary,doggy,bent</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</si>
  <si>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</si>
  <si>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</si>
  <si>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</si>
  <si>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</si>
  <si>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</si>
  <si>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</si>
  <si>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</si>
  <si>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</si>
  <si>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</si>
  <si>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</si>
  <si>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</si>
  <si>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</si>
  <si>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</si>
  <si>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</si>
  <si>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</si>
  <si>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kneel,doggy,lay down</t>
  </si>
  <si>
    <t>feet,spank,handjob,latex,leash,paddle,ball gag,flog,peg,nipple clamps,pussy eat,footjob</t>
  </si>
  <si>
    <t>foot eat at 7m,spank at 10m,leash at 25m,flog at 30m,peg at 37m,pussy eat at 46m,footjob at 58m</t>
  </si>
  <si>
    <t>stand,lay down,spread eagle,hogtied,sit,doggy</t>
  </si>
  <si>
    <t>spank at 6m,flog at 8m,nipple clamps weights at 13m,taser at 20m,strapon at 62m</t>
  </si>
  <si>
    <t>lay down,inverted pussy over face,sit</t>
  </si>
  <si>
    <t>pretzel,cowgirl,sit</t>
  </si>
  <si>
    <t>https://m.hqporner.com/hdporn/20111-Hegre-art_-_Kiki_-_Volcano_Orgasm_Massage.html</t>
  </si>
  <si>
    <t>hegre</t>
  </si>
  <si>
    <t>kiki</t>
  </si>
  <si>
    <t>massage,fingering</t>
  </si>
  <si>
    <t>main fingering at 19m</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</si>
  <si>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</si>
  <si>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</si>
  <si>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</si>
  <si>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</si>
  <si>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</si>
  <si>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</si>
  <si>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</si>
  <si>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</si>
  <si>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</si>
  <si>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</si>
  <si>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</si>
  <si>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</si>
  <si>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</si>
  <si>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</si>
  <si>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</si>
  <si>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ball gag,spank,flog,tit flog</t>
  </si>
  <si>
    <t>spank at 2m,flog at 4m,tit flog at 6m</t>
  </si>
  <si>
    <t>sit,lay down,stand</t>
  </si>
  <si>
    <t>armpit at 0m,pussy flog at 3m,nipple binder clips at 9m</t>
  </si>
  <si>
    <t>sit split</t>
  </si>
  <si>
    <t>prone bone</t>
  </si>
  <si>
    <t>flog at 2m,spank at 3m</t>
  </si>
  <si>
    <t>ball gag,fingering,cane,flog,pussy flog,nipple binder clips,armpits,vibrator</t>
  </si>
  <si>
    <t>ball gag,flog,spank,vibrator</t>
  </si>
  <si>
    <t>ball gag,vibrator,whip,tit whip,nipple binder clips</t>
  </si>
  <si>
    <t>tit whip at 4m,nipple binder clips at 5m</t>
  </si>
  <si>
    <t>good section</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</si>
  <si>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</si>
  <si>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</si>
  <si>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</si>
  <si>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</si>
  <si>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</si>
  <si>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</si>
  <si>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https://www.kink.com/shoot/17581</t>
  </si>
  <si>
    <t>https://bdsmstreak.com/video/87203</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</si>
  <si>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</si>
  <si>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</si>
  <si>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</si>
  <si>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</si>
  <si>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</si>
  <si>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</si>
  <si>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</si>
  <si>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</si>
  <si>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</si>
  <si>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</si>
  <si>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</si>
  <si>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</si>
  <si>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</si>
  <si>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https://bdsmstreak.com/video/93685</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</si>
  <si>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</si>
  <si>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</si>
  <si>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</si>
  <si>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</si>
  <si>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</si>
  <si>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</si>
  <si>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https://bdsmstreak.com/video/74194/amber-rayne-returns-to-device-bondage</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</si>
  <si>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</si>
  <si>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</si>
  <si>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</si>
  <si>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</si>
  <si>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</si>
  <si>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</si>
  <si>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</si>
  <si>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</si>
  <si>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</si>
  <si>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</si>
  <si>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</si>
  <si>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</si>
  <si>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</si>
  <si>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</si>
  <si>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</si>
  <si>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</si>
  <si>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</si>
  <si>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</si>
  <si>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</si>
  <si>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</si>
  <si>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</si>
  <si>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</si>
  <si>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</si>
  <si>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</si>
  <si>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</si>
  <si>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</si>
  <si>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</si>
  <si>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</si>
  <si>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</si>
  <si>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</si>
  <si>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</si>
  <si>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</si>
  <si>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</si>
  <si>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</si>
  <si>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</si>
  <si>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</si>
  <si>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bobbi star,ariel x</t>
  </si>
  <si>
    <t>casey calvert,kasey warner</t>
  </si>
  <si>
    <t>claire adams,lorelei lee</t>
  </si>
  <si>
    <t>beretta james,mz berlin,missy minks</t>
  </si>
  <si>
    <t>dana dearmond,gaia</t>
  </si>
  <si>
    <t>inverted,oiled</t>
  </si>
  <si>
    <t>enema</t>
  </si>
  <si>
    <t>inverted</t>
  </si>
  <si>
    <t>oiled</t>
  </si>
  <si>
    <t>bent on wheel</t>
  </si>
  <si>
    <t>one of the OG</t>
  </si>
  <si>
    <t>crotch rope</t>
  </si>
  <si>
    <t>24m</t>
  </si>
  <si>
    <t>oiled,bent</t>
  </si>
  <si>
    <t>fist</t>
  </si>
  <si>
    <t>krystal main, madeline marlowe, lilla katt</t>
  </si>
  <si>
    <t>https://bdsmstreak.com/video/89746/bound-by-metal-covered-in-wax-fucked-by-machine</t>
  </si>
  <si>
    <t>https://www.kink.com/shoot/35336</t>
  </si>
  <si>
    <t>https://www.kink.com/shoot/26082</t>
  </si>
  <si>
    <t>https://www.kink.com/shoot/17030</t>
  </si>
  <si>
    <t>https://porndoe.com/watch/pd0s4t6y9l1c#pwu</t>
  </si>
  <si>
    <t>lyla storm</t>
  </si>
  <si>
    <t>anal hook from mouth,inverted,insane nipple clamps</t>
  </si>
  <si>
    <t>nice positions, crotch chain</t>
  </si>
  <si>
    <t>OG video</t>
  </si>
  <si>
    <t>pretzel, anal hook</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</si>
  <si>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</si>
  <si>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</si>
  <si>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</si>
  <si>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</si>
  <si>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</si>
  <si>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</si>
  <si>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</si>
  <si>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</si>
  <si>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</si>
  <si>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</si>
  <si>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</si>
  <si>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</si>
  <si>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</si>
  <si>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</si>
  <si>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</si>
  <si>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</si>
  <si>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</si>
  <si>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</si>
  <si>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elyssa greene, cherie deville,madeline marlowe</t>
  </si>
  <si>
    <t>tia ling</t>
  </si>
  <si>
    <t>cherie deville,holly hendrix</t>
  </si>
  <si>
    <t>anikka albrite, lea lexis</t>
  </si>
  <si>
    <t>dahlia sky,lorelei lee</t>
  </si>
  <si>
    <t>sheena shaw</t>
  </si>
  <si>
    <t>missy minks</t>
  </si>
  <si>
    <t>brooke johnson</t>
  </si>
  <si>
    <t>felony,jessie cox,krissy lynn</t>
  </si>
  <si>
    <t>courtney taylor</t>
  </si>
  <si>
    <t>katie summers</t>
  </si>
  <si>
    <t>sensi pearl,rain degrey</t>
  </si>
  <si>
    <t>vendetta,clair adams</t>
  </si>
  <si>
    <t>plastic bag</t>
  </si>
  <si>
    <t>ass hair</t>
  </si>
  <si>
    <t>pretzel,oiled</t>
  </si>
  <si>
    <t>vertical split</t>
  </si>
  <si>
    <t>PRIORITY,bent,wheel</t>
  </si>
  <si>
    <t>PRIORITY,oiled,wax</t>
  </si>
  <si>
    <t>inverted,oiled,close up</t>
  </si>
  <si>
    <t>https://www.kink.com/shoot/10425</t>
  </si>
  <si>
    <t>jennifier white</t>
  </si>
  <si>
    <t>inverted pussy over face</t>
  </si>
  <si>
    <t>https://bdsmstreak.com/video/93566/sandra-romain-and-wild-bill</t>
  </si>
  <si>
    <t>sandra romain</t>
  </si>
  <si>
    <t>cute and sexy</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</si>
  <si>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</si>
  <si>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</si>
  <si>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</si>
  <si>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</si>
  <si>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</si>
  <si>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</si>
  <si>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</si>
  <si>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</si>
  <si>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</si>
  <si>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</si>
  <si>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</si>
  <si>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</si>
  <si>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Want To</t>
  </si>
  <si>
    <t>Ariel X, Annie Cruz Part 1 of 4 of the March Live Feed</t>
  </si>
  <si>
    <t>shave,best ariel x</t>
  </si>
  <si>
    <t>https://bdsmstreak.com/video/92915/ariel-x-annie-cruz-part-4-of-4-of-the-march-live-feed-the-domination-of-isis</t>
  </si>
  <si>
    <t>inverted OG ass up</t>
  </si>
  <si>
    <t>Ariel X, Annie Cruz Part 4 of 4 of the March Live Feed The domination of Isis</t>
  </si>
  <si>
    <t>https://bdsmstreak.com/video/69444/the-sadist-s-apprentice</t>
  </si>
  <si>
    <t>PRIORITY,cigg in ass, bent on wheel,live show</t>
  </si>
  <si>
    <t>live show</t>
  </si>
  <si>
    <t>2f-1m</t>
  </si>
  <si>
    <t>amber rayne,isis love,jade indica</t>
  </si>
  <si>
    <t>2f-1m,flog,cage,cane,body clothespin,sybian,metal bondage</t>
  </si>
  <si>
    <t>3f-1m</t>
  </si>
  <si>
    <t>2f-1m,ball gag,cock ring,body clothespin,flog,peg</t>
  </si>
  <si>
    <t>2f-1m,body clothespin,wax,face dildo,spitroast,ice</t>
  </si>
  <si>
    <t>2f-1m,flog,cunnilingus,peg,body clothespin,spank</t>
  </si>
  <si>
    <t>https://hcbdsm.com/video/109333/two-mean-bitches-and-one-worthless-little-prick6/</t>
  </si>
  <si>
    <t>2f-fmgb,fucking machine,flog,exhibitionism,lesbian spank,fingering,chain in pussy and ass</t>
  </si>
  <si>
    <t>2f-fmgb</t>
  </si>
  <si>
    <t>2f-1m,live,ball gag,neck lock,nipple clamps,flog,nipple clamps weights,step on nails,anal hook,vibrator</t>
  </si>
  <si>
    <t>hasMultistar</t>
  </si>
  <si>
    <t>https://bdsmstreak.com/video/89604/beretta-james-live-show-complete-edited-version</t>
  </si>
  <si>
    <t>1f-2f</t>
  </si>
  <si>
    <t>1f-1f</t>
  </si>
  <si>
    <t>2f-1f1m</t>
  </si>
  <si>
    <t>1f-1f,cunnilingus,fingering,panty gag,spank,tit flog,pussy flog,ball gag,flog,vibrator,strapon,open mouth gag,pussy clamps,clit suction,nipple suction</t>
  </si>
  <si>
    <t>1f-1f,fist,strapon,anal</t>
  </si>
  <si>
    <t>https://bdsmstreak.com/video/80920/butt-sluts-casey-calvert-and-katja-kassin</t>
  </si>
  <si>
    <t>1f-1f,butt plug,strapon,dildo stick,fist</t>
  </si>
  <si>
    <t>1f-1f,strapon,spank,pussy eat,feet,toe in pussy,inverted ass fuck</t>
  </si>
  <si>
    <t>1f-1f,nipple clamps,shocking,water board,bite gag,cane,flog</t>
  </si>
  <si>
    <t>https://bdsmstreak.com/video/80887/anal-exploring-sexy-slut-gaia</t>
  </si>
  <si>
    <t>1f-1f,nipple clamps electric,pussy clamps electric,nose hook,blackout contacts,ball gag,flog,slap,tit slap,nipple suction,clit suction,pussy slap,kiss,strapon,pussy eat</t>
  </si>
  <si>
    <t>1f-2f,bite gag,tit bound,flog,tit flog,oiled,electric,cane,sybian,vibrator</t>
  </si>
  <si>
    <t>2f-1f</t>
  </si>
  <si>
    <t>1f-1f,tape gag,flog,cunnilingus,oiled,strapon,tit torture</t>
  </si>
  <si>
    <t>https://hcbdsm.com/video/84160/elecro-lezdom-isis-love-opens-audrey-s-tight-asshole/</t>
  </si>
  <si>
    <t>https://hcbdsm.com/video/98524/anal-perversion/</t>
  </si>
  <si>
    <t>1f-1f,crotch rope walk,crotch chain walk,hot sauce lathering,whip</t>
  </si>
  <si>
    <t>1f-1f,cigg,pantyhose,tit slap,vibrator</t>
  </si>
  <si>
    <t>1f-2f,nose hook,ball gag, pussy wedgie,flog,cane,vibrator,anal hook,spank,clit suction,pussy clamps,slap,tit slap,dp dildo,nipple clamps weight,oiled,one bar prison,spit,fucking machine</t>
  </si>
  <si>
    <t>https://bdsmstreak.com/video/94812/ariel-x-annie-cruz-part-1-of-4-of-the-march-live-feed</t>
  </si>
  <si>
    <t>1f-1f,kiss,pussy clothespin,strapon,electric,feet,pussy bite,pussy eat,pussy flog,ball gag</t>
  </si>
  <si>
    <t>1f-1f,tunnel gag,spank,flog,nipple clamps,vibrator,taser,electric,ball gag,sybian,strapon</t>
  </si>
  <si>
    <t>https://bdsmstreak.com/video/80882/anal-girls-slumber-holiday</t>
  </si>
  <si>
    <t>1f-1f,trample,high heel,feet</t>
  </si>
  <si>
    <t>1f-1f,bite gag,stapler,flog</t>
  </si>
  <si>
    <t>1f-1f,spank,face sit,fondle,nipple suck</t>
  </si>
  <si>
    <t>1f-1f1m</t>
  </si>
  <si>
    <t>1f-1f,fist,ass eat,pussy eat,fingering,anal fingering,kiss</t>
  </si>
  <si>
    <t>1f-2f,live,ball gag,whip,oiled,nipple clamps,flog,body clothespin,vibrator,dildo stick,funnel gag,pussy clamps,pussy fist,sybian,blindfold,wire gag,slap</t>
  </si>
  <si>
    <t>https://bdsmmansion.com/video/11179/09-03-27-6306-wenona-maitresse-madeline-marlowe-sasha-lexing-ballerina-sluts/</t>
  </si>
  <si>
    <t>https://hcbdsm.com/video/83137/19-year-old-s-fierce-introduced-to-the-bitches/</t>
  </si>
  <si>
    <t>2f-1m,cane,flog,nipple clamps,peg,cunnilingus,cock plate,feet</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</si>
  <si>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</si>
  <si>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</si>
  <si>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</si>
  <si>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</si>
  <si>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</si>
  <si>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</si>
  <si>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</si>
  <si>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2f-1m,spank,flog,nipple clamps,ball gag,crotch rope walk</t>
  </si>
  <si>
    <t xml:space="preserve">1f-1f,nipple suction,flog,fucking machine,piv,vibrator,strapon </t>
  </si>
  <si>
    <t>2f-2m,pussy eat,nipple clamps,nipple suction,ball gag,flog,nipple string</t>
  </si>
  <si>
    <t>1f-1f,blindfold,nipple clamps,butt plug,vibrator,strapon,pussy eat</t>
  </si>
  <si>
    <t>1f-1f1m,pretzel,toilet,toe in pussy,inverted ass fuck</t>
  </si>
  <si>
    <t>https://hcbdsm.com/video/107911/lew-rubens-alpha-productions-michelle-drea-liplocked/</t>
  </si>
  <si>
    <t>2f-1m,liplocker gag</t>
  </si>
  <si>
    <t>2f-1m,flog,lesbian fist,tongue clothespin,ass up face down,anal cum</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</si>
  <si>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</si>
  <si>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</si>
  <si>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</si>
  <si>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</si>
  <si>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</si>
  <si>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</si>
  <si>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https://www.javxxx.me/video/tki-039/</t>
  </si>
  <si>
    <t>dia zerva,felony</t>
  </si>
  <si>
    <t>peg,humiliation,chastity,milking,latex,humbler</t>
  </si>
  <si>
    <t>peg,humiliation,chastity</t>
  </si>
  <si>
    <t>2f-2m,jav,body clothespin,oiled,fondle,pussy eat</t>
  </si>
  <si>
    <t>mei akikusa, misato nonomiya</t>
  </si>
  <si>
    <t>https://heavyfetish.com/videos/86145/everythingbutt-casey-calvert-and-tommy-king/</t>
  </si>
  <si>
    <t>unknown-studio</t>
  </si>
  <si>
    <t>website-link</t>
  </si>
  <si>
    <t>unknown-stars</t>
  </si>
  <si>
    <t>unknown-stars-many</t>
  </si>
  <si>
    <t>NotApplicable</t>
  </si>
  <si>
    <t>https://bdsmstreak.com/video/79085/ashley-lane-pain-slut-brutally-tormented-in-device-bondage</t>
  </si>
  <si>
    <t>ashley lane</t>
  </si>
  <si>
    <t>kneel,lay down</t>
  </si>
  <si>
    <t>tit flog at 8m,pussy flog at 9m,tit slap at 9m,full flog at 20m,spring matterss at 31m,step on back at 43m</t>
  </si>
  <si>
    <t>tit flog,pussy flog,tit slap,flog,cane,spring mattress,step on</t>
  </si>
  <si>
    <t>https://bdsmstreak.com/video/81101/harmony-wonder-19-year-old-tormented-and-cums-in-grueling-bondage</t>
  </si>
  <si>
    <t>harmony wonder</t>
  </si>
  <si>
    <t>tiny,small,young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</si>
</sst>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11"/>
      <name val="Calibri"/>
      <family val="2"/>
      <scheme val="minor"/>
    </font>
    <font>
      <b/>
      <sz val="11"/>
      <color theme="0"/>
      <name val="Calibri Light"/>
      <family val="2"/>
      <scheme val="major"/>
    </font>
    <font>
      <b/>
      <sz val="11"/>
      <name val="Calibri"/>
      <family val="2"/>
      <scheme val="minor"/>
    </font>
    <font>
      <b/>
      <sz val="11"/>
      <color theme="1"/>
      <name val="Calibri"/>
      <family val="2"/>
      <scheme val="minor"/>
    </font>
  </fonts>
  <fills count="13">
    <fill>
      <patternFill patternType="none"/>
    </fill>
    <fill>
      <patternFill patternType="gray125"/>
    </fill>
    <fill>
      <patternFill patternType="solid">
        <fgColor theme="5" tint="-0.249977111117893"/>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2" tint="-0.749992370372631"/>
        <bgColor indexed="64"/>
      </patternFill>
    </fill>
    <fill>
      <patternFill patternType="solid">
        <fgColor rgb="FFC00000"/>
        <bgColor indexed="64"/>
      </patternFill>
    </fill>
    <fill>
      <patternFill patternType="solid">
        <fgColor rgb="FF7030A0"/>
        <bgColor indexed="64"/>
      </patternFill>
    </fill>
    <fill>
      <patternFill patternType="solid">
        <fgColor theme="5" tint="0.59999389629810485"/>
        <bgColor indexed="64"/>
      </patternFill>
    </fill>
    <fill>
      <patternFill patternType="solid">
        <fgColor rgb="FFE096F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2">
    <xf numFmtId="0" fontId="0" fillId="0" borderId="0" xfId="0"/>
    <xf numFmtId="0" fontId="0" fillId="6" borderId="1" xfId="0" applyFill="1" applyBorder="1"/>
    <xf numFmtId="0" fontId="3" fillId="8" borderId="2" xfId="0" applyFont="1" applyFill="1" applyBorder="1" applyAlignment="1">
      <alignment horizontal="center" vertical="center" wrapText="1"/>
    </xf>
    <xf numFmtId="0" fontId="0" fillId="0" borderId="1" xfId="0" applyBorder="1"/>
    <xf numFmtId="0" fontId="0" fillId="3" borderId="3" xfId="0" applyFill="1" applyBorder="1"/>
    <xf numFmtId="0" fontId="0" fillId="4" borderId="3" xfId="0" applyFill="1" applyBorder="1"/>
    <xf numFmtId="0" fontId="0" fillId="5" borderId="3" xfId="0" applyFill="1" applyBorder="1"/>
    <xf numFmtId="0" fontId="0" fillId="6" borderId="3" xfId="0" applyFill="1" applyBorder="1"/>
    <xf numFmtId="0" fontId="0" fillId="7" borderId="3" xfId="0" applyFill="1" applyBorder="1"/>
    <xf numFmtId="0" fontId="0" fillId="0" borderId="5" xfId="0" applyBorder="1"/>
    <xf numFmtId="0" fontId="0" fillId="0" borderId="6" xfId="0" applyBorder="1"/>
    <xf numFmtId="0" fontId="0" fillId="9" borderId="1" xfId="0" applyFill="1" applyBorder="1"/>
    <xf numFmtId="0" fontId="0" fillId="10" borderId="1" xfId="0" applyFill="1" applyBorder="1"/>
    <xf numFmtId="0" fontId="0" fillId="2" borderId="1" xfId="0" applyFill="1" applyBorder="1"/>
    <xf numFmtId="0" fontId="0" fillId="9" borderId="6" xfId="0" applyFill="1" applyBorder="1"/>
    <xf numFmtId="0" fontId="0" fillId="2" borderId="6" xfId="0" applyFill="1" applyBorder="1"/>
    <xf numFmtId="0" fontId="0" fillId="5" borderId="7" xfId="0" applyFill="1" applyBorder="1"/>
    <xf numFmtId="0" fontId="0" fillId="11" borderId="1" xfId="0" applyFill="1" applyBorder="1"/>
    <xf numFmtId="0" fontId="0" fillId="12" borderId="1" xfId="0" applyFill="1" applyBorder="1"/>
    <xf numFmtId="0" fontId="0" fillId="10" borderId="4" xfId="0" applyFill="1" applyBorder="1"/>
    <xf numFmtId="0" fontId="0" fillId="2" borderId="4" xfId="0" applyFill="1" applyBorder="1"/>
    <xf numFmtId="0" fontId="0" fillId="2" borderId="8" xfId="0" applyFill="1" applyBorder="1"/>
    <xf numFmtId="0" fontId="0" fillId="11" borderId="4" xfId="0" applyFill="1" applyBorder="1"/>
    <xf numFmtId="0" fontId="0" fillId="12" borderId="4" xfId="0" applyFill="1" applyBorder="1"/>
    <xf numFmtId="0" fontId="4"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xf numFmtId="0" fontId="0" fillId="7" borderId="1" xfId="0" applyFill="1" applyBorder="1"/>
    <xf numFmtId="0" fontId="5" fillId="9" borderId="0" xfId="0" applyFont="1" applyFill="1" applyAlignment="1">
      <alignment horizontal="center" vertical="center" wrapText="1"/>
    </xf>
    <xf numFmtId="0" fontId="0" fillId="9" borderId="0" xfId="0" applyFill="1" applyAlignment="1">
      <alignment horizontal="center" vertical="center" wrapText="1"/>
    </xf>
    <xf numFmtId="0" fontId="5" fillId="0" borderId="0" xfId="0" applyFont="1" applyAlignment="1">
      <alignment vertical="center"/>
    </xf>
  </cellXfs>
  <cellStyles count="1">
    <cellStyle name="Normal" xfId="0" builtinId="0"/>
  </cellStyles>
  <dxfs count="4">
    <dxf>
      <fill>
        <patternFill>
          <bgColor theme="1" tint="0.14996795556505021"/>
        </patternFill>
      </fill>
    </dxf>
    <dxf>
      <fill>
        <patternFill>
          <bgColor theme="1"/>
        </patternFill>
      </fill>
    </dxf>
    <dxf>
      <fill>
        <patternFill>
          <bgColor theme="1" tint="0.14996795556505021"/>
        </patternFill>
      </fill>
    </dxf>
    <dxf>
      <font>
        <color rgb="FF9C0006"/>
      </font>
      <fill>
        <patternFill>
          <bgColor rgb="FFFFC7CE"/>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alcChain" Target="calcChain.xml"/><Relationship Id="rId5" Type="http://schemas.openxmlformats.org/officeDocument/2006/relationships/styles" Target="styles.xml"/><Relationship Id="rId10" Type="http://schemas.microsoft.com/office/2017/06/relationships/rdRichValueTypes" Target="richData/rdRichValueTypes.xml"/><Relationship Id="rId4" Type="http://schemas.openxmlformats.org/officeDocument/2006/relationships/theme" Target="theme/theme1.xml"/><Relationship Id="rId9" Type="http://schemas.microsoft.com/office/2017/06/relationships/rdRichValueStructure" Target="richData/rdrichvalue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fb>
    <v>6</v>
    <v>7</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cbdsm.com/video/63086/vendetta-and-claire-adams/" TargetMode="External"/><Relationship Id="rId2" Type="http://schemas.openxmlformats.org/officeDocument/2006/relationships/hyperlink" Target="https://hcbdsm.com/video/83137/19-year-old-s-fierce-introduced-to-the-bitches/" TargetMode="External"/><Relationship Id="rId1" Type="http://schemas.openxmlformats.org/officeDocument/2006/relationships/hyperlink" Target="https://heavyfetish.com/videos/10066/device-bondage-isis-love-missy-minks-audrey-rose/"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dimension ref="A1:S299"/>
  <sheetViews>
    <sheetView tabSelected="1" zoomScale="70" zoomScaleNormal="70" workbookViewId="0">
      <pane ySplit="1" topLeftCell="A206" activePane="bottomLeft" state="frozen"/>
      <selection pane="bottomLeft" activeCell="G208" sqref="G208"/>
    </sheetView>
  </sheetViews>
  <sheetFormatPr defaultRowHeight="15" x14ac:dyDescent="0.25"/>
  <cols>
    <col min="1" max="1" width="12.85546875" style="25" customWidth="1"/>
    <col min="2" max="2" width="46.28515625" style="25" customWidth="1"/>
    <col min="3" max="3" width="14.7109375" style="25" bestFit="1" customWidth="1"/>
    <col min="4" max="4" width="29.5703125" style="25" customWidth="1"/>
    <col min="5" max="5" width="15.7109375" style="25" customWidth="1"/>
    <col min="6" max="6" width="21.5703125" style="25" customWidth="1"/>
    <col min="7" max="7" width="58" style="25" customWidth="1"/>
    <col min="8" max="9" width="21.5703125" style="25" customWidth="1"/>
    <col min="10" max="10" width="10.5703125" style="25" bestFit="1" customWidth="1"/>
    <col min="11" max="11" width="53.5703125" style="25" bestFit="1" customWidth="1"/>
    <col min="12" max="12" width="24.28515625" style="25" bestFit="1" customWidth="1"/>
    <col min="13" max="13" width="18.140625" style="25" bestFit="1" customWidth="1"/>
    <col min="14" max="14" width="18" style="25" bestFit="1" customWidth="1"/>
    <col min="15" max="15" width="18" style="25" customWidth="1"/>
    <col min="16" max="17" width="60.7109375" style="25" customWidth="1"/>
    <col min="18" max="18" width="32.7109375" style="25" customWidth="1"/>
    <col min="19" max="16384" width="9.140625" style="25"/>
  </cols>
  <sheetData>
    <row r="1" spans="1:19" s="24" customFormat="1" ht="30" x14ac:dyDescent="0.25">
      <c r="A1" s="2" t="s">
        <v>269</v>
      </c>
      <c r="B1" s="2" t="s">
        <v>66</v>
      </c>
      <c r="C1" s="2" t="s">
        <v>68</v>
      </c>
      <c r="D1" s="2" t="s">
        <v>69</v>
      </c>
      <c r="E1" s="2" t="s">
        <v>360</v>
      </c>
      <c r="F1" s="2" t="s">
        <v>71</v>
      </c>
      <c r="G1" s="2" t="s">
        <v>361</v>
      </c>
      <c r="H1" s="2" t="s">
        <v>362</v>
      </c>
      <c r="I1" s="2" t="s">
        <v>70</v>
      </c>
      <c r="J1" s="2" t="s">
        <v>75</v>
      </c>
      <c r="K1" s="2" t="s">
        <v>74</v>
      </c>
      <c r="L1" s="2" t="s">
        <v>67</v>
      </c>
      <c r="M1" s="2" t="s">
        <v>820</v>
      </c>
      <c r="N1" s="2" t="s">
        <v>819</v>
      </c>
      <c r="O1" s="2" t="s">
        <v>818</v>
      </c>
      <c r="P1" s="2" t="s">
        <v>821</v>
      </c>
      <c r="Q1" s="2" t="s">
        <v>822</v>
      </c>
      <c r="R1" s="2" t="s">
        <v>835</v>
      </c>
      <c r="S1" s="24" t="s">
        <v>1774</v>
      </c>
    </row>
    <row r="2" spans="1:19" s="24" customFormat="1" ht="45" x14ac:dyDescent="0.25">
      <c r="A2" s="2" t="str">
        <f t="shared" ref="A2:A65" si="0">IF(ISBLANK(I2)=TRUE,"Pending","Done")</f>
        <v>Done</v>
      </c>
      <c r="B2" s="2" t="s">
        <v>825</v>
      </c>
      <c r="C2" s="2">
        <v>58</v>
      </c>
      <c r="D2" s="2" t="s">
        <v>917</v>
      </c>
      <c r="E2" s="2" t="s">
        <v>827</v>
      </c>
      <c r="F2" s="2" t="s">
        <v>79</v>
      </c>
      <c r="G2" s="2" t="s">
        <v>893</v>
      </c>
      <c r="H2" s="2" t="s">
        <v>892</v>
      </c>
      <c r="I2" s="2" t="s">
        <v>73</v>
      </c>
      <c r="J2" s="2">
        <v>10</v>
      </c>
      <c r="K2" s="2" t="s">
        <v>894</v>
      </c>
      <c r="L2" s="2" t="str" cm="1">
        <f t="array" ref="L2">_xlfn.REGEXEXTRACT(B2,"(?&lt;=//)[^/]+")</f>
        <v>bdsmlust.com</v>
      </c>
      <c r="M2" s="2" t="s">
        <v>746</v>
      </c>
      <c r="N2" s="2" t="s">
        <v>826</v>
      </c>
      <c r="O2" s="2" t="str" cm="1">
        <f t="array" ref="O2">IF(N2&lt;&gt;"NotApplicable",_xlfn.REGEXEXTRACT(N2,"\d+(?=p)"),"NotApplicable")</f>
        <v>720</v>
      </c>
      <c r="P2" s="2" t="s">
        <v>829</v>
      </c>
      <c r="Q2" s="2" t="s">
        <v>828</v>
      </c>
      <c r="R2" s="2" t="s">
        <v>1549</v>
      </c>
      <c r="S2" s="24" t="b">
        <f t="shared" ref="S2:S65" si="1">ISNUMBER(SEARCH(",",E2))</f>
        <v>0</v>
      </c>
    </row>
    <row r="3" spans="1:19" s="24" customFormat="1" ht="45" x14ac:dyDescent="0.25">
      <c r="A3" s="2" t="str">
        <f t="shared" si="0"/>
        <v>Done</v>
      </c>
      <c r="B3" s="2" t="s">
        <v>792</v>
      </c>
      <c r="C3" s="2">
        <v>44</v>
      </c>
      <c r="D3" s="2" t="s">
        <v>910</v>
      </c>
      <c r="E3" s="2" t="s">
        <v>193</v>
      </c>
      <c r="F3" s="2" t="s">
        <v>79</v>
      </c>
      <c r="G3" s="2" t="s">
        <v>808</v>
      </c>
      <c r="H3" s="2" t="s">
        <v>788</v>
      </c>
      <c r="I3" s="2" t="s">
        <v>73</v>
      </c>
      <c r="J3" s="2">
        <v>10</v>
      </c>
      <c r="K3" s="2" t="s">
        <v>807</v>
      </c>
      <c r="L3" s="2" t="str" cm="1">
        <f t="array" ref="L3">_xlfn.REGEXEXTRACT(B3,"(?&lt;=//)[^/]+")</f>
        <v>bdsmmansion.com</v>
      </c>
      <c r="M3" s="2" t="s">
        <v>746</v>
      </c>
      <c r="N3" s="2" t="s">
        <v>803</v>
      </c>
      <c r="O3" s="2" t="str" cm="1">
        <f t="array" ref="O3">IF(N3&lt;&gt;"NotApplicable",_xlfn.REGEXEXTRACT(N3,"\d+(?=p)"),"NotApplicable")</f>
        <v>1080</v>
      </c>
      <c r="P3" s="2" t="s">
        <v>832</v>
      </c>
      <c r="Q3" s="2" t="s">
        <v>824</v>
      </c>
      <c r="R3" s="2" t="s">
        <v>1550</v>
      </c>
      <c r="S3" s="24" t="b">
        <f t="shared" si="1"/>
        <v>0</v>
      </c>
    </row>
    <row r="4" spans="1:19" s="24" customFormat="1" ht="60" x14ac:dyDescent="0.25">
      <c r="A4" s="2" t="str">
        <f t="shared" si="0"/>
        <v>Done</v>
      </c>
      <c r="B4" s="2" t="s">
        <v>1546</v>
      </c>
      <c r="C4" s="2">
        <v>48</v>
      </c>
      <c r="D4" s="2" t="s">
        <v>917</v>
      </c>
      <c r="E4" s="2" t="s">
        <v>800</v>
      </c>
      <c r="F4" s="2" t="s">
        <v>79</v>
      </c>
      <c r="G4" s="2" t="s">
        <v>1561</v>
      </c>
      <c r="H4" s="2" t="s">
        <v>1560</v>
      </c>
      <c r="I4" s="2" t="s">
        <v>73</v>
      </c>
      <c r="J4" s="2">
        <v>10</v>
      </c>
      <c r="K4" s="2" t="s">
        <v>1562</v>
      </c>
      <c r="L4" s="2" t="str" cm="1">
        <f t="array" ref="L4">_xlfn.REGEXEXTRACT(B4,"(?&lt;=//)[^/]+")</f>
        <v>bdsmstreak.com</v>
      </c>
      <c r="M4" s="2" t="s">
        <v>746</v>
      </c>
      <c r="N4" s="2" t="s">
        <v>1557</v>
      </c>
      <c r="O4" s="2" t="str" cm="1">
        <f t="array" ref="O4">IF(N4&lt;&gt;"NotApplicable",_xlfn.REGEXEXTRACT(N4,"\d+(?=p)"),"NotApplicable")</f>
        <v>720</v>
      </c>
      <c r="P4" s="2" t="s">
        <v>1558</v>
      </c>
      <c r="Q4" s="2" t="s">
        <v>1559</v>
      </c>
      <c r="R4" s="2" t="s">
        <v>1840</v>
      </c>
      <c r="S4" s="24" t="b">
        <f t="shared" si="1"/>
        <v>0</v>
      </c>
    </row>
    <row r="5" spans="1:19" s="24" customFormat="1" ht="45" x14ac:dyDescent="0.25">
      <c r="A5" s="2" t="str">
        <f t="shared" si="0"/>
        <v>Done</v>
      </c>
      <c r="B5" s="2" t="s">
        <v>139</v>
      </c>
      <c r="C5" s="2">
        <v>87</v>
      </c>
      <c r="D5" s="2" t="s">
        <v>912</v>
      </c>
      <c r="E5" s="2" t="s">
        <v>275</v>
      </c>
      <c r="F5" s="2" t="s">
        <v>79</v>
      </c>
      <c r="G5" s="2" t="s">
        <v>722</v>
      </c>
      <c r="H5" s="2" t="s">
        <v>686</v>
      </c>
      <c r="I5" s="2" t="s">
        <v>73</v>
      </c>
      <c r="J5" s="2">
        <v>10</v>
      </c>
      <c r="K5" s="2" t="s">
        <v>875</v>
      </c>
      <c r="L5" s="2" t="str" cm="1">
        <f t="array" ref="L5">_xlfn.REGEXEXTRACT(B5,"(?&lt;=//)[^/]+")</f>
        <v>heavyfetish.com</v>
      </c>
      <c r="M5" s="2" t="s">
        <v>746</v>
      </c>
      <c r="N5" s="2" t="s">
        <v>802</v>
      </c>
      <c r="O5" s="2" t="str" cm="1">
        <f t="array" ref="O5">IF(N5&lt;&gt;"NotApplicable",_xlfn.REGEXEXTRACT(N5,"\d+(?=p)"),"NotApplicable")</f>
        <v>720</v>
      </c>
      <c r="P5" s="2" t="s">
        <v>830</v>
      </c>
      <c r="Q5" s="2" t="s">
        <v>823</v>
      </c>
      <c r="R5" s="2" t="s">
        <v>1550</v>
      </c>
      <c r="S5" s="24" t="b">
        <f t="shared" si="1"/>
        <v>0</v>
      </c>
    </row>
    <row r="6" spans="1:19" s="24" customFormat="1" ht="45" x14ac:dyDescent="0.25">
      <c r="A6" s="2" t="str">
        <f t="shared" si="0"/>
        <v>Done</v>
      </c>
      <c r="B6" s="2" t="s">
        <v>904</v>
      </c>
      <c r="C6" s="2">
        <v>77</v>
      </c>
      <c r="D6" s="2" t="s">
        <v>910</v>
      </c>
      <c r="E6" s="2" t="s">
        <v>903</v>
      </c>
      <c r="F6" s="2" t="s">
        <v>79</v>
      </c>
      <c r="G6" s="2" t="s">
        <v>908</v>
      </c>
      <c r="H6" s="2" t="s">
        <v>89</v>
      </c>
      <c r="I6" s="2" t="s">
        <v>73</v>
      </c>
      <c r="J6" s="2">
        <v>10</v>
      </c>
      <c r="K6" s="2" t="s">
        <v>909</v>
      </c>
      <c r="L6" s="2" t="str" cm="1">
        <f t="array" ref="L6">_xlfn.REGEXEXTRACT(B6,"(?&lt;=//)[^/]+")</f>
        <v>www.tnaflix.com</v>
      </c>
      <c r="M6" s="2" t="s">
        <v>746</v>
      </c>
      <c r="N6" s="2" t="s">
        <v>906</v>
      </c>
      <c r="O6" s="2" t="str" cm="1">
        <f t="array" ref="O6">IF(N6&lt;&gt;"NotApplicable",_xlfn.REGEXEXTRACT(N6,"\d+(?=p)"),"NotApplicable")</f>
        <v>720</v>
      </c>
      <c r="P6" s="2" t="s">
        <v>905</v>
      </c>
      <c r="Q6" s="2" t="s">
        <v>907</v>
      </c>
      <c r="R6" s="2" t="s">
        <v>1550</v>
      </c>
      <c r="S6" s="24" t="b">
        <f t="shared" si="1"/>
        <v>0</v>
      </c>
    </row>
    <row r="7" spans="1:19" ht="45" x14ac:dyDescent="0.25">
      <c r="A7" s="2" t="str">
        <f t="shared" si="0"/>
        <v>Done</v>
      </c>
      <c r="B7" s="2" t="s">
        <v>895</v>
      </c>
      <c r="C7" s="2">
        <v>72</v>
      </c>
      <c r="D7" s="2" t="s">
        <v>921</v>
      </c>
      <c r="E7" s="2" t="s">
        <v>798</v>
      </c>
      <c r="F7" s="2" t="s">
        <v>80</v>
      </c>
      <c r="G7" s="2" t="s">
        <v>1787</v>
      </c>
      <c r="H7" s="2" t="s">
        <v>899</v>
      </c>
      <c r="I7" s="2" t="s">
        <v>73</v>
      </c>
      <c r="J7" s="2">
        <v>10</v>
      </c>
      <c r="K7" s="2" t="s">
        <v>900</v>
      </c>
      <c r="L7" s="2" t="str" cm="1">
        <f t="array" ref="L7">_xlfn.REGEXEXTRACT(B7,"(?&lt;=//)[^/]+")</f>
        <v>heavyfetish.com</v>
      </c>
      <c r="M7" s="2" t="s">
        <v>746</v>
      </c>
      <c r="N7" s="2" t="s">
        <v>898</v>
      </c>
      <c r="O7" s="2" t="str" cm="1">
        <f t="array" ref="O7">IF(N7&lt;&gt;"NotApplicable",_xlfn.REGEXEXTRACT(N7,"\d+(?=p)"),"NotApplicable")</f>
        <v>720</v>
      </c>
      <c r="P7" s="2" t="s">
        <v>897</v>
      </c>
      <c r="Q7" s="2" t="s">
        <v>896</v>
      </c>
      <c r="R7" s="2" t="s">
        <v>1550</v>
      </c>
      <c r="S7" s="24" t="b">
        <f t="shared" si="1"/>
        <v>1</v>
      </c>
    </row>
    <row r="8" spans="1:19" ht="90" x14ac:dyDescent="0.25">
      <c r="A8" s="2" t="str">
        <f t="shared" si="0"/>
        <v>Done</v>
      </c>
      <c r="B8" s="2" t="s">
        <v>836</v>
      </c>
      <c r="C8" s="2">
        <v>61</v>
      </c>
      <c r="D8" s="2" t="s">
        <v>921</v>
      </c>
      <c r="E8" s="2" t="s">
        <v>834</v>
      </c>
      <c r="F8" s="2" t="s">
        <v>80</v>
      </c>
      <c r="G8" s="2" t="s">
        <v>1794</v>
      </c>
      <c r="H8" s="2" t="s">
        <v>745</v>
      </c>
      <c r="I8" s="2" t="s">
        <v>73</v>
      </c>
      <c r="J8" s="2">
        <v>10</v>
      </c>
      <c r="K8" s="2" t="s">
        <v>744</v>
      </c>
      <c r="L8" s="2" t="str" cm="1">
        <f t="array" ref="L8">_xlfn.REGEXEXTRACT(B8,"(?&lt;=//)[^/]+")</f>
        <v>bdsmlust.com</v>
      </c>
      <c r="M8" s="2" t="s">
        <v>746</v>
      </c>
      <c r="N8" s="2" t="s">
        <v>838</v>
      </c>
      <c r="O8" s="2" t="str" cm="1">
        <f t="array" ref="O8">IF(N8&lt;&gt;"NotApplicable",_xlfn.REGEXEXTRACT(N8,"\d+(?=p)"),"NotApplicable")</f>
        <v>720</v>
      </c>
      <c r="P8" s="2" t="s">
        <v>833</v>
      </c>
      <c r="Q8" s="2" t="s">
        <v>837</v>
      </c>
      <c r="R8" s="2" t="s">
        <v>1551</v>
      </c>
      <c r="S8" s="24" t="b">
        <f t="shared" si="1"/>
        <v>1</v>
      </c>
    </row>
    <row r="9" spans="1:19" ht="45" x14ac:dyDescent="0.25">
      <c r="A9" s="2" t="str">
        <f t="shared" si="0"/>
        <v>Done</v>
      </c>
      <c r="B9" s="2" t="s">
        <v>753</v>
      </c>
      <c r="C9" s="2">
        <v>0</v>
      </c>
      <c r="D9" s="2" t="s">
        <v>910</v>
      </c>
      <c r="E9" s="2" t="s">
        <v>754</v>
      </c>
      <c r="F9" s="2" t="s">
        <v>79</v>
      </c>
      <c r="G9" s="2" t="s">
        <v>757</v>
      </c>
      <c r="H9" s="2" t="s">
        <v>758</v>
      </c>
      <c r="I9" s="2" t="s">
        <v>73</v>
      </c>
      <c r="J9" s="2">
        <v>9</v>
      </c>
      <c r="K9" s="2" t="s">
        <v>759</v>
      </c>
      <c r="L9" s="2" t="str" cm="1">
        <f t="array" ref="L9">_xlfn.REGEXEXTRACT(B9,"(?&lt;=//)[^/]+")</f>
        <v>www.hqbdsm.com</v>
      </c>
      <c r="M9" s="2" t="s">
        <v>747</v>
      </c>
      <c r="N9" s="2" t="s">
        <v>1840</v>
      </c>
      <c r="O9" s="2" t="str" cm="1">
        <f t="array" ref="O9">IF(N9&lt;&gt;"NotApplicable",_xlfn.REGEXEXTRACT(N9,"\d+(?=p)"),"NotApplicable")</f>
        <v>NotApplicable</v>
      </c>
      <c r="P9" s="2" t="s">
        <v>1840</v>
      </c>
      <c r="Q9" s="2" t="s">
        <v>1840</v>
      </c>
      <c r="R9" s="2" t="s">
        <v>1840</v>
      </c>
      <c r="S9" s="24" t="b">
        <f t="shared" si="1"/>
        <v>0</v>
      </c>
    </row>
    <row r="10" spans="1:19" ht="90" x14ac:dyDescent="0.25">
      <c r="A10" s="2" t="str">
        <f t="shared" si="0"/>
        <v>Done</v>
      </c>
      <c r="B10" s="2" t="s">
        <v>1566</v>
      </c>
      <c r="C10" s="2">
        <v>60</v>
      </c>
      <c r="D10" s="2" t="s">
        <v>916</v>
      </c>
      <c r="E10" s="2" t="s">
        <v>841</v>
      </c>
      <c r="F10" s="2" t="s">
        <v>80</v>
      </c>
      <c r="G10" s="2" t="s">
        <v>1786</v>
      </c>
      <c r="H10" s="2" t="s">
        <v>1567</v>
      </c>
      <c r="I10" s="2" t="s">
        <v>73</v>
      </c>
      <c r="J10" s="2">
        <v>9</v>
      </c>
      <c r="K10" s="2" t="s">
        <v>1565</v>
      </c>
      <c r="L10" s="2" t="str" cm="1">
        <f t="array" ref="L10">_xlfn.REGEXEXTRACT(B10,"(?&lt;=//)[^/]+")</f>
        <v>bdsmmansion.com</v>
      </c>
      <c r="M10" s="2" t="s">
        <v>747</v>
      </c>
      <c r="N10" s="2" t="s">
        <v>1840</v>
      </c>
      <c r="O10" s="2" t="str" cm="1">
        <f t="array" ref="O10">IF(N10&lt;&gt;"NotApplicable",_xlfn.REGEXEXTRACT(N10,"\d+(?=p)"),"NotApplicable")</f>
        <v>NotApplicable</v>
      </c>
      <c r="P10" s="2" t="s">
        <v>1840</v>
      </c>
      <c r="Q10" s="2" t="s">
        <v>1840</v>
      </c>
      <c r="R10" s="2" t="s">
        <v>1840</v>
      </c>
      <c r="S10" s="24" t="b">
        <f t="shared" si="1"/>
        <v>1</v>
      </c>
    </row>
    <row r="11" spans="1:19" ht="60" x14ac:dyDescent="0.25">
      <c r="A11" s="2" t="str">
        <f t="shared" si="0"/>
        <v>Done</v>
      </c>
      <c r="B11" s="2" t="s">
        <v>901</v>
      </c>
      <c r="C11" s="2">
        <v>74</v>
      </c>
      <c r="D11" s="2" t="s">
        <v>921</v>
      </c>
      <c r="E11" s="2" t="s">
        <v>1750</v>
      </c>
      <c r="F11" s="2" t="s">
        <v>80</v>
      </c>
      <c r="G11" s="2" t="s">
        <v>1804</v>
      </c>
      <c r="H11" s="2" t="s">
        <v>1573</v>
      </c>
      <c r="I11" s="2" t="s">
        <v>73</v>
      </c>
      <c r="J11" s="2">
        <v>9</v>
      </c>
      <c r="K11" s="2" t="s">
        <v>902</v>
      </c>
      <c r="L11" s="2" t="str" cm="1">
        <f t="array" ref="L11">_xlfn.REGEXEXTRACT(B11,"(?&lt;=//)[^/]+")</f>
        <v>heavyfetish.com</v>
      </c>
      <c r="M11" s="2" t="s">
        <v>747</v>
      </c>
      <c r="N11" s="2" t="s">
        <v>1840</v>
      </c>
      <c r="O11" s="2" t="str" cm="1">
        <f t="array" ref="O11">IF(N11&lt;&gt;"NotApplicable",_xlfn.REGEXEXTRACT(N11,"\d+(?=p)"),"NotApplicable")</f>
        <v>NotApplicable</v>
      </c>
      <c r="P11" s="2" t="s">
        <v>1840</v>
      </c>
      <c r="Q11" s="2" t="s">
        <v>1840</v>
      </c>
      <c r="R11" s="2" t="s">
        <v>1840</v>
      </c>
      <c r="S11" s="24" t="b">
        <f t="shared" si="1"/>
        <v>1</v>
      </c>
    </row>
    <row r="12" spans="1:19" ht="45" x14ac:dyDescent="0.25">
      <c r="A12" s="2" t="str">
        <f t="shared" si="0"/>
        <v>Done</v>
      </c>
      <c r="B12" s="2" t="s">
        <v>133</v>
      </c>
      <c r="C12" s="2">
        <v>0</v>
      </c>
      <c r="D12" s="2" t="s">
        <v>1837</v>
      </c>
      <c r="E12" s="2" t="s">
        <v>134</v>
      </c>
      <c r="F12" s="2" t="s">
        <v>135</v>
      </c>
      <c r="G12" s="2" t="s">
        <v>389</v>
      </c>
      <c r="H12" s="2" t="s">
        <v>647</v>
      </c>
      <c r="I12" s="2" t="s">
        <v>73</v>
      </c>
      <c r="J12" s="2">
        <v>9</v>
      </c>
      <c r="K12" s="2" t="s">
        <v>136</v>
      </c>
      <c r="L12" s="2" t="str" cm="1">
        <f t="array" ref="L12">_xlfn.REGEXEXTRACT(B12,"(?&lt;=//)[^/]+")</f>
        <v>spankbang.com</v>
      </c>
      <c r="M12" s="2" t="s">
        <v>747</v>
      </c>
      <c r="N12" s="2" t="s">
        <v>1840</v>
      </c>
      <c r="O12" s="2" t="str" cm="1">
        <f t="array" ref="O12">IF(N12&lt;&gt;"NotApplicable",_xlfn.REGEXEXTRACT(N12,"\d+(?=p)"),"NotApplicable")</f>
        <v>NotApplicable</v>
      </c>
      <c r="P12" s="2" t="s">
        <v>1840</v>
      </c>
      <c r="Q12" s="2" t="s">
        <v>1840</v>
      </c>
      <c r="R12" s="2" t="s">
        <v>1840</v>
      </c>
      <c r="S12" s="24" t="b">
        <f t="shared" si="1"/>
        <v>0</v>
      </c>
    </row>
    <row r="13" spans="1:19" ht="45" x14ac:dyDescent="0.25">
      <c r="A13" s="2" t="str">
        <f t="shared" si="0"/>
        <v>Done</v>
      </c>
      <c r="B13" s="2" t="s">
        <v>813</v>
      </c>
      <c r="C13" s="2">
        <v>0</v>
      </c>
      <c r="D13" s="2" t="s">
        <v>1837</v>
      </c>
      <c r="E13" s="2" t="s">
        <v>1839</v>
      </c>
      <c r="F13" s="2" t="s">
        <v>79</v>
      </c>
      <c r="G13" s="2" t="s">
        <v>814</v>
      </c>
      <c r="H13" s="2" t="s">
        <v>815</v>
      </c>
      <c r="I13" s="2" t="s">
        <v>73</v>
      </c>
      <c r="J13" s="2">
        <v>9</v>
      </c>
      <c r="K13" s="2" t="s">
        <v>816</v>
      </c>
      <c r="L13" s="2" t="str" cm="1">
        <f t="array" ref="L13">_xlfn.REGEXEXTRACT(B13,"(?&lt;=//)[^/]+")</f>
        <v>bdsmlust.com</v>
      </c>
      <c r="M13" s="2" t="s">
        <v>747</v>
      </c>
      <c r="N13" s="2" t="s">
        <v>1840</v>
      </c>
      <c r="O13" s="2" t="str" cm="1">
        <f t="array" ref="O13">IF(N13&lt;&gt;"NotApplicable",_xlfn.REGEXEXTRACT(N13,"\d+(?=p)"),"NotApplicable")</f>
        <v>NotApplicable</v>
      </c>
      <c r="P13" s="2" t="s">
        <v>1840</v>
      </c>
      <c r="Q13" s="2" t="s">
        <v>1840</v>
      </c>
      <c r="R13" s="2" t="s">
        <v>1840</v>
      </c>
      <c r="S13" s="24" t="b">
        <f t="shared" si="1"/>
        <v>0</v>
      </c>
    </row>
    <row r="14" spans="1:19" ht="45" x14ac:dyDescent="0.25">
      <c r="A14" s="2" t="str">
        <f t="shared" si="0"/>
        <v>Done</v>
      </c>
      <c r="B14" s="2" t="s">
        <v>731</v>
      </c>
      <c r="C14" s="2">
        <v>48</v>
      </c>
      <c r="D14" s="2" t="s">
        <v>910</v>
      </c>
      <c r="E14" s="2" t="s">
        <v>733</v>
      </c>
      <c r="F14" s="2" t="s">
        <v>91</v>
      </c>
      <c r="G14" s="2" t="s">
        <v>739</v>
      </c>
      <c r="H14" s="2" t="s">
        <v>738</v>
      </c>
      <c r="I14" s="2" t="s">
        <v>73</v>
      </c>
      <c r="J14" s="2">
        <v>8</v>
      </c>
      <c r="K14" s="2" t="s">
        <v>740</v>
      </c>
      <c r="L14" s="2" t="str" cm="1">
        <f t="array" ref="L14">_xlfn.REGEXEXTRACT(B14,"(?&lt;=//)[^/]+")</f>
        <v>abxxx.com</v>
      </c>
      <c r="M14" s="2" t="s">
        <v>747</v>
      </c>
      <c r="N14" s="2" t="s">
        <v>1840</v>
      </c>
      <c r="O14" s="2" t="str" cm="1">
        <f t="array" ref="O14">IF(N14&lt;&gt;"NotApplicable",_xlfn.REGEXEXTRACT(N14,"\d+(?=p)"),"NotApplicable")</f>
        <v>NotApplicable</v>
      </c>
      <c r="P14" s="2" t="s">
        <v>1840</v>
      </c>
      <c r="Q14" s="2" t="s">
        <v>1840</v>
      </c>
      <c r="R14" s="2" t="s">
        <v>1840</v>
      </c>
      <c r="S14" s="24" t="b">
        <f t="shared" si="1"/>
        <v>0</v>
      </c>
    </row>
    <row r="15" spans="1:19" ht="45" x14ac:dyDescent="0.25">
      <c r="A15" s="2" t="str">
        <f t="shared" si="0"/>
        <v>Done</v>
      </c>
      <c r="B15" s="2" t="s">
        <v>356</v>
      </c>
      <c r="C15" s="2">
        <v>53</v>
      </c>
      <c r="D15" s="2" t="s">
        <v>913</v>
      </c>
      <c r="E15" s="2" t="s">
        <v>357</v>
      </c>
      <c r="F15" s="2" t="s">
        <v>79</v>
      </c>
      <c r="G15" s="2" t="s">
        <v>525</v>
      </c>
      <c r="H15" s="2" t="s">
        <v>695</v>
      </c>
      <c r="I15" s="2" t="s">
        <v>73</v>
      </c>
      <c r="J15" s="2">
        <v>8</v>
      </c>
      <c r="K15" s="2" t="s">
        <v>556</v>
      </c>
      <c r="L15" s="2" t="str" cm="1">
        <f t="array" ref="L15">_xlfn.REGEXEXTRACT(B15,"(?&lt;=//)[^/]+")</f>
        <v>abxxx.com</v>
      </c>
      <c r="M15" s="2" t="s">
        <v>747</v>
      </c>
      <c r="N15" s="2" t="s">
        <v>1840</v>
      </c>
      <c r="O15" s="2" t="str" cm="1">
        <f t="array" ref="O15">IF(N15&lt;&gt;"NotApplicable",_xlfn.REGEXEXTRACT(N15,"\d+(?=p)"),"NotApplicable")</f>
        <v>NotApplicable</v>
      </c>
      <c r="P15" s="2" t="s">
        <v>1840</v>
      </c>
      <c r="Q15" s="2" t="s">
        <v>1840</v>
      </c>
      <c r="R15" s="2" t="s">
        <v>1840</v>
      </c>
      <c r="S15" s="24" t="b">
        <f t="shared" si="1"/>
        <v>0</v>
      </c>
    </row>
    <row r="16" spans="1:19" ht="45" x14ac:dyDescent="0.25">
      <c r="A16" s="2" t="str">
        <f t="shared" si="0"/>
        <v>Done</v>
      </c>
      <c r="B16" s="2" t="s">
        <v>857</v>
      </c>
      <c r="C16" s="2">
        <v>46</v>
      </c>
      <c r="D16" s="2" t="s">
        <v>921</v>
      </c>
      <c r="E16" s="2" t="s">
        <v>800</v>
      </c>
      <c r="F16" s="2" t="s">
        <v>80</v>
      </c>
      <c r="G16" s="2" t="s">
        <v>866</v>
      </c>
      <c r="H16" s="2" t="s">
        <v>858</v>
      </c>
      <c r="I16" s="2" t="s">
        <v>73</v>
      </c>
      <c r="J16" s="2">
        <v>8</v>
      </c>
      <c r="K16" s="2" t="s">
        <v>859</v>
      </c>
      <c r="L16" s="2" t="str" cm="1">
        <f t="array" ref="L16">_xlfn.REGEXEXTRACT(B16,"(?&lt;=//)[^/]+")</f>
        <v>bdsmstreak.com</v>
      </c>
      <c r="M16" s="2" t="s">
        <v>747</v>
      </c>
      <c r="N16" s="2" t="s">
        <v>1840</v>
      </c>
      <c r="O16" s="2" t="str" cm="1">
        <f t="array" ref="O16">IF(N16&lt;&gt;"NotApplicable",_xlfn.REGEXEXTRACT(N16,"\d+(?=p)"),"NotApplicable")</f>
        <v>NotApplicable</v>
      </c>
      <c r="P16" s="2" t="s">
        <v>1840</v>
      </c>
      <c r="Q16" s="2" t="s">
        <v>1840</v>
      </c>
      <c r="R16" s="2" t="s">
        <v>1840</v>
      </c>
      <c r="S16" s="24" t="b">
        <f t="shared" si="1"/>
        <v>0</v>
      </c>
    </row>
    <row r="17" spans="1:19" ht="45" x14ac:dyDescent="0.25">
      <c r="A17" s="2" t="str">
        <f t="shared" si="0"/>
        <v>Done</v>
      </c>
      <c r="B17" s="2" t="s">
        <v>789</v>
      </c>
      <c r="C17" s="2">
        <v>55</v>
      </c>
      <c r="D17" s="2" t="s">
        <v>919</v>
      </c>
      <c r="E17" s="2" t="s">
        <v>790</v>
      </c>
      <c r="F17" s="2" t="s">
        <v>79</v>
      </c>
      <c r="G17" s="2" t="s">
        <v>889</v>
      </c>
      <c r="H17" s="2" t="s">
        <v>887</v>
      </c>
      <c r="I17" s="2" t="s">
        <v>73</v>
      </c>
      <c r="J17" s="2">
        <v>8</v>
      </c>
      <c r="K17" s="2" t="s">
        <v>888</v>
      </c>
      <c r="L17" s="2" t="str" cm="1">
        <f t="array" ref="L17">_xlfn.REGEXEXTRACT(B17,"(?&lt;=//)[^/]+")</f>
        <v>heavyfetish.com</v>
      </c>
      <c r="M17" s="2" t="s">
        <v>747</v>
      </c>
      <c r="N17" s="2" t="s">
        <v>1840</v>
      </c>
      <c r="O17" s="2" t="str" cm="1">
        <f t="array" ref="O17">IF(N17&lt;&gt;"NotApplicable",_xlfn.REGEXEXTRACT(N17,"\d+(?=p)"),"NotApplicable")</f>
        <v>NotApplicable</v>
      </c>
      <c r="P17" s="2" t="s">
        <v>1840</v>
      </c>
      <c r="Q17" s="2" t="s">
        <v>1840</v>
      </c>
      <c r="R17" s="2" t="s">
        <v>1840</v>
      </c>
      <c r="S17" s="24" t="b">
        <f t="shared" si="1"/>
        <v>0</v>
      </c>
    </row>
    <row r="18" spans="1:19" ht="45" x14ac:dyDescent="0.25">
      <c r="A18" s="2" t="str">
        <f t="shared" si="0"/>
        <v>Done</v>
      </c>
      <c r="B18" s="2" t="s">
        <v>1575</v>
      </c>
      <c r="C18" s="2">
        <v>31</v>
      </c>
      <c r="D18" s="2" t="s">
        <v>1576</v>
      </c>
      <c r="E18" s="2" t="s">
        <v>1577</v>
      </c>
      <c r="F18" s="2" t="s">
        <v>189</v>
      </c>
      <c r="G18" s="2" t="s">
        <v>1578</v>
      </c>
      <c r="H18" s="2" t="s">
        <v>89</v>
      </c>
      <c r="I18" s="2" t="s">
        <v>73</v>
      </c>
      <c r="J18" s="2">
        <v>8</v>
      </c>
      <c r="K18" s="2" t="s">
        <v>1579</v>
      </c>
      <c r="L18" s="2" t="str" cm="1">
        <f t="array" ref="L18">_xlfn.REGEXEXTRACT(B18,"(?&lt;=//)[^/]+")</f>
        <v>m.hqporner.com</v>
      </c>
      <c r="M18" s="2" t="s">
        <v>746</v>
      </c>
      <c r="N18" s="2" t="s">
        <v>1580</v>
      </c>
      <c r="O18" s="2" t="str" cm="1">
        <f t="array" ref="O18">IF(N18&lt;&gt;"NotApplicable",_xlfn.REGEXEXTRACT(N18,"\d+(?=p)"),"NotApplicable")</f>
        <v>720</v>
      </c>
      <c r="P18" s="2" t="s">
        <v>1581</v>
      </c>
      <c r="Q18" s="2" t="s">
        <v>1582</v>
      </c>
      <c r="R18" s="2" t="s">
        <v>1840</v>
      </c>
      <c r="S18" s="24" t="b">
        <f t="shared" si="1"/>
        <v>0</v>
      </c>
    </row>
    <row r="19" spans="1:19" ht="45" x14ac:dyDescent="0.25">
      <c r="A19" s="2" t="str">
        <f t="shared" si="0"/>
        <v>Done</v>
      </c>
      <c r="B19" s="2" t="s">
        <v>1586</v>
      </c>
      <c r="C19" s="2">
        <v>9</v>
      </c>
      <c r="D19" s="2" t="s">
        <v>169</v>
      </c>
      <c r="E19" s="2" t="s">
        <v>1583</v>
      </c>
      <c r="F19" s="2" t="s">
        <v>79</v>
      </c>
      <c r="G19" s="2" t="s">
        <v>1595</v>
      </c>
      <c r="H19" s="2" t="s">
        <v>1597</v>
      </c>
      <c r="I19" s="2" t="s">
        <v>73</v>
      </c>
      <c r="J19" s="2">
        <v>8</v>
      </c>
      <c r="K19" s="2" t="s">
        <v>1596</v>
      </c>
      <c r="L19" s="2" t="str" cm="1">
        <f t="array" ref="L19">_xlfn.REGEXEXTRACT(B19,"(?&lt;=//)[^/]+")</f>
        <v>www.porntrex.com</v>
      </c>
      <c r="M19" s="2" t="s">
        <v>746</v>
      </c>
      <c r="N19" s="2" t="s">
        <v>1584</v>
      </c>
      <c r="O19" s="2" t="str" cm="1">
        <f t="array" ref="O19">IF(N19&lt;&gt;"NotApplicable",_xlfn.REGEXEXTRACT(N19,"\d+(?=p)"),"NotApplicable")</f>
        <v>1080</v>
      </c>
      <c r="P19" s="2" t="s">
        <v>1585</v>
      </c>
      <c r="Q19" s="2" t="s">
        <v>1591</v>
      </c>
      <c r="R19" s="2" t="s">
        <v>1590</v>
      </c>
      <c r="S19" s="24" t="b">
        <f t="shared" si="1"/>
        <v>0</v>
      </c>
    </row>
    <row r="20" spans="1:19" ht="30" x14ac:dyDescent="0.25">
      <c r="A20" s="2" t="str">
        <f t="shared" si="0"/>
        <v>Done</v>
      </c>
      <c r="B20" s="2" t="s">
        <v>64</v>
      </c>
      <c r="C20" s="2">
        <v>0</v>
      </c>
      <c r="D20" s="2" t="s">
        <v>910</v>
      </c>
      <c r="E20" s="2" t="s">
        <v>1839</v>
      </c>
      <c r="F20" s="2" t="s">
        <v>79</v>
      </c>
      <c r="G20" s="2" t="s">
        <v>551</v>
      </c>
      <c r="H20" s="2" t="s">
        <v>405</v>
      </c>
      <c r="I20" s="2" t="s">
        <v>73</v>
      </c>
      <c r="J20" s="2">
        <v>8</v>
      </c>
      <c r="K20" s="2" t="s">
        <v>264</v>
      </c>
      <c r="L20" s="2" t="str" cm="1">
        <f t="array" ref="L20">_xlfn.REGEXEXTRACT(B20,"(?&lt;=//)[^/]+")</f>
        <v>tube.perverzija.com</v>
      </c>
      <c r="M20" s="2" t="s">
        <v>747</v>
      </c>
      <c r="N20" s="2" t="s">
        <v>1840</v>
      </c>
      <c r="O20" s="2" t="str" cm="1">
        <f t="array" ref="O20">IF(N20&lt;&gt;"NotApplicable",_xlfn.REGEXEXTRACT(N20,"\d+(?=p)"),"NotApplicable")</f>
        <v>NotApplicable</v>
      </c>
      <c r="P20" s="2" t="s">
        <v>1840</v>
      </c>
      <c r="Q20" s="2" t="s">
        <v>1840</v>
      </c>
      <c r="R20" s="2" t="s">
        <v>1840</v>
      </c>
      <c r="S20" s="24" t="b">
        <f t="shared" si="1"/>
        <v>0</v>
      </c>
    </row>
    <row r="21" spans="1:19" ht="45" x14ac:dyDescent="0.25">
      <c r="A21" s="2" t="str">
        <f t="shared" si="0"/>
        <v>Done</v>
      </c>
      <c r="B21" s="2" t="s">
        <v>347</v>
      </c>
      <c r="C21" s="2">
        <v>11</v>
      </c>
      <c r="D21" s="2" t="s">
        <v>919</v>
      </c>
      <c r="E21" s="2" t="s">
        <v>1838</v>
      </c>
      <c r="F21" s="2" t="s">
        <v>80</v>
      </c>
      <c r="G21" s="2" t="s">
        <v>512</v>
      </c>
      <c r="H21" s="2" t="s">
        <v>684</v>
      </c>
      <c r="I21" s="2" t="s">
        <v>73</v>
      </c>
      <c r="J21" s="2">
        <v>8</v>
      </c>
      <c r="K21" s="2" t="s">
        <v>518</v>
      </c>
      <c r="L21" s="2" t="str" cm="1">
        <f t="array" ref="L21">_xlfn.REGEXEXTRACT(B21,"(?&lt;=//)[^/]+")</f>
        <v>xhamster44.desi</v>
      </c>
      <c r="M21" s="2" t="s">
        <v>747</v>
      </c>
      <c r="N21" s="2" t="s">
        <v>1840</v>
      </c>
      <c r="O21" s="2" t="str" cm="1">
        <f t="array" ref="O21">IF(N21&lt;&gt;"NotApplicable",_xlfn.REGEXEXTRACT(N21,"\d+(?=p)"),"NotApplicable")</f>
        <v>NotApplicable</v>
      </c>
      <c r="P21" s="2" t="s">
        <v>1840</v>
      </c>
      <c r="Q21" s="2" t="s">
        <v>1840</v>
      </c>
      <c r="R21" s="2" t="s">
        <v>1840</v>
      </c>
      <c r="S21" s="24" t="b">
        <f t="shared" si="1"/>
        <v>0</v>
      </c>
    </row>
    <row r="22" spans="1:19" ht="45" x14ac:dyDescent="0.25">
      <c r="A22" s="2" t="str">
        <f t="shared" si="0"/>
        <v>Done</v>
      </c>
      <c r="B22" s="2" t="s">
        <v>297</v>
      </c>
      <c r="C22" s="2">
        <v>0</v>
      </c>
      <c r="D22" s="2" t="s">
        <v>1837</v>
      </c>
      <c r="E22" s="2" t="s">
        <v>1839</v>
      </c>
      <c r="F22" s="2" t="s">
        <v>91</v>
      </c>
      <c r="G22" s="2" t="s">
        <v>500</v>
      </c>
      <c r="H22" s="2" t="s">
        <v>406</v>
      </c>
      <c r="I22" s="2" t="s">
        <v>73</v>
      </c>
      <c r="J22" s="2">
        <v>8</v>
      </c>
      <c r="K22" s="2" t="s">
        <v>316</v>
      </c>
      <c r="L22" s="2" t="str" cm="1">
        <f t="array" ref="L22">_xlfn.REGEXEXTRACT(B22,"(?&lt;=//)[^/]+")</f>
        <v>www.fuq.com</v>
      </c>
      <c r="M22" s="2" t="s">
        <v>747</v>
      </c>
      <c r="N22" s="2" t="s">
        <v>1840</v>
      </c>
      <c r="O22" s="2" t="str" cm="1">
        <f t="array" ref="O22">IF(N22&lt;&gt;"NotApplicable",_xlfn.REGEXEXTRACT(N22,"\d+(?=p)"),"NotApplicable")</f>
        <v>NotApplicable</v>
      </c>
      <c r="P22" s="2" t="s">
        <v>1840</v>
      </c>
      <c r="Q22" s="2" t="s">
        <v>1840</v>
      </c>
      <c r="R22" s="2" t="s">
        <v>1840</v>
      </c>
      <c r="S22" s="24" t="b">
        <f t="shared" si="1"/>
        <v>0</v>
      </c>
    </row>
    <row r="23" spans="1:19" ht="30" x14ac:dyDescent="0.25">
      <c r="A23" s="2" t="str">
        <f t="shared" si="0"/>
        <v>Done</v>
      </c>
      <c r="B23" s="2" t="s">
        <v>349</v>
      </c>
      <c r="C23" s="2">
        <v>0</v>
      </c>
      <c r="D23" s="2" t="s">
        <v>1837</v>
      </c>
      <c r="E23" s="2" t="s">
        <v>1839</v>
      </c>
      <c r="F23" s="2" t="s">
        <v>79</v>
      </c>
      <c r="G23" s="2" t="s">
        <v>387</v>
      </c>
      <c r="H23" s="2" t="s">
        <v>407</v>
      </c>
      <c r="I23" s="2" t="s">
        <v>73</v>
      </c>
      <c r="J23" s="2">
        <v>8</v>
      </c>
      <c r="K23" s="2" t="s">
        <v>358</v>
      </c>
      <c r="L23" s="2" t="str" cm="1">
        <f t="array" ref="L23">_xlfn.REGEXEXTRACT(B23,"(?&lt;=//)[^/]+")</f>
        <v>www.tubebdsm.com</v>
      </c>
      <c r="M23" s="2" t="s">
        <v>747</v>
      </c>
      <c r="N23" s="2" t="s">
        <v>1840</v>
      </c>
      <c r="O23" s="2" t="str" cm="1">
        <f t="array" ref="O23">IF(N23&lt;&gt;"NotApplicable",_xlfn.REGEXEXTRACT(N23,"\d+(?=p)"),"NotApplicable")</f>
        <v>NotApplicable</v>
      </c>
      <c r="P23" s="2" t="s">
        <v>1840</v>
      </c>
      <c r="Q23" s="2" t="s">
        <v>1840</v>
      </c>
      <c r="R23" s="2" t="s">
        <v>1840</v>
      </c>
      <c r="S23" s="24" t="b">
        <f t="shared" si="1"/>
        <v>0</v>
      </c>
    </row>
    <row r="24" spans="1:19" ht="30" x14ac:dyDescent="0.25">
      <c r="A24" s="2" t="str">
        <f t="shared" si="0"/>
        <v>Done</v>
      </c>
      <c r="B24" s="2" t="s">
        <v>351</v>
      </c>
      <c r="C24" s="2">
        <v>0</v>
      </c>
      <c r="D24" s="2" t="s">
        <v>1837</v>
      </c>
      <c r="E24" s="2" t="s">
        <v>1839</v>
      </c>
      <c r="F24" s="2" t="s">
        <v>91</v>
      </c>
      <c r="G24" s="2" t="s">
        <v>1831</v>
      </c>
      <c r="H24" s="2" t="s">
        <v>681</v>
      </c>
      <c r="I24" s="2" t="s">
        <v>73</v>
      </c>
      <c r="J24" s="2">
        <v>8</v>
      </c>
      <c r="K24" s="2" t="s">
        <v>462</v>
      </c>
      <c r="L24" s="2" t="str" cm="1">
        <f t="array" ref="L24">_xlfn.REGEXEXTRACT(B24,"(?&lt;=//)[^/]+")</f>
        <v>www.tubebdsm.com</v>
      </c>
      <c r="M24" s="2" t="s">
        <v>747</v>
      </c>
      <c r="N24" s="2" t="s">
        <v>1840</v>
      </c>
      <c r="O24" s="2" t="str" cm="1">
        <f t="array" ref="O24">IF(N24&lt;&gt;"NotApplicable",_xlfn.REGEXEXTRACT(N24,"\d+(?=p)"),"NotApplicable")</f>
        <v>NotApplicable</v>
      </c>
      <c r="P24" s="2" t="s">
        <v>1840</v>
      </c>
      <c r="Q24" s="2" t="s">
        <v>1840</v>
      </c>
      <c r="R24" s="2" t="s">
        <v>1840</v>
      </c>
      <c r="S24" s="24" t="b">
        <f t="shared" si="1"/>
        <v>0</v>
      </c>
    </row>
    <row r="25" spans="1:19" ht="45" x14ac:dyDescent="0.25">
      <c r="A25" s="2" t="str">
        <f t="shared" si="0"/>
        <v>Done</v>
      </c>
      <c r="B25" s="2" t="s">
        <v>488</v>
      </c>
      <c r="C25" s="2">
        <v>51</v>
      </c>
      <c r="D25" s="2" t="s">
        <v>915</v>
      </c>
      <c r="E25" s="2" t="s">
        <v>494</v>
      </c>
      <c r="F25" s="2" t="s">
        <v>80</v>
      </c>
      <c r="G25" s="2" t="s">
        <v>1779</v>
      </c>
      <c r="H25" s="2" t="s">
        <v>725</v>
      </c>
      <c r="I25" s="2" t="s">
        <v>73</v>
      </c>
      <c r="J25" s="2">
        <v>7</v>
      </c>
      <c r="K25" s="2" t="s">
        <v>726</v>
      </c>
      <c r="L25" s="2" t="str" cm="1">
        <f t="array" ref="L25">_xlfn.REGEXEXTRACT(B25,"(?&lt;=//)[^/]+")</f>
        <v>bdsmmansion.com</v>
      </c>
      <c r="M25" s="2" t="s">
        <v>747</v>
      </c>
      <c r="N25" s="2" t="s">
        <v>1840</v>
      </c>
      <c r="O25" s="2" t="str" cm="1">
        <f t="array" ref="O25">IF(N25&lt;&gt;"NotApplicable",_xlfn.REGEXEXTRACT(N25,"\d+(?=p)"),"NotApplicable")</f>
        <v>NotApplicable</v>
      </c>
      <c r="P25" s="2" t="s">
        <v>1840</v>
      </c>
      <c r="Q25" s="2" t="s">
        <v>1840</v>
      </c>
      <c r="R25" s="2" t="s">
        <v>1840</v>
      </c>
      <c r="S25" s="24" t="b">
        <f t="shared" si="1"/>
        <v>1</v>
      </c>
    </row>
    <row r="26" spans="1:19" ht="45" x14ac:dyDescent="0.25">
      <c r="A26" s="2" t="str">
        <f t="shared" si="0"/>
        <v>Done</v>
      </c>
      <c r="B26" s="2" t="s">
        <v>831</v>
      </c>
      <c r="C26" s="2">
        <v>57</v>
      </c>
      <c r="D26" s="2" t="s">
        <v>910</v>
      </c>
      <c r="E26" s="2" t="s">
        <v>321</v>
      </c>
      <c r="F26" s="2" t="s">
        <v>91</v>
      </c>
      <c r="G26" s="2" t="s">
        <v>539</v>
      </c>
      <c r="H26" s="2" t="s">
        <v>404</v>
      </c>
      <c r="I26" s="2" t="s">
        <v>73</v>
      </c>
      <c r="J26" s="2">
        <v>7</v>
      </c>
      <c r="K26" s="2" t="s">
        <v>563</v>
      </c>
      <c r="L26" s="2" t="str" cm="1">
        <f t="array" ref="L26">_xlfn.REGEXEXTRACT(B26,"(?&lt;=//)[^/]+")</f>
        <v>bdsmmansion.com</v>
      </c>
      <c r="M26" s="2" t="s">
        <v>747</v>
      </c>
      <c r="N26" s="2" t="s">
        <v>1840</v>
      </c>
      <c r="O26" s="2" t="str" cm="1">
        <f t="array" ref="O26">IF(N26&lt;&gt;"NotApplicable",_xlfn.REGEXEXTRACT(N26,"\d+(?=p)"),"NotApplicable")</f>
        <v>NotApplicable</v>
      </c>
      <c r="P26" s="2" t="s">
        <v>1840</v>
      </c>
      <c r="Q26" s="2" t="s">
        <v>1840</v>
      </c>
      <c r="R26" s="2" t="s">
        <v>1840</v>
      </c>
      <c r="S26" s="24" t="b">
        <f t="shared" si="1"/>
        <v>0</v>
      </c>
    </row>
    <row r="27" spans="1:19" ht="45" x14ac:dyDescent="0.25">
      <c r="A27" s="2" t="str">
        <f t="shared" si="0"/>
        <v>Done</v>
      </c>
      <c r="B27" s="2" t="s">
        <v>39</v>
      </c>
      <c r="C27" s="2">
        <v>53</v>
      </c>
      <c r="D27" s="2" t="s">
        <v>921</v>
      </c>
      <c r="E27" s="2" t="s">
        <v>214</v>
      </c>
      <c r="F27" s="2" t="s">
        <v>79</v>
      </c>
      <c r="G27" s="2" t="s">
        <v>743</v>
      </c>
      <c r="H27" s="2" t="s">
        <v>764</v>
      </c>
      <c r="I27" s="2" t="s">
        <v>73</v>
      </c>
      <c r="J27" s="2">
        <v>7</v>
      </c>
      <c r="K27" s="2" t="s">
        <v>86</v>
      </c>
      <c r="L27" s="2" t="str" cm="1">
        <f t="array" ref="L27">_xlfn.REGEXEXTRACT(B27,"(?&lt;=//)[^/]+")</f>
        <v>bdsmstreak.com</v>
      </c>
      <c r="M27" s="2" t="s">
        <v>747</v>
      </c>
      <c r="N27" s="2" t="s">
        <v>1840</v>
      </c>
      <c r="O27" s="2" t="str" cm="1">
        <f t="array" ref="O27">IF(N27&lt;&gt;"NotApplicable",_xlfn.REGEXEXTRACT(N27,"\d+(?=p)"),"NotApplicable")</f>
        <v>NotApplicable</v>
      </c>
      <c r="P27" s="2" t="s">
        <v>1840</v>
      </c>
      <c r="Q27" s="2" t="s">
        <v>1840</v>
      </c>
      <c r="R27" s="2" t="s">
        <v>1840</v>
      </c>
      <c r="S27" s="24" t="b">
        <f t="shared" si="1"/>
        <v>0</v>
      </c>
    </row>
    <row r="28" spans="1:19" ht="45" x14ac:dyDescent="0.25">
      <c r="A28" s="2" t="str">
        <f t="shared" si="0"/>
        <v>Done</v>
      </c>
      <c r="B28" s="2" t="s">
        <v>141</v>
      </c>
      <c r="C28" s="2">
        <v>47</v>
      </c>
      <c r="D28" s="2" t="s">
        <v>169</v>
      </c>
      <c r="E28" s="2" t="s">
        <v>190</v>
      </c>
      <c r="F28" s="2" t="s">
        <v>79</v>
      </c>
      <c r="G28" s="2" t="s">
        <v>625</v>
      </c>
      <c r="H28" s="2" t="s">
        <v>667</v>
      </c>
      <c r="I28" s="2" t="s">
        <v>73</v>
      </c>
      <c r="J28" s="2">
        <v>7</v>
      </c>
      <c r="K28" s="2" t="s">
        <v>638</v>
      </c>
      <c r="L28" s="2" t="str" cm="1">
        <f t="array" ref="L28">_xlfn.REGEXEXTRACT(B28,"(?&lt;=//)[^/]+")</f>
        <v>bdsmstreak.com</v>
      </c>
      <c r="M28" s="2" t="s">
        <v>747</v>
      </c>
      <c r="N28" s="2" t="s">
        <v>1840</v>
      </c>
      <c r="O28" s="2" t="str" cm="1">
        <f t="array" ref="O28">IF(N28&lt;&gt;"NotApplicable",_xlfn.REGEXEXTRACT(N28,"\d+(?=p)"),"NotApplicable")</f>
        <v>NotApplicable</v>
      </c>
      <c r="P28" s="2" t="s">
        <v>1840</v>
      </c>
      <c r="Q28" s="2" t="s">
        <v>1840</v>
      </c>
      <c r="R28" s="2" t="s">
        <v>1840</v>
      </c>
      <c r="S28" s="24" t="b">
        <f t="shared" si="1"/>
        <v>0</v>
      </c>
    </row>
    <row r="29" spans="1:19" ht="60" x14ac:dyDescent="0.25">
      <c r="A29" s="2" t="str">
        <f t="shared" si="0"/>
        <v>Done</v>
      </c>
      <c r="B29" s="2" t="s">
        <v>273</v>
      </c>
      <c r="C29" s="2">
        <v>73</v>
      </c>
      <c r="D29" s="2" t="s">
        <v>913</v>
      </c>
      <c r="E29" s="2" t="s">
        <v>274</v>
      </c>
      <c r="F29" s="2" t="s">
        <v>79</v>
      </c>
      <c r="G29" s="2" t="s">
        <v>521</v>
      </c>
      <c r="H29" s="2" t="s">
        <v>408</v>
      </c>
      <c r="I29" s="2" t="s">
        <v>73</v>
      </c>
      <c r="J29" s="2">
        <v>7</v>
      </c>
      <c r="K29" s="2" t="s">
        <v>590</v>
      </c>
      <c r="L29" s="2" t="str" cm="1">
        <f t="array" ref="L29">_xlfn.REGEXEXTRACT(B29,"(?&lt;=//)[^/]+")</f>
        <v>heavyfetish.com</v>
      </c>
      <c r="M29" s="2" t="s">
        <v>747</v>
      </c>
      <c r="N29" s="2" t="s">
        <v>1840</v>
      </c>
      <c r="O29" s="2" t="str" cm="1">
        <f t="array" ref="O29">IF(N29&lt;&gt;"NotApplicable",_xlfn.REGEXEXTRACT(N29,"\d+(?=p)"),"NotApplicable")</f>
        <v>NotApplicable</v>
      </c>
      <c r="P29" s="2" t="s">
        <v>1840</v>
      </c>
      <c r="Q29" s="2" t="s">
        <v>1840</v>
      </c>
      <c r="R29" s="2" t="s">
        <v>1840</v>
      </c>
      <c r="S29" s="24" t="b">
        <f t="shared" si="1"/>
        <v>0</v>
      </c>
    </row>
    <row r="30" spans="1:19" ht="45" x14ac:dyDescent="0.25">
      <c r="A30" s="2" t="str">
        <f t="shared" si="0"/>
        <v>Done</v>
      </c>
      <c r="B30" s="2" t="s">
        <v>304</v>
      </c>
      <c r="C30" s="2">
        <v>46</v>
      </c>
      <c r="D30" s="2" t="s">
        <v>920</v>
      </c>
      <c r="E30" s="2" t="s">
        <v>250</v>
      </c>
      <c r="F30" s="2" t="s">
        <v>91</v>
      </c>
      <c r="G30" s="2" t="s">
        <v>507</v>
      </c>
      <c r="H30" s="2" t="s">
        <v>650</v>
      </c>
      <c r="I30" s="2" t="s">
        <v>73</v>
      </c>
      <c r="J30" s="2">
        <v>7</v>
      </c>
      <c r="K30" s="2" t="s">
        <v>504</v>
      </c>
      <c r="L30" s="2" t="str" cm="1">
        <f t="array" ref="L30">_xlfn.REGEXEXTRACT(B30,"(?&lt;=//)[^/]+")</f>
        <v>heavyfetish.com</v>
      </c>
      <c r="M30" s="2" t="s">
        <v>747</v>
      </c>
      <c r="N30" s="2" t="s">
        <v>1840</v>
      </c>
      <c r="O30" s="2" t="str" cm="1">
        <f t="array" ref="O30">IF(N30&lt;&gt;"NotApplicable",_xlfn.REGEXEXTRACT(N30,"\d+(?=p)"),"NotApplicable")</f>
        <v>NotApplicable</v>
      </c>
      <c r="P30" s="2" t="s">
        <v>1840</v>
      </c>
      <c r="Q30" s="2" t="s">
        <v>1840</v>
      </c>
      <c r="R30" s="2" t="s">
        <v>1840</v>
      </c>
      <c r="S30" s="24" t="b">
        <f t="shared" si="1"/>
        <v>0</v>
      </c>
    </row>
    <row r="31" spans="1:19" ht="45" x14ac:dyDescent="0.25">
      <c r="A31" s="2" t="str">
        <f t="shared" si="0"/>
        <v>Done</v>
      </c>
      <c r="B31" s="2" t="s">
        <v>102</v>
      </c>
      <c r="C31" s="2">
        <v>48</v>
      </c>
      <c r="D31" s="2" t="s">
        <v>108</v>
      </c>
      <c r="E31" s="2" t="s">
        <v>109</v>
      </c>
      <c r="F31" s="2" t="s">
        <v>80</v>
      </c>
      <c r="G31" s="2" t="s">
        <v>388</v>
      </c>
      <c r="H31" s="2" t="s">
        <v>110</v>
      </c>
      <c r="I31" s="2" t="s">
        <v>73</v>
      </c>
      <c r="J31" s="2">
        <v>7</v>
      </c>
      <c r="K31" s="2" t="s">
        <v>565</v>
      </c>
      <c r="L31" s="2" t="str" cm="1">
        <f t="array" ref="L31">_xlfn.REGEXEXTRACT(B31,"(?&lt;=//)[^/]+")</f>
        <v>heavyfetish.com</v>
      </c>
      <c r="M31" s="2" t="s">
        <v>747</v>
      </c>
      <c r="N31" s="2" t="s">
        <v>1840</v>
      </c>
      <c r="O31" s="2" t="str" cm="1">
        <f t="array" ref="O31">IF(N31&lt;&gt;"NotApplicable",_xlfn.REGEXEXTRACT(N31,"\d+(?=p)"),"NotApplicable")</f>
        <v>NotApplicable</v>
      </c>
      <c r="P31" s="2" t="s">
        <v>1840</v>
      </c>
      <c r="Q31" s="2" t="s">
        <v>1840</v>
      </c>
      <c r="R31" s="2" t="s">
        <v>1840</v>
      </c>
      <c r="S31" s="24" t="b">
        <f t="shared" si="1"/>
        <v>0</v>
      </c>
    </row>
    <row r="32" spans="1:19" ht="45" x14ac:dyDescent="0.25">
      <c r="A32" s="2" t="str">
        <f t="shared" si="0"/>
        <v>Done</v>
      </c>
      <c r="B32" s="2" t="s">
        <v>130</v>
      </c>
      <c r="C32" s="2">
        <v>56</v>
      </c>
      <c r="D32" s="2" t="s">
        <v>921</v>
      </c>
      <c r="E32" s="2" t="s">
        <v>250</v>
      </c>
      <c r="F32" s="2" t="s">
        <v>79</v>
      </c>
      <c r="G32" s="2" t="s">
        <v>616</v>
      </c>
      <c r="H32" s="2" t="s">
        <v>643</v>
      </c>
      <c r="I32" s="2" t="s">
        <v>73</v>
      </c>
      <c r="J32" s="2">
        <v>7</v>
      </c>
      <c r="K32" s="2" t="s">
        <v>699</v>
      </c>
      <c r="L32" s="2" t="str" cm="1">
        <f t="array" ref="L32">_xlfn.REGEXEXTRACT(B32,"(?&lt;=//)[^/]+")</f>
        <v>m.hqporner.com</v>
      </c>
      <c r="M32" s="2" t="s">
        <v>747</v>
      </c>
      <c r="N32" s="2" t="s">
        <v>1840</v>
      </c>
      <c r="O32" s="2" t="str" cm="1">
        <f t="array" ref="O32">IF(N32&lt;&gt;"NotApplicable",_xlfn.REGEXEXTRACT(N32,"\d+(?=p)"),"NotApplicable")</f>
        <v>NotApplicable</v>
      </c>
      <c r="P32" s="2" t="s">
        <v>1840</v>
      </c>
      <c r="Q32" s="2" t="s">
        <v>1840</v>
      </c>
      <c r="R32" s="2" t="s">
        <v>1840</v>
      </c>
      <c r="S32" s="24" t="b">
        <f t="shared" si="1"/>
        <v>0</v>
      </c>
    </row>
    <row r="33" spans="1:19" ht="30" x14ac:dyDescent="0.25">
      <c r="A33" s="2" t="str">
        <f t="shared" si="0"/>
        <v>Done</v>
      </c>
      <c r="B33" s="2" t="s">
        <v>132</v>
      </c>
      <c r="C33" s="2">
        <v>51</v>
      </c>
      <c r="D33" s="2" t="s">
        <v>921</v>
      </c>
      <c r="E33" s="2" t="s">
        <v>241</v>
      </c>
      <c r="F33" s="2" t="s">
        <v>79</v>
      </c>
      <c r="G33" s="2" t="s">
        <v>612</v>
      </c>
      <c r="H33" s="2" t="s">
        <v>409</v>
      </c>
      <c r="I33" s="2" t="s">
        <v>73</v>
      </c>
      <c r="J33" s="2">
        <v>7</v>
      </c>
      <c r="K33" s="2" t="s">
        <v>876</v>
      </c>
      <c r="L33" s="2" t="str" cm="1">
        <f t="array" ref="L33">_xlfn.REGEXEXTRACT(B33,"(?&lt;=//)[^/]+")</f>
        <v>m.hqporner.com</v>
      </c>
      <c r="M33" s="2" t="s">
        <v>747</v>
      </c>
      <c r="N33" s="2" t="s">
        <v>1840</v>
      </c>
      <c r="O33" s="2" t="str" cm="1">
        <f t="array" ref="O33">IF(N33&lt;&gt;"NotApplicable",_xlfn.REGEXEXTRACT(N33,"\d+(?=p)"),"NotApplicable")</f>
        <v>NotApplicable</v>
      </c>
      <c r="P33" s="2" t="s">
        <v>1840</v>
      </c>
      <c r="Q33" s="2" t="s">
        <v>1840</v>
      </c>
      <c r="R33" s="2" t="s">
        <v>1840</v>
      </c>
      <c r="S33" s="24" t="b">
        <f t="shared" si="1"/>
        <v>0</v>
      </c>
    </row>
    <row r="34" spans="1:19" ht="30" x14ac:dyDescent="0.25">
      <c r="A34" s="2" t="str">
        <f t="shared" si="0"/>
        <v>Done</v>
      </c>
      <c r="B34" s="2" t="s">
        <v>750</v>
      </c>
      <c r="C34" s="2">
        <v>51</v>
      </c>
      <c r="D34" s="2" t="s">
        <v>910</v>
      </c>
      <c r="E34" s="2" t="s">
        <v>791</v>
      </c>
      <c r="F34" s="2" t="s">
        <v>79</v>
      </c>
      <c r="G34" s="2" t="s">
        <v>881</v>
      </c>
      <c r="H34" s="2" t="s">
        <v>874</v>
      </c>
      <c r="I34" s="2" t="s">
        <v>73</v>
      </c>
      <c r="J34" s="2">
        <v>7</v>
      </c>
      <c r="K34" s="2" t="s">
        <v>882</v>
      </c>
      <c r="L34" s="2" t="str" cm="1">
        <f t="array" ref="L34">_xlfn.REGEXEXTRACT(B34,"(?&lt;=//)[^/]+")</f>
        <v>www.eporner.com</v>
      </c>
      <c r="M34" s="2" t="s">
        <v>747</v>
      </c>
      <c r="N34" s="2" t="s">
        <v>1840</v>
      </c>
      <c r="O34" s="2" t="str" cm="1">
        <f t="array" ref="O34">IF(N34&lt;&gt;"NotApplicable",_xlfn.REGEXEXTRACT(N34,"\d+(?=p)"),"NotApplicable")</f>
        <v>NotApplicable</v>
      </c>
      <c r="P34" s="2" t="s">
        <v>1840</v>
      </c>
      <c r="Q34" s="2" t="s">
        <v>1840</v>
      </c>
      <c r="R34" s="2" t="s">
        <v>1840</v>
      </c>
      <c r="S34" s="24" t="b">
        <f t="shared" si="1"/>
        <v>0</v>
      </c>
    </row>
    <row r="35" spans="1:19" ht="45" x14ac:dyDescent="0.25">
      <c r="A35" s="2" t="str">
        <f t="shared" si="0"/>
        <v>Done</v>
      </c>
      <c r="B35" s="2" t="s">
        <v>470</v>
      </c>
      <c r="C35" s="2">
        <v>48</v>
      </c>
      <c r="D35" s="2" t="s">
        <v>920</v>
      </c>
      <c r="E35" s="2" t="s">
        <v>476</v>
      </c>
      <c r="F35" s="2" t="s">
        <v>91</v>
      </c>
      <c r="G35" s="2" t="s">
        <v>574</v>
      </c>
      <c r="H35" s="2" t="s">
        <v>674</v>
      </c>
      <c r="I35" s="2" t="s">
        <v>73</v>
      </c>
      <c r="J35" s="2">
        <v>7</v>
      </c>
      <c r="K35" s="2" t="s">
        <v>514</v>
      </c>
      <c r="L35" s="2" t="str" cm="1">
        <f t="array" ref="L35">_xlfn.REGEXEXTRACT(B35,"(?&lt;=//)[^/]+")</f>
        <v>www.pornhits.com</v>
      </c>
      <c r="M35" s="2" t="s">
        <v>747</v>
      </c>
      <c r="N35" s="2" t="s">
        <v>1840</v>
      </c>
      <c r="O35" s="2" t="str" cm="1">
        <f t="array" ref="O35">IF(N35&lt;&gt;"NotApplicable",_xlfn.REGEXEXTRACT(N35,"\d+(?=p)"),"NotApplicable")</f>
        <v>NotApplicable</v>
      </c>
      <c r="P35" s="2" t="s">
        <v>1840</v>
      </c>
      <c r="Q35" s="2" t="s">
        <v>1840</v>
      </c>
      <c r="R35" s="2" t="s">
        <v>1840</v>
      </c>
      <c r="S35" s="24" t="b">
        <f t="shared" si="1"/>
        <v>0</v>
      </c>
    </row>
    <row r="36" spans="1:19" ht="30" x14ac:dyDescent="0.25">
      <c r="A36" s="2" t="str">
        <f t="shared" si="0"/>
        <v>Done</v>
      </c>
      <c r="B36" s="2" t="s">
        <v>296</v>
      </c>
      <c r="C36" s="2">
        <v>0</v>
      </c>
      <c r="D36" s="2" t="s">
        <v>492</v>
      </c>
      <c r="E36" s="2" t="s">
        <v>1839</v>
      </c>
      <c r="F36" s="2" t="s">
        <v>91</v>
      </c>
      <c r="G36" s="2" t="s">
        <v>780</v>
      </c>
      <c r="H36" s="2" t="s">
        <v>649</v>
      </c>
      <c r="I36" s="2" t="s">
        <v>73</v>
      </c>
      <c r="J36" s="2">
        <v>7</v>
      </c>
      <c r="K36" s="2" t="s">
        <v>315</v>
      </c>
      <c r="L36" s="2" t="str" cm="1">
        <f t="array" ref="L36">_xlfn.REGEXEXTRACT(B36,"(?&lt;=//)[^/]+")</f>
        <v>beeg.com</v>
      </c>
      <c r="M36" s="2" t="s">
        <v>747</v>
      </c>
      <c r="N36" s="2" t="s">
        <v>1840</v>
      </c>
      <c r="O36" s="2" t="str" cm="1">
        <f t="array" ref="O36">IF(N36&lt;&gt;"NotApplicable",_xlfn.REGEXEXTRACT(N36,"\d+(?=p)"),"NotApplicable")</f>
        <v>NotApplicable</v>
      </c>
      <c r="P36" s="2" t="s">
        <v>1840</v>
      </c>
      <c r="Q36" s="2" t="s">
        <v>1840</v>
      </c>
      <c r="R36" s="2" t="s">
        <v>1840</v>
      </c>
      <c r="S36" s="24" t="b">
        <f t="shared" si="1"/>
        <v>0</v>
      </c>
    </row>
    <row r="37" spans="1:19" ht="30" x14ac:dyDescent="0.25">
      <c r="A37" s="2" t="str">
        <f t="shared" si="0"/>
        <v>Done</v>
      </c>
      <c r="B37" s="2" t="s">
        <v>332</v>
      </c>
      <c r="C37" s="2">
        <v>0</v>
      </c>
      <c r="D37" s="2" t="s">
        <v>920</v>
      </c>
      <c r="E37" s="2" t="s">
        <v>1839</v>
      </c>
      <c r="F37" s="2" t="s">
        <v>91</v>
      </c>
      <c r="G37" s="2" t="s">
        <v>552</v>
      </c>
      <c r="H37" s="2" t="s">
        <v>410</v>
      </c>
      <c r="I37" s="2" t="s">
        <v>73</v>
      </c>
      <c r="J37" s="2">
        <v>7</v>
      </c>
      <c r="K37" s="2" t="s">
        <v>333</v>
      </c>
      <c r="L37" s="2" t="str" cm="1">
        <f t="array" ref="L37">_xlfn.REGEXEXTRACT(B37,"(?&lt;=//)[^/]+")</f>
        <v>www.pornhits.com</v>
      </c>
      <c r="M37" s="2" t="s">
        <v>747</v>
      </c>
      <c r="N37" s="2" t="s">
        <v>1840</v>
      </c>
      <c r="O37" s="2" t="str" cm="1">
        <f t="array" ref="O37">IF(N37&lt;&gt;"NotApplicable",_xlfn.REGEXEXTRACT(N37,"\d+(?=p)"),"NotApplicable")</f>
        <v>NotApplicable</v>
      </c>
      <c r="P37" s="2" t="s">
        <v>1840</v>
      </c>
      <c r="Q37" s="2" t="s">
        <v>1840</v>
      </c>
      <c r="R37" s="2" t="s">
        <v>1840</v>
      </c>
      <c r="S37" s="24" t="b">
        <f t="shared" si="1"/>
        <v>0</v>
      </c>
    </row>
    <row r="38" spans="1:19" ht="45" x14ac:dyDescent="0.25">
      <c r="A38" s="2" t="str">
        <f t="shared" si="0"/>
        <v>Done</v>
      </c>
      <c r="B38" s="2" t="s">
        <v>1751</v>
      </c>
      <c r="C38" s="2">
        <v>46</v>
      </c>
      <c r="D38" s="2" t="s">
        <v>917</v>
      </c>
      <c r="E38" s="2" t="s">
        <v>364</v>
      </c>
      <c r="F38" s="2" t="s">
        <v>80</v>
      </c>
      <c r="G38" s="2" t="s">
        <v>1789</v>
      </c>
      <c r="H38" s="2" t="s">
        <v>411</v>
      </c>
      <c r="I38" s="2" t="s">
        <v>73</v>
      </c>
      <c r="J38" s="2">
        <v>7</v>
      </c>
      <c r="K38" s="2" t="s">
        <v>604</v>
      </c>
      <c r="L38" s="2" t="str" cm="1">
        <f t="array" ref="L38">_xlfn.REGEXEXTRACT(B38,"(?&lt;=//)[^/]+")</f>
        <v>bdsmstreak.com</v>
      </c>
      <c r="M38" s="2" t="s">
        <v>747</v>
      </c>
      <c r="N38" s="2" t="s">
        <v>1840</v>
      </c>
      <c r="O38" s="2" t="str" cm="1">
        <f t="array" ref="O38">IF(N38&lt;&gt;"NotApplicable",_xlfn.REGEXEXTRACT(N38,"\d+(?=p)"),"NotApplicable")</f>
        <v>NotApplicable</v>
      </c>
      <c r="P38" s="2" t="s">
        <v>1840</v>
      </c>
      <c r="Q38" s="2" t="s">
        <v>1840</v>
      </c>
      <c r="R38" s="2" t="s">
        <v>1840</v>
      </c>
      <c r="S38" s="24" t="b">
        <f t="shared" si="1"/>
        <v>1</v>
      </c>
    </row>
    <row r="39" spans="1:19" ht="45" x14ac:dyDescent="0.25">
      <c r="A39" s="2" t="str">
        <f t="shared" si="0"/>
        <v>Done</v>
      </c>
      <c r="B39" s="2" t="s">
        <v>281</v>
      </c>
      <c r="C39" s="2">
        <v>0</v>
      </c>
      <c r="D39" s="2" t="s">
        <v>920</v>
      </c>
      <c r="E39" s="2" t="s">
        <v>1839</v>
      </c>
      <c r="F39" s="2" t="s">
        <v>91</v>
      </c>
      <c r="G39" s="2" t="s">
        <v>502</v>
      </c>
      <c r="H39" s="2" t="s">
        <v>765</v>
      </c>
      <c r="I39" s="2" t="s">
        <v>73</v>
      </c>
      <c r="J39" s="2">
        <v>7</v>
      </c>
      <c r="K39" s="2" t="s">
        <v>282</v>
      </c>
      <c r="L39" s="2" t="str" cm="1">
        <f t="array" ref="L39">_xlfn.REGEXEXTRACT(B39,"(?&lt;=//)[^/]+")</f>
        <v>www.txxx.porn</v>
      </c>
      <c r="M39" s="2" t="s">
        <v>747</v>
      </c>
      <c r="N39" s="2" t="s">
        <v>1840</v>
      </c>
      <c r="O39" s="2" t="str" cm="1">
        <f t="array" ref="O39">IF(N39&lt;&gt;"NotApplicable",_xlfn.REGEXEXTRACT(N39,"\d+(?=p)"),"NotApplicable")</f>
        <v>NotApplicable</v>
      </c>
      <c r="P39" s="2" t="s">
        <v>1840</v>
      </c>
      <c r="Q39" s="2" t="s">
        <v>1840</v>
      </c>
      <c r="R39" s="2" t="s">
        <v>1840</v>
      </c>
      <c r="S39" s="24" t="b">
        <f t="shared" si="1"/>
        <v>0</v>
      </c>
    </row>
    <row r="40" spans="1:19" ht="60" x14ac:dyDescent="0.25">
      <c r="A40" s="2" t="str">
        <f t="shared" si="0"/>
        <v>Done</v>
      </c>
      <c r="B40" s="2" t="s">
        <v>354</v>
      </c>
      <c r="C40" s="2">
        <v>44</v>
      </c>
      <c r="D40" s="2" t="s">
        <v>920</v>
      </c>
      <c r="E40" s="2" t="s">
        <v>1838</v>
      </c>
      <c r="F40" s="2" t="s">
        <v>91</v>
      </c>
      <c r="G40" s="2" t="s">
        <v>529</v>
      </c>
      <c r="H40" s="2" t="s">
        <v>458</v>
      </c>
      <c r="I40" s="2" t="s">
        <v>73</v>
      </c>
      <c r="J40" s="2">
        <v>7</v>
      </c>
      <c r="K40" s="2" t="s">
        <v>559</v>
      </c>
      <c r="L40" s="2" t="str" cm="1">
        <f t="array" ref="L40">_xlfn.REGEXEXTRACT(B40,"(?&lt;=//)[^/]+")</f>
        <v>www.fapcat.com</v>
      </c>
      <c r="M40" s="2" t="s">
        <v>747</v>
      </c>
      <c r="N40" s="2" t="s">
        <v>1840</v>
      </c>
      <c r="O40" s="2" t="str" cm="1">
        <f t="array" ref="O40">IF(N40&lt;&gt;"NotApplicable",_xlfn.REGEXEXTRACT(N40,"\d+(?=p)"),"NotApplicable")</f>
        <v>NotApplicable</v>
      </c>
      <c r="P40" s="2" t="s">
        <v>1840</v>
      </c>
      <c r="Q40" s="2" t="s">
        <v>1840</v>
      </c>
      <c r="R40" s="2" t="s">
        <v>1840</v>
      </c>
      <c r="S40" s="24" t="b">
        <f t="shared" si="1"/>
        <v>0</v>
      </c>
    </row>
    <row r="41" spans="1:19" ht="45" x14ac:dyDescent="0.25">
      <c r="A41" s="2" t="str">
        <f t="shared" si="0"/>
        <v>Done</v>
      </c>
      <c r="B41" s="2" t="s">
        <v>751</v>
      </c>
      <c r="C41" s="2">
        <v>45</v>
      </c>
      <c r="D41" s="2" t="s">
        <v>921</v>
      </c>
      <c r="E41" s="2" t="s">
        <v>752</v>
      </c>
      <c r="F41" s="2" t="s">
        <v>79</v>
      </c>
      <c r="G41" s="2" t="s">
        <v>1809</v>
      </c>
      <c r="H41" s="2" t="s">
        <v>809</v>
      </c>
      <c r="I41" s="2" t="s">
        <v>73</v>
      </c>
      <c r="J41" s="2">
        <v>7</v>
      </c>
      <c r="K41" s="2" t="s">
        <v>810</v>
      </c>
      <c r="L41" s="2" t="str" cm="1">
        <f t="array" ref="L41">_xlfn.REGEXEXTRACT(B41,"(?&lt;=//)[^/]+")</f>
        <v>heavyfetish.com</v>
      </c>
      <c r="M41" s="2" t="s">
        <v>747</v>
      </c>
      <c r="N41" s="2" t="s">
        <v>1840</v>
      </c>
      <c r="O41" s="2" t="str" cm="1">
        <f t="array" ref="O41">IF(N41&lt;&gt;"NotApplicable",_xlfn.REGEXEXTRACT(N41,"\d+(?=p)"),"NotApplicable")</f>
        <v>NotApplicable</v>
      </c>
      <c r="P41" s="2" t="s">
        <v>1840</v>
      </c>
      <c r="Q41" s="2" t="s">
        <v>1840</v>
      </c>
      <c r="R41" s="2" t="s">
        <v>1840</v>
      </c>
      <c r="S41" s="24" t="b">
        <f t="shared" si="1"/>
        <v>1</v>
      </c>
    </row>
    <row r="42" spans="1:19" ht="30" x14ac:dyDescent="0.25">
      <c r="A42" s="2" t="str">
        <f t="shared" si="0"/>
        <v>Done</v>
      </c>
      <c r="B42" s="2" t="s">
        <v>103</v>
      </c>
      <c r="C42" s="2">
        <v>24</v>
      </c>
      <c r="D42" s="2" t="s">
        <v>104</v>
      </c>
      <c r="E42" s="2" t="s">
        <v>381</v>
      </c>
      <c r="F42" s="2" t="s">
        <v>80</v>
      </c>
      <c r="G42" s="2" t="s">
        <v>1792</v>
      </c>
      <c r="H42" s="2" t="s">
        <v>118</v>
      </c>
      <c r="I42" s="2" t="s">
        <v>73</v>
      </c>
      <c r="J42" s="2">
        <v>7</v>
      </c>
      <c r="K42" s="2" t="s">
        <v>119</v>
      </c>
      <c r="L42" s="2" t="str" cm="1">
        <f t="array" ref="L42">_xlfn.REGEXEXTRACT(B42,"(?&lt;=//)[^/]+")</f>
        <v>heavyfetish.com</v>
      </c>
      <c r="M42" s="2" t="s">
        <v>747</v>
      </c>
      <c r="N42" s="2" t="s">
        <v>1840</v>
      </c>
      <c r="O42" s="2" t="str" cm="1">
        <f t="array" ref="O42">IF(N42&lt;&gt;"NotApplicable",_xlfn.REGEXEXTRACT(N42,"\d+(?=p)"),"NotApplicable")</f>
        <v>NotApplicable</v>
      </c>
      <c r="P42" s="2" t="s">
        <v>1840</v>
      </c>
      <c r="Q42" s="2" t="s">
        <v>1840</v>
      </c>
      <c r="R42" s="2" t="s">
        <v>1840</v>
      </c>
      <c r="S42" s="24" t="b">
        <f t="shared" si="1"/>
        <v>1</v>
      </c>
    </row>
    <row r="43" spans="1:19" ht="45" x14ac:dyDescent="0.25">
      <c r="A43" s="2" t="str">
        <f t="shared" si="0"/>
        <v>Done</v>
      </c>
      <c r="B43" s="2" t="s">
        <v>843</v>
      </c>
      <c r="C43" s="2">
        <v>51</v>
      </c>
      <c r="D43" s="2" t="s">
        <v>915</v>
      </c>
      <c r="E43" s="2" t="s">
        <v>844</v>
      </c>
      <c r="F43" s="2" t="s">
        <v>80</v>
      </c>
      <c r="G43" s="2" t="s">
        <v>1796</v>
      </c>
      <c r="H43" s="2" t="s">
        <v>886</v>
      </c>
      <c r="I43" s="2" t="s">
        <v>73</v>
      </c>
      <c r="J43" s="2">
        <v>7</v>
      </c>
      <c r="K43" s="2" t="s">
        <v>885</v>
      </c>
      <c r="L43" s="2" t="str" cm="1">
        <f t="array" ref="L43">_xlfn.REGEXEXTRACT(B43,"(?&lt;=//)[^/]+")</f>
        <v>heavyfetish.com</v>
      </c>
      <c r="M43" s="2" t="s">
        <v>747</v>
      </c>
      <c r="N43" s="2" t="s">
        <v>1840</v>
      </c>
      <c r="O43" s="2" t="str" cm="1">
        <f t="array" ref="O43">IF(N43&lt;&gt;"NotApplicable",_xlfn.REGEXEXTRACT(N43,"\d+(?=p)"),"NotApplicable")</f>
        <v>NotApplicable</v>
      </c>
      <c r="P43" s="2" t="s">
        <v>1840</v>
      </c>
      <c r="Q43" s="2" t="s">
        <v>1840</v>
      </c>
      <c r="R43" s="2" t="s">
        <v>1840</v>
      </c>
      <c r="S43" s="24" t="b">
        <f t="shared" si="1"/>
        <v>1</v>
      </c>
    </row>
    <row r="44" spans="1:19" ht="60" x14ac:dyDescent="0.25">
      <c r="A44" s="2" t="str">
        <f t="shared" si="0"/>
        <v>Done</v>
      </c>
      <c r="B44" s="2" t="s">
        <v>1563</v>
      </c>
      <c r="C44" s="2">
        <v>77</v>
      </c>
      <c r="D44" s="2" t="s">
        <v>916</v>
      </c>
      <c r="E44" s="2" t="s">
        <v>1564</v>
      </c>
      <c r="F44" s="2" t="s">
        <v>80</v>
      </c>
      <c r="G44" s="2" t="s">
        <v>1797</v>
      </c>
      <c r="H44" s="2" t="s">
        <v>1571</v>
      </c>
      <c r="I44" s="2" t="s">
        <v>73</v>
      </c>
      <c r="J44" s="2">
        <v>7</v>
      </c>
      <c r="K44" s="2" t="s">
        <v>1572</v>
      </c>
      <c r="L44" s="2" t="str" cm="1">
        <f t="array" ref="L44">_xlfn.REGEXEXTRACT(B44,"(?&lt;=//)[^/]+")</f>
        <v>heavyfetish.com</v>
      </c>
      <c r="M44" s="2" t="s">
        <v>747</v>
      </c>
      <c r="N44" s="2" t="s">
        <v>1840</v>
      </c>
      <c r="O44" s="2" t="str" cm="1">
        <f t="array" ref="O44">IF(N44&lt;&gt;"NotApplicable",_xlfn.REGEXEXTRACT(N44,"\d+(?=p)"),"NotApplicable")</f>
        <v>NotApplicable</v>
      </c>
      <c r="P44" s="2" t="s">
        <v>1840</v>
      </c>
      <c r="Q44" s="2" t="s">
        <v>1840</v>
      </c>
      <c r="R44" s="2" t="s">
        <v>1840</v>
      </c>
      <c r="S44" s="24" t="b">
        <f t="shared" si="1"/>
        <v>1</v>
      </c>
    </row>
    <row r="45" spans="1:19" ht="60" x14ac:dyDescent="0.25">
      <c r="A45" s="2" t="str">
        <f t="shared" si="0"/>
        <v>Done</v>
      </c>
      <c r="B45" s="2" t="s">
        <v>1745</v>
      </c>
      <c r="C45" s="2">
        <v>85</v>
      </c>
      <c r="D45" s="2" t="s">
        <v>1649</v>
      </c>
      <c r="E45" s="2" t="s">
        <v>363</v>
      </c>
      <c r="F45" s="2" t="s">
        <v>78</v>
      </c>
      <c r="G45" s="2" t="s">
        <v>1822</v>
      </c>
      <c r="H45" s="2" t="s">
        <v>640</v>
      </c>
      <c r="I45" s="2" t="s">
        <v>73</v>
      </c>
      <c r="J45" s="2">
        <v>7</v>
      </c>
      <c r="K45" s="2" t="s">
        <v>112</v>
      </c>
      <c r="L45" s="2" t="str" cm="1">
        <f t="array" ref="L45">_xlfn.REGEXEXTRACT(B45,"(?&lt;=//)[^/]+")</f>
        <v>bdsmstreak.com</v>
      </c>
      <c r="M45" s="2" t="s">
        <v>747</v>
      </c>
      <c r="N45" s="2" t="s">
        <v>1840</v>
      </c>
      <c r="O45" s="2" t="str" cm="1">
        <f t="array" ref="O45">IF(N45&lt;&gt;"NotApplicable",_xlfn.REGEXEXTRACT(N45,"\d+(?=p)"),"NotApplicable")</f>
        <v>NotApplicable</v>
      </c>
      <c r="P45" s="2" t="s">
        <v>1840</v>
      </c>
      <c r="Q45" s="2" t="s">
        <v>1840</v>
      </c>
      <c r="R45" s="2" t="s">
        <v>1840</v>
      </c>
      <c r="S45" s="24" t="b">
        <f t="shared" si="1"/>
        <v>1</v>
      </c>
    </row>
    <row r="46" spans="1:19" ht="45" x14ac:dyDescent="0.25">
      <c r="A46" s="2" t="str">
        <f t="shared" si="0"/>
        <v>Done</v>
      </c>
      <c r="B46" s="2" t="s">
        <v>799</v>
      </c>
      <c r="C46" s="2">
        <v>0</v>
      </c>
      <c r="D46" s="2" t="s">
        <v>1837</v>
      </c>
      <c r="E46" s="2" t="s">
        <v>800</v>
      </c>
      <c r="F46" s="2" t="s">
        <v>79</v>
      </c>
      <c r="G46" s="2" t="s">
        <v>804</v>
      </c>
      <c r="H46" s="2" t="s">
        <v>806</v>
      </c>
      <c r="I46" s="2" t="s">
        <v>73</v>
      </c>
      <c r="J46" s="2">
        <v>7</v>
      </c>
      <c r="K46" s="2" t="s">
        <v>801</v>
      </c>
      <c r="L46" s="2" t="str" cm="1">
        <f t="array" ref="L46">_xlfn.REGEXEXTRACT(B46,"(?&lt;=//)[^/]+")</f>
        <v>bdsmmansion.com</v>
      </c>
      <c r="M46" s="2" t="s">
        <v>747</v>
      </c>
      <c r="N46" s="2" t="s">
        <v>1840</v>
      </c>
      <c r="O46" s="2" t="str" cm="1">
        <f t="array" ref="O46">IF(N46&lt;&gt;"NotApplicable",_xlfn.REGEXEXTRACT(N46,"\d+(?=p)"),"NotApplicable")</f>
        <v>NotApplicable</v>
      </c>
      <c r="P46" s="2" t="s">
        <v>1840</v>
      </c>
      <c r="Q46" s="2" t="s">
        <v>1840</v>
      </c>
      <c r="R46" s="2" t="s">
        <v>1840</v>
      </c>
      <c r="S46" s="24" t="b">
        <f t="shared" si="1"/>
        <v>0</v>
      </c>
    </row>
    <row r="47" spans="1:19" ht="45" x14ac:dyDescent="0.25">
      <c r="A47" s="2" t="str">
        <f t="shared" si="0"/>
        <v>Done</v>
      </c>
      <c r="B47" s="2" t="s">
        <v>1545</v>
      </c>
      <c r="C47" s="2">
        <v>0</v>
      </c>
      <c r="D47" s="2" t="s">
        <v>1837</v>
      </c>
      <c r="E47" s="2" t="s">
        <v>800</v>
      </c>
      <c r="F47" s="2" t="s">
        <v>79</v>
      </c>
      <c r="G47" s="2" t="s">
        <v>1553</v>
      </c>
      <c r="H47" s="2" t="s">
        <v>1552</v>
      </c>
      <c r="I47" s="2" t="s">
        <v>73</v>
      </c>
      <c r="J47" s="2">
        <v>7</v>
      </c>
      <c r="K47" s="2" t="s">
        <v>1554</v>
      </c>
      <c r="L47" s="2" t="str" cm="1">
        <f t="array" ref="L47">_xlfn.REGEXEXTRACT(B47,"(?&lt;=//)[^/]+")</f>
        <v>bdsmstreak.com</v>
      </c>
      <c r="M47" s="2" t="s">
        <v>747</v>
      </c>
      <c r="N47" s="2" t="s">
        <v>1840</v>
      </c>
      <c r="O47" s="2" t="str" cm="1">
        <f t="array" ref="O47">IF(N47&lt;&gt;"NotApplicable",_xlfn.REGEXEXTRACT(N47,"\d+(?=p)"),"NotApplicable")</f>
        <v>NotApplicable</v>
      </c>
      <c r="P47" s="2" t="s">
        <v>1840</v>
      </c>
      <c r="Q47" s="2" t="s">
        <v>1840</v>
      </c>
      <c r="R47" s="2" t="s">
        <v>1840</v>
      </c>
      <c r="S47" s="24" t="b">
        <f t="shared" si="1"/>
        <v>0</v>
      </c>
    </row>
    <row r="48" spans="1:19" ht="30" x14ac:dyDescent="0.25">
      <c r="A48" s="2" t="str">
        <f t="shared" si="0"/>
        <v>Done</v>
      </c>
      <c r="B48" s="2" t="s">
        <v>294</v>
      </c>
      <c r="C48" s="2">
        <v>0</v>
      </c>
      <c r="D48" s="2" t="s">
        <v>1837</v>
      </c>
      <c r="E48" s="2" t="s">
        <v>1839</v>
      </c>
      <c r="F48" s="2" t="s">
        <v>313</v>
      </c>
      <c r="G48" s="2" t="s">
        <v>67</v>
      </c>
      <c r="H48" s="2" t="s">
        <v>422</v>
      </c>
      <c r="I48" s="2" t="s">
        <v>73</v>
      </c>
      <c r="J48" s="2">
        <v>7</v>
      </c>
      <c r="K48" s="2" t="s">
        <v>324</v>
      </c>
      <c r="L48" s="2" t="str" cm="1">
        <f t="array" ref="L48">_xlfn.REGEXEXTRACT(B48,"(?&lt;=//)[^/]+")</f>
        <v>beeg.com</v>
      </c>
      <c r="M48" s="2" t="s">
        <v>747</v>
      </c>
      <c r="N48" s="2" t="s">
        <v>1840</v>
      </c>
      <c r="O48" s="2" t="str" cm="1">
        <f t="array" ref="O48">IF(N48&lt;&gt;"NotApplicable",_xlfn.REGEXEXTRACT(N48,"\d+(?=p)"),"NotApplicable")</f>
        <v>NotApplicable</v>
      </c>
      <c r="P48" s="2" t="s">
        <v>1840</v>
      </c>
      <c r="Q48" s="2" t="s">
        <v>1840</v>
      </c>
      <c r="R48" s="2" t="s">
        <v>1840</v>
      </c>
      <c r="S48" s="24" t="b">
        <f t="shared" si="1"/>
        <v>0</v>
      </c>
    </row>
    <row r="49" spans="1:19" ht="30" x14ac:dyDescent="0.25">
      <c r="A49" s="2" t="str">
        <f t="shared" si="0"/>
        <v>Done</v>
      </c>
      <c r="B49" s="2" t="s">
        <v>710</v>
      </c>
      <c r="C49" s="2">
        <v>0</v>
      </c>
      <c r="D49" s="2" t="s">
        <v>1837</v>
      </c>
      <c r="E49" s="2" t="s">
        <v>1839</v>
      </c>
      <c r="F49" s="2" t="s">
        <v>79</v>
      </c>
      <c r="G49" s="2" t="s">
        <v>712</v>
      </c>
      <c r="H49" s="2" t="s">
        <v>713</v>
      </c>
      <c r="I49" s="2" t="s">
        <v>73</v>
      </c>
      <c r="J49" s="2">
        <v>7</v>
      </c>
      <c r="K49" s="2" t="s">
        <v>711</v>
      </c>
      <c r="L49" s="2" t="str" cm="1">
        <f t="array" ref="L49">_xlfn.REGEXEXTRACT(B49,"(?&lt;=//)[^/]+")</f>
        <v>www.eporner.com</v>
      </c>
      <c r="M49" s="2" t="s">
        <v>747</v>
      </c>
      <c r="N49" s="2" t="s">
        <v>1840</v>
      </c>
      <c r="O49" s="2" t="str" cm="1">
        <f t="array" ref="O49">IF(N49&lt;&gt;"NotApplicable",_xlfn.REGEXEXTRACT(N49,"\d+(?=p)"),"NotApplicable")</f>
        <v>NotApplicable</v>
      </c>
      <c r="P49" s="2" t="s">
        <v>1840</v>
      </c>
      <c r="Q49" s="2" t="s">
        <v>1840</v>
      </c>
      <c r="R49" s="2" t="s">
        <v>1840</v>
      </c>
      <c r="S49" s="24" t="b">
        <f t="shared" si="1"/>
        <v>0</v>
      </c>
    </row>
    <row r="50" spans="1:19" ht="30" x14ac:dyDescent="0.25">
      <c r="A50" s="2" t="str">
        <f t="shared" si="0"/>
        <v>Done</v>
      </c>
      <c r="B50" s="2" t="s">
        <v>295</v>
      </c>
      <c r="C50" s="2">
        <v>0</v>
      </c>
      <c r="D50" s="2" t="s">
        <v>1837</v>
      </c>
      <c r="E50" s="2" t="s">
        <v>1839</v>
      </c>
      <c r="F50" s="2" t="s">
        <v>313</v>
      </c>
      <c r="G50" s="2" t="s">
        <v>67</v>
      </c>
      <c r="H50" s="2" t="s">
        <v>422</v>
      </c>
      <c r="I50" s="2" t="s">
        <v>73</v>
      </c>
      <c r="J50" s="2">
        <v>7</v>
      </c>
      <c r="K50" s="2" t="s">
        <v>325</v>
      </c>
      <c r="L50" s="2" t="str" cm="1">
        <f t="array" ref="L50">_xlfn.REGEXEXTRACT(B50,"(?&lt;=//)[^/]+")</f>
        <v>www.fuq.com</v>
      </c>
      <c r="M50" s="2" t="s">
        <v>747</v>
      </c>
      <c r="N50" s="2" t="s">
        <v>1840</v>
      </c>
      <c r="O50" s="2" t="str" cm="1">
        <f t="array" ref="O50">IF(N50&lt;&gt;"NotApplicable",_xlfn.REGEXEXTRACT(N50,"\d+(?=p)"),"NotApplicable")</f>
        <v>NotApplicable</v>
      </c>
      <c r="P50" s="2" t="s">
        <v>1840</v>
      </c>
      <c r="Q50" s="2" t="s">
        <v>1840</v>
      </c>
      <c r="R50" s="2" t="s">
        <v>1840</v>
      </c>
      <c r="S50" s="24" t="b">
        <f t="shared" si="1"/>
        <v>0</v>
      </c>
    </row>
    <row r="51" spans="1:19" ht="30" x14ac:dyDescent="0.25">
      <c r="A51" s="2" t="str">
        <f t="shared" si="0"/>
        <v>Done</v>
      </c>
      <c r="B51" s="2" t="s">
        <v>348</v>
      </c>
      <c r="C51" s="2">
        <v>0</v>
      </c>
      <c r="D51" s="2" t="s">
        <v>1837</v>
      </c>
      <c r="E51" s="2" t="s">
        <v>1839</v>
      </c>
      <c r="F51" s="2" t="s">
        <v>178</v>
      </c>
      <c r="G51" s="2" t="s">
        <v>390</v>
      </c>
      <c r="H51" s="2" t="s">
        <v>412</v>
      </c>
      <c r="I51" s="2" t="s">
        <v>73</v>
      </c>
      <c r="J51" s="2">
        <v>7</v>
      </c>
      <c r="K51" s="2" t="s">
        <v>355</v>
      </c>
      <c r="L51" s="2" t="str" cm="1">
        <f t="array" ref="L51">_xlfn.REGEXEXTRACT(B51,"(?&lt;=//)[^/]+")</f>
        <v>www.tubebdsm.com</v>
      </c>
      <c r="M51" s="2" t="s">
        <v>747</v>
      </c>
      <c r="N51" s="2" t="s">
        <v>1840</v>
      </c>
      <c r="O51" s="2" t="str" cm="1">
        <f t="array" ref="O51">IF(N51&lt;&gt;"NotApplicable",_xlfn.REGEXEXTRACT(N51,"\d+(?=p)"),"NotApplicable")</f>
        <v>NotApplicable</v>
      </c>
      <c r="P51" s="2" t="s">
        <v>1840</v>
      </c>
      <c r="Q51" s="2" t="s">
        <v>1840</v>
      </c>
      <c r="R51" s="2" t="s">
        <v>1840</v>
      </c>
      <c r="S51" s="24" t="b">
        <f t="shared" si="1"/>
        <v>0</v>
      </c>
    </row>
    <row r="52" spans="1:19" ht="45" x14ac:dyDescent="0.25">
      <c r="A52" s="2" t="str">
        <f t="shared" si="0"/>
        <v>Done</v>
      </c>
      <c r="B52" s="2" t="s">
        <v>58</v>
      </c>
      <c r="C52" s="2">
        <v>111</v>
      </c>
      <c r="D52" s="2" t="s">
        <v>1836</v>
      </c>
      <c r="E52" s="2" t="s">
        <v>1838</v>
      </c>
      <c r="F52" s="2" t="s">
        <v>79</v>
      </c>
      <c r="G52" s="2" t="s">
        <v>533</v>
      </c>
      <c r="H52" s="2" t="s">
        <v>700</v>
      </c>
      <c r="I52" s="2" t="s">
        <v>73</v>
      </c>
      <c r="J52" s="2">
        <v>7</v>
      </c>
      <c r="K52" s="2" t="s">
        <v>562</v>
      </c>
      <c r="L52" s="2" t="str" cm="1">
        <f t="array" ref="L52">_xlfn.REGEXEXTRACT(B52,"(?&lt;=//)[^/]+")</f>
        <v>punishworld.com</v>
      </c>
      <c r="M52" s="2" t="s">
        <v>747</v>
      </c>
      <c r="N52" s="2" t="s">
        <v>1840</v>
      </c>
      <c r="O52" s="2" t="str" cm="1">
        <f t="array" ref="O52">IF(N52&lt;&gt;"NotApplicable",_xlfn.REGEXEXTRACT(N52,"\d+(?=p)"),"NotApplicable")</f>
        <v>NotApplicable</v>
      </c>
      <c r="P52" s="2" t="s">
        <v>1840</v>
      </c>
      <c r="Q52" s="2" t="s">
        <v>1840</v>
      </c>
      <c r="R52" s="2" t="s">
        <v>1840</v>
      </c>
      <c r="S52" s="24" t="b">
        <f t="shared" si="1"/>
        <v>0</v>
      </c>
    </row>
    <row r="53" spans="1:19" ht="45" x14ac:dyDescent="0.25">
      <c r="A53" s="2" t="str">
        <f t="shared" si="0"/>
        <v>Done</v>
      </c>
      <c r="B53" s="2" t="s">
        <v>730</v>
      </c>
      <c r="C53" s="2">
        <v>31</v>
      </c>
      <c r="D53" s="2" t="s">
        <v>1836</v>
      </c>
      <c r="E53" s="2" t="s">
        <v>1838</v>
      </c>
      <c r="F53" s="2" t="s">
        <v>223</v>
      </c>
      <c r="G53" s="2" t="s">
        <v>734</v>
      </c>
      <c r="H53" s="2" t="s">
        <v>862</v>
      </c>
      <c r="I53" s="2" t="s">
        <v>73</v>
      </c>
      <c r="J53" s="2">
        <v>7</v>
      </c>
      <c r="K53" s="2" t="s">
        <v>861</v>
      </c>
      <c r="L53" s="2" t="str" cm="1">
        <f t="array" ref="L53">_xlfn.REGEXEXTRACT(B53,"(?&lt;=//)[^/]+")</f>
        <v>www.amateur8.com</v>
      </c>
      <c r="M53" s="2" t="s">
        <v>747</v>
      </c>
      <c r="N53" s="2" t="s">
        <v>1840</v>
      </c>
      <c r="O53" s="2" t="str" cm="1">
        <f t="array" ref="O53">IF(N53&lt;&gt;"NotApplicable",_xlfn.REGEXEXTRACT(N53,"\d+(?=p)"),"NotApplicable")</f>
        <v>NotApplicable</v>
      </c>
      <c r="P53" s="2" t="s">
        <v>1840</v>
      </c>
      <c r="Q53" s="2" t="s">
        <v>1840</v>
      </c>
      <c r="R53" s="2" t="s">
        <v>1840</v>
      </c>
      <c r="S53" s="24" t="b">
        <f t="shared" si="1"/>
        <v>0</v>
      </c>
    </row>
    <row r="54" spans="1:19" ht="45" x14ac:dyDescent="0.25">
      <c r="A54" s="2" t="str">
        <f t="shared" si="0"/>
        <v>Done</v>
      </c>
      <c r="B54" s="2" t="s">
        <v>344</v>
      </c>
      <c r="C54" s="2">
        <v>99</v>
      </c>
      <c r="D54" s="2" t="s">
        <v>1836</v>
      </c>
      <c r="E54" s="2" t="s">
        <v>1838</v>
      </c>
      <c r="F54" s="2" t="s">
        <v>79</v>
      </c>
      <c r="G54" s="2" t="s">
        <v>548</v>
      </c>
      <c r="H54" s="2" t="s">
        <v>690</v>
      </c>
      <c r="I54" s="2" t="s">
        <v>73</v>
      </c>
      <c r="J54" s="2">
        <v>7</v>
      </c>
      <c r="K54" s="2" t="s">
        <v>566</v>
      </c>
      <c r="L54" s="2" t="str" cm="1">
        <f t="array" ref="L54">_xlfn.REGEXEXTRACT(B54,"(?&lt;=//)[^/]+")</f>
        <v>xhamster44.desi</v>
      </c>
      <c r="M54" s="2" t="s">
        <v>747</v>
      </c>
      <c r="N54" s="2" t="s">
        <v>1840</v>
      </c>
      <c r="O54" s="2" t="str" cm="1">
        <f t="array" ref="O54">IF(N54&lt;&gt;"NotApplicable",_xlfn.REGEXEXTRACT(N54,"\d+(?=p)"),"NotApplicable")</f>
        <v>NotApplicable</v>
      </c>
      <c r="P54" s="2" t="s">
        <v>1840</v>
      </c>
      <c r="Q54" s="2" t="s">
        <v>1840</v>
      </c>
      <c r="R54" s="2" t="s">
        <v>1840</v>
      </c>
      <c r="S54" s="24" t="b">
        <f t="shared" si="1"/>
        <v>0</v>
      </c>
    </row>
    <row r="55" spans="1:19" ht="45" x14ac:dyDescent="0.25">
      <c r="A55" s="2" t="str">
        <f t="shared" si="0"/>
        <v>Done</v>
      </c>
      <c r="B55" s="2" t="s">
        <v>1841</v>
      </c>
      <c r="C55" s="2">
        <v>48</v>
      </c>
      <c r="D55" s="2" t="s">
        <v>921</v>
      </c>
      <c r="E55" s="2" t="s">
        <v>1842</v>
      </c>
      <c r="F55" s="2" t="s">
        <v>79</v>
      </c>
      <c r="G55" s="2" t="s">
        <v>1845</v>
      </c>
      <c r="H55" s="2" t="s">
        <v>1843</v>
      </c>
      <c r="I55" s="2" t="s">
        <v>73</v>
      </c>
      <c r="J55" s="2">
        <v>7</v>
      </c>
      <c r="K55" s="2" t="s">
        <v>1844</v>
      </c>
      <c r="L55" s="2" t="str" cm="1">
        <f t="array" ref="L55">_xlfn.REGEXEXTRACT(B55,"(?&lt;=//)[^/]+")</f>
        <v>bdsmstreak.com</v>
      </c>
      <c r="M55" s="2" t="s">
        <v>747</v>
      </c>
      <c r="N55" s="2" t="s">
        <v>1840</v>
      </c>
      <c r="O55" s="2" t="str" cm="1">
        <f t="array" ref="O55">IF(N55&lt;&gt;"NotApplicable",_xlfn.REGEXEXTRACT(N55,"\d+(?=p)"),"NotApplicable")</f>
        <v>NotApplicable</v>
      </c>
      <c r="P55" s="2" t="s">
        <v>1840</v>
      </c>
      <c r="Q55" s="2" t="s">
        <v>1840</v>
      </c>
      <c r="R55" s="2" t="s">
        <v>1840</v>
      </c>
      <c r="S55" s="24" t="b">
        <f t="shared" si="1"/>
        <v>0</v>
      </c>
    </row>
    <row r="56" spans="1:19" ht="45" x14ac:dyDescent="0.25">
      <c r="A56" s="2" t="str">
        <f t="shared" si="0"/>
        <v>Done</v>
      </c>
      <c r="B56" s="2" t="s">
        <v>19</v>
      </c>
      <c r="C56" s="2">
        <v>53</v>
      </c>
      <c r="D56" s="2" t="s">
        <v>1836</v>
      </c>
      <c r="E56" s="2" t="s">
        <v>365</v>
      </c>
      <c r="F56" s="2" t="s">
        <v>80</v>
      </c>
      <c r="G56" s="2" t="s">
        <v>1819</v>
      </c>
      <c r="H56" s="2" t="s">
        <v>641</v>
      </c>
      <c r="I56" s="2" t="s">
        <v>73</v>
      </c>
      <c r="J56" s="2">
        <v>6</v>
      </c>
      <c r="K56" s="2" t="s">
        <v>111</v>
      </c>
      <c r="L56" s="2" t="str" cm="1">
        <f t="array" ref="L56">_xlfn.REGEXEXTRACT(B56,"(?&lt;=//)[^/]+")</f>
        <v>bdsmstreak.com</v>
      </c>
      <c r="M56" s="2" t="s">
        <v>747</v>
      </c>
      <c r="N56" s="2" t="s">
        <v>1840</v>
      </c>
      <c r="O56" s="2" t="str" cm="1">
        <f t="array" ref="O56">IF(N56&lt;&gt;"NotApplicable",_xlfn.REGEXEXTRACT(N56,"\d+(?=p)"),"NotApplicable")</f>
        <v>NotApplicable</v>
      </c>
      <c r="P56" s="2" t="s">
        <v>1840</v>
      </c>
      <c r="Q56" s="2" t="s">
        <v>1840</v>
      </c>
      <c r="R56" s="2" t="s">
        <v>1840</v>
      </c>
      <c r="S56" s="24" t="b">
        <f t="shared" si="1"/>
        <v>1</v>
      </c>
    </row>
    <row r="57" spans="1:19" ht="45" x14ac:dyDescent="0.25">
      <c r="A57" s="2" t="str">
        <f t="shared" si="0"/>
        <v>Done</v>
      </c>
      <c r="B57" s="2" t="s">
        <v>57</v>
      </c>
      <c r="C57" s="2">
        <v>49</v>
      </c>
      <c r="D57" s="2" t="s">
        <v>1836</v>
      </c>
      <c r="E57" s="2" t="s">
        <v>87</v>
      </c>
      <c r="F57" s="2" t="s">
        <v>78</v>
      </c>
      <c r="G57" s="2" t="s">
        <v>597</v>
      </c>
      <c r="H57" s="2" t="s">
        <v>416</v>
      </c>
      <c r="I57" s="2" t="s">
        <v>73</v>
      </c>
      <c r="J57" s="2">
        <v>6</v>
      </c>
      <c r="K57" s="2" t="s">
        <v>114</v>
      </c>
      <c r="L57" s="2" t="str" cm="1">
        <f t="array" ref="L57">_xlfn.REGEXEXTRACT(B57,"(?&lt;=//)[^/]+")</f>
        <v>bdsmstreak.com</v>
      </c>
      <c r="M57" s="2" t="s">
        <v>747</v>
      </c>
      <c r="N57" s="2" t="s">
        <v>1840</v>
      </c>
      <c r="O57" s="2" t="str" cm="1">
        <f t="array" ref="O57">IF(N57&lt;&gt;"NotApplicable",_xlfn.REGEXEXTRACT(N57,"\d+(?=p)"),"NotApplicable")</f>
        <v>NotApplicable</v>
      </c>
      <c r="P57" s="2" t="s">
        <v>1840</v>
      </c>
      <c r="Q57" s="2" t="s">
        <v>1840</v>
      </c>
      <c r="R57" s="2" t="s">
        <v>1840</v>
      </c>
      <c r="S57" s="24" t="b">
        <f t="shared" si="1"/>
        <v>0</v>
      </c>
    </row>
    <row r="58" spans="1:19" ht="30" x14ac:dyDescent="0.25">
      <c r="A58" s="2" t="str">
        <f t="shared" si="0"/>
        <v>Done</v>
      </c>
      <c r="B58" s="2" t="s">
        <v>842</v>
      </c>
      <c r="C58" s="2">
        <v>12</v>
      </c>
      <c r="D58" s="2" t="s">
        <v>1836</v>
      </c>
      <c r="E58" s="2" t="s">
        <v>840</v>
      </c>
      <c r="F58" s="2" t="s">
        <v>79</v>
      </c>
      <c r="G58" s="2" t="s">
        <v>849</v>
      </c>
      <c r="H58" s="2" t="s">
        <v>767</v>
      </c>
      <c r="I58" s="2" t="s">
        <v>73</v>
      </c>
      <c r="J58" s="2">
        <v>6</v>
      </c>
      <c r="K58" s="2" t="s">
        <v>850</v>
      </c>
      <c r="L58" s="2" t="str" cm="1">
        <f t="array" ref="L58">_xlfn.REGEXEXTRACT(B58,"(?&lt;=//)[^/]+")</f>
        <v>www.eporner.com</v>
      </c>
      <c r="M58" s="2" t="s">
        <v>747</v>
      </c>
      <c r="N58" s="2" t="s">
        <v>1840</v>
      </c>
      <c r="O58" s="2" t="str" cm="1">
        <f t="array" ref="O58">IF(N58&lt;&gt;"NotApplicable",_xlfn.REGEXEXTRACT(N58,"\d+(?=p)"),"NotApplicable")</f>
        <v>NotApplicable</v>
      </c>
      <c r="P58" s="2" t="s">
        <v>1840</v>
      </c>
      <c r="Q58" s="2" t="s">
        <v>1840</v>
      </c>
      <c r="R58" s="2" t="s">
        <v>1840</v>
      </c>
      <c r="S58" s="24" t="b">
        <f t="shared" si="1"/>
        <v>0</v>
      </c>
    </row>
    <row r="59" spans="1:19" ht="30" x14ac:dyDescent="0.25">
      <c r="A59" s="2" t="str">
        <f t="shared" si="0"/>
        <v>Done</v>
      </c>
      <c r="B59" s="2" t="s">
        <v>839</v>
      </c>
      <c r="C59" s="2">
        <v>3</v>
      </c>
      <c r="D59" s="2" t="s">
        <v>1836</v>
      </c>
      <c r="E59" s="2" t="s">
        <v>840</v>
      </c>
      <c r="F59" s="2" t="s">
        <v>79</v>
      </c>
      <c r="G59" s="2" t="s">
        <v>847</v>
      </c>
      <c r="H59" s="2" t="s">
        <v>767</v>
      </c>
      <c r="I59" s="2" t="s">
        <v>73</v>
      </c>
      <c r="J59" s="2">
        <v>6</v>
      </c>
      <c r="K59" s="2" t="s">
        <v>848</v>
      </c>
      <c r="L59" s="2" t="str" cm="1">
        <f t="array" ref="L59">_xlfn.REGEXEXTRACT(B59,"(?&lt;=//)[^/]+")</f>
        <v>www.pornhub.com</v>
      </c>
      <c r="M59" s="2" t="s">
        <v>747</v>
      </c>
      <c r="N59" s="2" t="s">
        <v>1840</v>
      </c>
      <c r="O59" s="2" t="str" cm="1">
        <f t="array" ref="O59">IF(N59&lt;&gt;"NotApplicable",_xlfn.REGEXEXTRACT(N59,"\d+(?=p)"),"NotApplicable")</f>
        <v>NotApplicable</v>
      </c>
      <c r="P59" s="2" t="s">
        <v>1840</v>
      </c>
      <c r="Q59" s="2" t="s">
        <v>1840</v>
      </c>
      <c r="R59" s="2" t="s">
        <v>1840</v>
      </c>
      <c r="S59" s="24" t="b">
        <f t="shared" si="1"/>
        <v>0</v>
      </c>
    </row>
    <row r="60" spans="1:19" ht="45" x14ac:dyDescent="0.25">
      <c r="A60" s="2" t="str">
        <f t="shared" si="0"/>
        <v>Done</v>
      </c>
      <c r="B60" s="2" t="s">
        <v>352</v>
      </c>
      <c r="C60" s="2">
        <v>21</v>
      </c>
      <c r="D60" s="2" t="s">
        <v>1836</v>
      </c>
      <c r="E60" s="2" t="s">
        <v>353</v>
      </c>
      <c r="F60" s="2" t="s">
        <v>91</v>
      </c>
      <c r="G60" s="2" t="s">
        <v>465</v>
      </c>
      <c r="H60" s="2" t="s">
        <v>767</v>
      </c>
      <c r="I60" s="2" t="s">
        <v>73</v>
      </c>
      <c r="J60" s="2">
        <v>6</v>
      </c>
      <c r="K60" s="2" t="s">
        <v>464</v>
      </c>
      <c r="L60" s="2" t="str" cm="1">
        <f t="array" ref="L60">_xlfn.REGEXEXTRACT(B60,"(?&lt;=//)[^/]+")</f>
        <v>xhamster44.desi</v>
      </c>
      <c r="M60" s="2" t="s">
        <v>747</v>
      </c>
      <c r="N60" s="2" t="s">
        <v>1840</v>
      </c>
      <c r="O60" s="2" t="str" cm="1">
        <f t="array" ref="O60">IF(N60&lt;&gt;"NotApplicable",_xlfn.REGEXEXTRACT(N60,"\d+(?=p)"),"NotApplicable")</f>
        <v>NotApplicable</v>
      </c>
      <c r="P60" s="2" t="s">
        <v>1840</v>
      </c>
      <c r="Q60" s="2" t="s">
        <v>1840</v>
      </c>
      <c r="R60" s="2" t="s">
        <v>1840</v>
      </c>
      <c r="S60" s="24" t="b">
        <f t="shared" si="1"/>
        <v>0</v>
      </c>
    </row>
    <row r="61" spans="1:19" ht="45" x14ac:dyDescent="0.25">
      <c r="A61" s="2" t="str">
        <f t="shared" si="0"/>
        <v>Done</v>
      </c>
      <c r="B61" s="2" t="s">
        <v>714</v>
      </c>
      <c r="C61" s="2">
        <v>33</v>
      </c>
      <c r="D61" s="2" t="s">
        <v>1836</v>
      </c>
      <c r="E61" s="2" t="s">
        <v>1838</v>
      </c>
      <c r="F61" s="2" t="s">
        <v>80</v>
      </c>
      <c r="G61" s="2" t="s">
        <v>720</v>
      </c>
      <c r="H61" s="2" t="s">
        <v>719</v>
      </c>
      <c r="I61" s="2" t="s">
        <v>73</v>
      </c>
      <c r="J61" s="2">
        <v>6</v>
      </c>
      <c r="K61" s="2" t="s">
        <v>877</v>
      </c>
      <c r="L61" s="2" t="str" cm="1">
        <f t="array" ref="L61">_xlfn.REGEXEXTRACT(B61,"(?&lt;=//)[^/]+")</f>
        <v>www.eporner.com</v>
      </c>
      <c r="M61" s="2" t="s">
        <v>747</v>
      </c>
      <c r="N61" s="2" t="s">
        <v>1840</v>
      </c>
      <c r="O61" s="2" t="str" cm="1">
        <f t="array" ref="O61">IF(N61&lt;&gt;"NotApplicable",_xlfn.REGEXEXTRACT(N61,"\d+(?=p)"),"NotApplicable")</f>
        <v>NotApplicable</v>
      </c>
      <c r="P61" s="2" t="s">
        <v>1840</v>
      </c>
      <c r="Q61" s="2" t="s">
        <v>1840</v>
      </c>
      <c r="R61" s="2" t="s">
        <v>1840</v>
      </c>
      <c r="S61" s="24" t="b">
        <f t="shared" si="1"/>
        <v>0</v>
      </c>
    </row>
    <row r="62" spans="1:19" ht="30" x14ac:dyDescent="0.25">
      <c r="A62" s="2" t="str">
        <f t="shared" si="0"/>
        <v>Done</v>
      </c>
      <c r="B62" s="2" t="s">
        <v>343</v>
      </c>
      <c r="C62" s="2">
        <v>50</v>
      </c>
      <c r="D62" s="2" t="s">
        <v>911</v>
      </c>
      <c r="E62" s="2" t="s">
        <v>386</v>
      </c>
      <c r="F62" s="2" t="s">
        <v>91</v>
      </c>
      <c r="G62" s="2" t="s">
        <v>1768</v>
      </c>
      <c r="H62" s="2" t="s">
        <v>682</v>
      </c>
      <c r="I62" s="2" t="s">
        <v>73</v>
      </c>
      <c r="J62" s="2">
        <v>6</v>
      </c>
      <c r="K62" s="2" t="s">
        <v>467</v>
      </c>
      <c r="L62" s="2" t="str" cm="1">
        <f t="array" ref="L62">_xlfn.REGEXEXTRACT(B62,"(?&lt;=//)[^/]+")</f>
        <v>tube.perverzija.com</v>
      </c>
      <c r="M62" s="2" t="s">
        <v>747</v>
      </c>
      <c r="N62" s="2" t="s">
        <v>1840</v>
      </c>
      <c r="O62" s="2" t="str" cm="1">
        <f t="array" ref="O62">IF(N62&lt;&gt;"NotApplicable",_xlfn.REGEXEXTRACT(N62,"\d+(?=p)"),"NotApplicable")</f>
        <v>NotApplicable</v>
      </c>
      <c r="P62" s="2" t="s">
        <v>1840</v>
      </c>
      <c r="Q62" s="2" t="s">
        <v>1840</v>
      </c>
      <c r="R62" s="2" t="s">
        <v>1840</v>
      </c>
      <c r="S62" s="24" t="b">
        <f t="shared" si="1"/>
        <v>1</v>
      </c>
    </row>
    <row r="63" spans="1:19" ht="30" x14ac:dyDescent="0.25">
      <c r="A63" s="2" t="str">
        <f t="shared" si="0"/>
        <v>Done</v>
      </c>
      <c r="B63" s="2" t="s">
        <v>83</v>
      </c>
      <c r="C63" s="2">
        <v>53</v>
      </c>
      <c r="D63" s="2" t="s">
        <v>921</v>
      </c>
      <c r="E63" s="2" t="s">
        <v>215</v>
      </c>
      <c r="F63" s="2" t="s">
        <v>79</v>
      </c>
      <c r="G63" s="2" t="s">
        <v>613</v>
      </c>
      <c r="H63" s="2" t="s">
        <v>415</v>
      </c>
      <c r="I63" s="2" t="s">
        <v>73</v>
      </c>
      <c r="J63" s="2">
        <v>6</v>
      </c>
      <c r="K63" s="2" t="s">
        <v>568</v>
      </c>
      <c r="L63" s="2" t="str" cm="1">
        <f t="array" ref="L63">_xlfn.REGEXEXTRACT(B63,"(?&lt;=//)[^/]+")</f>
        <v>abxxx.com</v>
      </c>
      <c r="M63" s="2" t="s">
        <v>747</v>
      </c>
      <c r="N63" s="2" t="s">
        <v>1840</v>
      </c>
      <c r="O63" s="2" t="str" cm="1">
        <f t="array" ref="O63">IF(N63&lt;&gt;"NotApplicable",_xlfn.REGEXEXTRACT(N63,"\d+(?=p)"),"NotApplicable")</f>
        <v>NotApplicable</v>
      </c>
      <c r="P63" s="2" t="s">
        <v>1840</v>
      </c>
      <c r="Q63" s="2" t="s">
        <v>1840</v>
      </c>
      <c r="R63" s="2" t="s">
        <v>1840</v>
      </c>
      <c r="S63" s="24" t="b">
        <f t="shared" si="1"/>
        <v>0</v>
      </c>
    </row>
    <row r="64" spans="1:19" ht="45" x14ac:dyDescent="0.25">
      <c r="A64" s="2" t="str">
        <f t="shared" si="0"/>
        <v>Done</v>
      </c>
      <c r="B64" s="2" t="s">
        <v>150</v>
      </c>
      <c r="C64" s="2">
        <v>40</v>
      </c>
      <c r="D64" s="2" t="s">
        <v>202</v>
      </c>
      <c r="E64" s="2" t="s">
        <v>1827</v>
      </c>
      <c r="F64" s="2" t="s">
        <v>178</v>
      </c>
      <c r="G64" s="2" t="s">
        <v>1826</v>
      </c>
      <c r="H64" s="2" t="s">
        <v>420</v>
      </c>
      <c r="I64" s="2" t="s">
        <v>73</v>
      </c>
      <c r="J64" s="2">
        <v>6</v>
      </c>
      <c r="K64" s="2" t="s">
        <v>203</v>
      </c>
      <c r="L64" s="2" t="str" cm="1">
        <f t="array" ref="L64">_xlfn.REGEXEXTRACT(B64,"(?&lt;=//)[^/]+")</f>
        <v>www.tnaflix.com</v>
      </c>
      <c r="M64" s="2" t="s">
        <v>747</v>
      </c>
      <c r="N64" s="2" t="s">
        <v>1840</v>
      </c>
      <c r="O64" s="2" t="str" cm="1">
        <f t="array" ref="O64">IF(N64&lt;&gt;"NotApplicable",_xlfn.REGEXEXTRACT(N64,"\d+(?=p)"),"NotApplicable")</f>
        <v>NotApplicable</v>
      </c>
      <c r="P64" s="2" t="s">
        <v>1840</v>
      </c>
      <c r="Q64" s="2" t="s">
        <v>1840</v>
      </c>
      <c r="R64" s="2" t="s">
        <v>1840</v>
      </c>
      <c r="S64" s="24" t="b">
        <f t="shared" si="1"/>
        <v>1</v>
      </c>
    </row>
    <row r="65" spans="1:19" ht="45" x14ac:dyDescent="0.25">
      <c r="A65" s="2" t="str">
        <f t="shared" si="0"/>
        <v>Done</v>
      </c>
      <c r="B65" s="2" t="s">
        <v>9</v>
      </c>
      <c r="C65" s="2">
        <v>57</v>
      </c>
      <c r="D65" s="2" t="s">
        <v>916</v>
      </c>
      <c r="E65" s="2" t="s">
        <v>253</v>
      </c>
      <c r="F65" s="2" t="s">
        <v>80</v>
      </c>
      <c r="G65" s="2" t="s">
        <v>577</v>
      </c>
      <c r="H65" s="2" t="s">
        <v>671</v>
      </c>
      <c r="I65" s="2" t="s">
        <v>73</v>
      </c>
      <c r="J65" s="2">
        <v>6</v>
      </c>
      <c r="K65" s="2" t="s">
        <v>254</v>
      </c>
      <c r="L65" s="2" t="str" cm="1">
        <f t="array" ref="L65">_xlfn.REGEXEXTRACT(B65,"(?&lt;=//)[^/]+")</f>
        <v>heavyfetish.com</v>
      </c>
      <c r="M65" s="2" t="s">
        <v>747</v>
      </c>
      <c r="N65" s="2" t="s">
        <v>1840</v>
      </c>
      <c r="O65" s="2" t="str" cm="1">
        <f t="array" ref="O65">IF(N65&lt;&gt;"NotApplicable",_xlfn.REGEXEXTRACT(N65,"\d+(?=p)"),"NotApplicable")</f>
        <v>NotApplicable</v>
      </c>
      <c r="P65" s="2" t="s">
        <v>1840</v>
      </c>
      <c r="Q65" s="2" t="s">
        <v>1840</v>
      </c>
      <c r="R65" s="2" t="s">
        <v>1840</v>
      </c>
      <c r="S65" s="24" t="b">
        <f t="shared" si="1"/>
        <v>0</v>
      </c>
    </row>
    <row r="66" spans="1:19" ht="45" x14ac:dyDescent="0.25">
      <c r="A66" s="2" t="str">
        <f t="shared" ref="A66:A129" si="2">IF(ISBLANK(I66)=TRUE,"Pending","Done")</f>
        <v>Done</v>
      </c>
      <c r="B66" s="2" t="s">
        <v>5</v>
      </c>
      <c r="C66" s="2">
        <v>48</v>
      </c>
      <c r="D66" s="2" t="s">
        <v>169</v>
      </c>
      <c r="E66" s="2" t="s">
        <v>237</v>
      </c>
      <c r="F66" s="2" t="s">
        <v>79</v>
      </c>
      <c r="G66" s="2" t="s">
        <v>538</v>
      </c>
      <c r="H66" s="2" t="s">
        <v>417</v>
      </c>
      <c r="I66" s="2" t="s">
        <v>73</v>
      </c>
      <c r="J66" s="2">
        <v>6</v>
      </c>
      <c r="K66" s="2" t="s">
        <v>607</v>
      </c>
      <c r="L66" s="2" t="str" cm="1">
        <f t="array" ref="L66">_xlfn.REGEXEXTRACT(B66,"(?&lt;=//)[^/]+")</f>
        <v>heavyfetish.com</v>
      </c>
      <c r="M66" s="2" t="s">
        <v>747</v>
      </c>
      <c r="N66" s="2" t="s">
        <v>1840</v>
      </c>
      <c r="O66" s="2" t="str" cm="1">
        <f t="array" ref="O66">IF(N66&lt;&gt;"NotApplicable",_xlfn.REGEXEXTRACT(N66,"\d+(?=p)"),"NotApplicable")</f>
        <v>NotApplicable</v>
      </c>
      <c r="P66" s="2" t="s">
        <v>1840</v>
      </c>
      <c r="Q66" s="2" t="s">
        <v>1840</v>
      </c>
      <c r="R66" s="2" t="s">
        <v>1840</v>
      </c>
      <c r="S66" s="24" t="b">
        <f t="shared" ref="S66:S129" si="3">ISNUMBER(SEARCH(",",E66))</f>
        <v>0</v>
      </c>
    </row>
    <row r="67" spans="1:19" ht="30" x14ac:dyDescent="0.25">
      <c r="A67" s="2" t="str">
        <f t="shared" si="2"/>
        <v>Done</v>
      </c>
      <c r="B67" s="2" t="s">
        <v>40</v>
      </c>
      <c r="C67" s="2">
        <v>44</v>
      </c>
      <c r="D67" s="2" t="s">
        <v>209</v>
      </c>
      <c r="E67" s="2" t="s">
        <v>210</v>
      </c>
      <c r="F67" s="2" t="s">
        <v>79</v>
      </c>
      <c r="G67" s="2" t="s">
        <v>582</v>
      </c>
      <c r="H67" s="2" t="s">
        <v>685</v>
      </c>
      <c r="I67" s="2" t="s">
        <v>73</v>
      </c>
      <c r="J67" s="2">
        <v>6</v>
      </c>
      <c r="K67" s="2" t="s">
        <v>211</v>
      </c>
      <c r="L67" s="2" t="str" cm="1">
        <f t="array" ref="L67">_xlfn.REGEXEXTRACT(B67,"(?&lt;=//)[^/]+")</f>
        <v>heavyfetish.com</v>
      </c>
      <c r="M67" s="2" t="s">
        <v>747</v>
      </c>
      <c r="N67" s="2" t="s">
        <v>1840</v>
      </c>
      <c r="O67" s="2" t="str" cm="1">
        <f t="array" ref="O67">IF(N67&lt;&gt;"NotApplicable",_xlfn.REGEXEXTRACT(N67,"\d+(?=p)"),"NotApplicable")</f>
        <v>NotApplicable</v>
      </c>
      <c r="P67" s="2" t="s">
        <v>1840</v>
      </c>
      <c r="Q67" s="2" t="s">
        <v>1840</v>
      </c>
      <c r="R67" s="2" t="s">
        <v>1840</v>
      </c>
      <c r="S67" s="24" t="b">
        <f t="shared" si="3"/>
        <v>0</v>
      </c>
    </row>
    <row r="68" spans="1:19" ht="45" x14ac:dyDescent="0.25">
      <c r="A68" s="2" t="str">
        <f t="shared" si="2"/>
        <v>Done</v>
      </c>
      <c r="B68" s="2" t="s">
        <v>29</v>
      </c>
      <c r="C68" s="2">
        <v>66</v>
      </c>
      <c r="D68" s="2" t="s">
        <v>917</v>
      </c>
      <c r="E68" s="2" t="s">
        <v>268</v>
      </c>
      <c r="F68" s="2" t="s">
        <v>79</v>
      </c>
      <c r="G68" s="2" t="s">
        <v>609</v>
      </c>
      <c r="H68" s="2" t="s">
        <v>413</v>
      </c>
      <c r="I68" s="2" t="s">
        <v>73</v>
      </c>
      <c r="J68" s="2">
        <v>6</v>
      </c>
      <c r="K68" s="2" t="s">
        <v>611</v>
      </c>
      <c r="L68" s="2" t="str" cm="1">
        <f t="array" ref="L68">_xlfn.REGEXEXTRACT(B68,"(?&lt;=//)[^/]+")</f>
        <v>heavyfetish.com</v>
      </c>
      <c r="M68" s="2" t="s">
        <v>747</v>
      </c>
      <c r="N68" s="2" t="s">
        <v>1840</v>
      </c>
      <c r="O68" s="2" t="str" cm="1">
        <f t="array" ref="O68">IF(N68&lt;&gt;"NotApplicable",_xlfn.REGEXEXTRACT(N68,"\d+(?=p)"),"NotApplicable")</f>
        <v>NotApplicable</v>
      </c>
      <c r="P68" s="2" t="s">
        <v>1840</v>
      </c>
      <c r="Q68" s="2" t="s">
        <v>1840</v>
      </c>
      <c r="R68" s="2" t="s">
        <v>1840</v>
      </c>
      <c r="S68" s="24" t="b">
        <f t="shared" si="3"/>
        <v>0</v>
      </c>
    </row>
    <row r="69" spans="1:19" ht="60" x14ac:dyDescent="0.25">
      <c r="A69" s="2" t="str">
        <f t="shared" si="2"/>
        <v>Done</v>
      </c>
      <c r="B69" s="2" t="s">
        <v>38</v>
      </c>
      <c r="C69" s="2">
        <v>31</v>
      </c>
      <c r="D69" s="2" t="s">
        <v>84</v>
      </c>
      <c r="E69" s="2" t="s">
        <v>370</v>
      </c>
      <c r="F69" s="2" t="s">
        <v>79</v>
      </c>
      <c r="G69" s="2" t="s">
        <v>1812</v>
      </c>
      <c r="H69" s="2" t="s">
        <v>660</v>
      </c>
      <c r="I69" s="2" t="s">
        <v>73</v>
      </c>
      <c r="J69" s="2">
        <v>6</v>
      </c>
      <c r="K69" s="2" t="s">
        <v>664</v>
      </c>
      <c r="L69" s="2" t="str" cm="1">
        <f t="array" ref="L69">_xlfn.REGEXEXTRACT(B69,"(?&lt;=//)[^/]+")</f>
        <v>bdsmstreak.com</v>
      </c>
      <c r="M69" s="2" t="s">
        <v>747</v>
      </c>
      <c r="N69" s="2" t="s">
        <v>1840</v>
      </c>
      <c r="O69" s="2" t="str" cm="1">
        <f t="array" ref="O69">IF(N69&lt;&gt;"NotApplicable",_xlfn.REGEXEXTRACT(N69,"\d+(?=p)"),"NotApplicable")</f>
        <v>NotApplicable</v>
      </c>
      <c r="P69" s="2" t="s">
        <v>1840</v>
      </c>
      <c r="Q69" s="2" t="s">
        <v>1840</v>
      </c>
      <c r="R69" s="2" t="s">
        <v>1840</v>
      </c>
      <c r="S69" s="24" t="b">
        <f t="shared" si="3"/>
        <v>1</v>
      </c>
    </row>
    <row r="70" spans="1:19" ht="30" x14ac:dyDescent="0.25">
      <c r="A70" s="2" t="str">
        <f t="shared" si="2"/>
        <v>Done</v>
      </c>
      <c r="B70" s="2" t="s">
        <v>15</v>
      </c>
      <c r="C70" s="2">
        <v>46</v>
      </c>
      <c r="D70" s="2" t="s">
        <v>108</v>
      </c>
      <c r="E70" s="2" t="s">
        <v>168</v>
      </c>
      <c r="F70" s="2" t="s">
        <v>79</v>
      </c>
      <c r="G70" s="2" t="s">
        <v>571</v>
      </c>
      <c r="H70" s="2" t="s">
        <v>418</v>
      </c>
      <c r="I70" s="2" t="s">
        <v>73</v>
      </c>
      <c r="J70" s="2">
        <v>6</v>
      </c>
      <c r="K70" s="2" t="s">
        <v>252</v>
      </c>
      <c r="L70" s="2" t="str" cm="1">
        <f t="array" ref="L70">_xlfn.REGEXEXTRACT(B70,"(?&lt;=//)[^/]+")</f>
        <v>heavyfetish.com</v>
      </c>
      <c r="M70" s="2" t="s">
        <v>747</v>
      </c>
      <c r="N70" s="2" t="s">
        <v>1840</v>
      </c>
      <c r="O70" s="2" t="str" cm="1">
        <f t="array" ref="O70">IF(N70&lt;&gt;"NotApplicable",_xlfn.REGEXEXTRACT(N70,"\d+(?=p)"),"NotApplicable")</f>
        <v>NotApplicable</v>
      </c>
      <c r="P70" s="2" t="s">
        <v>1840</v>
      </c>
      <c r="Q70" s="2" t="s">
        <v>1840</v>
      </c>
      <c r="R70" s="2" t="s">
        <v>1840</v>
      </c>
      <c r="S70" s="24" t="b">
        <f t="shared" si="3"/>
        <v>0</v>
      </c>
    </row>
    <row r="71" spans="1:19" ht="45" x14ac:dyDescent="0.25">
      <c r="A71" s="2" t="str">
        <f t="shared" si="2"/>
        <v>Done</v>
      </c>
      <c r="B71" s="2" t="s">
        <v>13</v>
      </c>
      <c r="C71" s="2">
        <v>39</v>
      </c>
      <c r="D71" s="2" t="s">
        <v>84</v>
      </c>
      <c r="E71" s="2" t="s">
        <v>200</v>
      </c>
      <c r="F71" s="2" t="s">
        <v>79</v>
      </c>
      <c r="G71" s="2" t="s">
        <v>572</v>
      </c>
      <c r="H71" s="2" t="s">
        <v>421</v>
      </c>
      <c r="I71" s="2" t="s">
        <v>73</v>
      </c>
      <c r="J71" s="2">
        <v>6</v>
      </c>
      <c r="K71" s="2" t="s">
        <v>201</v>
      </c>
      <c r="L71" s="2" t="str" cm="1">
        <f t="array" ref="L71">_xlfn.REGEXEXTRACT(B71,"(?&lt;=//)[^/]+")</f>
        <v>heavyfetish.com</v>
      </c>
      <c r="M71" s="2" t="s">
        <v>747</v>
      </c>
      <c r="N71" s="2" t="s">
        <v>1840</v>
      </c>
      <c r="O71" s="2" t="str" cm="1">
        <f t="array" ref="O71">IF(N71&lt;&gt;"NotApplicable",_xlfn.REGEXEXTRACT(N71,"\d+(?=p)"),"NotApplicable")</f>
        <v>NotApplicable</v>
      </c>
      <c r="P71" s="2" t="s">
        <v>1840</v>
      </c>
      <c r="Q71" s="2" t="s">
        <v>1840</v>
      </c>
      <c r="R71" s="2" t="s">
        <v>1840</v>
      </c>
      <c r="S71" s="24" t="b">
        <f t="shared" si="3"/>
        <v>0</v>
      </c>
    </row>
    <row r="72" spans="1:19" ht="60" x14ac:dyDescent="0.25">
      <c r="A72" s="2" t="str">
        <f t="shared" si="2"/>
        <v>Done</v>
      </c>
      <c r="B72" s="2" t="s">
        <v>11</v>
      </c>
      <c r="C72" s="2">
        <v>56</v>
      </c>
      <c r="D72" s="2" t="s">
        <v>921</v>
      </c>
      <c r="E72" s="2" t="s">
        <v>248</v>
      </c>
      <c r="F72" s="2" t="s">
        <v>80</v>
      </c>
      <c r="G72" s="2" t="s">
        <v>629</v>
      </c>
      <c r="H72" s="2" t="s">
        <v>414</v>
      </c>
      <c r="I72" s="2" t="s">
        <v>73</v>
      </c>
      <c r="J72" s="2">
        <v>6</v>
      </c>
      <c r="K72" s="2" t="s">
        <v>584</v>
      </c>
      <c r="L72" s="2" t="str" cm="1">
        <f t="array" ref="L72">_xlfn.REGEXEXTRACT(B72,"(?&lt;=//)[^/]+")</f>
        <v>heavyfetish.com</v>
      </c>
      <c r="M72" s="2" t="s">
        <v>747</v>
      </c>
      <c r="N72" s="2" t="s">
        <v>1840</v>
      </c>
      <c r="O72" s="2" t="str" cm="1">
        <f t="array" ref="O72">IF(N72&lt;&gt;"NotApplicable",_xlfn.REGEXEXTRACT(N72,"\d+(?=p)"),"NotApplicable")</f>
        <v>NotApplicable</v>
      </c>
      <c r="P72" s="2" t="s">
        <v>1840</v>
      </c>
      <c r="Q72" s="2" t="s">
        <v>1840</v>
      </c>
      <c r="R72" s="2" t="s">
        <v>1840</v>
      </c>
      <c r="S72" s="24" t="b">
        <f t="shared" si="3"/>
        <v>0</v>
      </c>
    </row>
    <row r="73" spans="1:19" ht="45" x14ac:dyDescent="0.25">
      <c r="A73" s="2" t="str">
        <f t="shared" si="2"/>
        <v>Done</v>
      </c>
      <c r="B73" s="2" t="s">
        <v>128</v>
      </c>
      <c r="C73" s="2">
        <v>45</v>
      </c>
      <c r="D73" s="2" t="s">
        <v>910</v>
      </c>
      <c r="E73" s="2" t="s">
        <v>168</v>
      </c>
      <c r="F73" s="2" t="s">
        <v>79</v>
      </c>
      <c r="G73" s="2" t="s">
        <v>615</v>
      </c>
      <c r="H73" s="2" t="s">
        <v>419</v>
      </c>
      <c r="I73" s="2" t="s">
        <v>73</v>
      </c>
      <c r="J73" s="2">
        <v>6</v>
      </c>
      <c r="K73" s="2" t="s">
        <v>608</v>
      </c>
      <c r="L73" s="2" t="str" cm="1">
        <f t="array" ref="L73">_xlfn.REGEXEXTRACT(B73,"(?&lt;=//)[^/]+")</f>
        <v>m.hqporner.com</v>
      </c>
      <c r="M73" s="2" t="s">
        <v>747</v>
      </c>
      <c r="N73" s="2" t="s">
        <v>1840</v>
      </c>
      <c r="O73" s="2" t="str" cm="1">
        <f t="array" ref="O73">IF(N73&lt;&gt;"NotApplicable",_xlfn.REGEXEXTRACT(N73,"\d+(?=p)"),"NotApplicable")</f>
        <v>NotApplicable</v>
      </c>
      <c r="P73" s="2" t="s">
        <v>1840</v>
      </c>
      <c r="Q73" s="2" t="s">
        <v>1840</v>
      </c>
      <c r="R73" s="2" t="s">
        <v>1840</v>
      </c>
      <c r="S73" s="24" t="b">
        <f t="shared" si="3"/>
        <v>0</v>
      </c>
    </row>
    <row r="74" spans="1:19" ht="30" x14ac:dyDescent="0.25">
      <c r="A74" s="2" t="str">
        <f t="shared" si="2"/>
        <v>Done</v>
      </c>
      <c r="B74" s="2" t="s">
        <v>155</v>
      </c>
      <c r="C74" s="2">
        <v>0</v>
      </c>
      <c r="D74" s="2" t="s">
        <v>491</v>
      </c>
      <c r="E74" s="2" t="s">
        <v>196</v>
      </c>
      <c r="F74" s="2" t="s">
        <v>177</v>
      </c>
      <c r="G74" s="2" t="s">
        <v>391</v>
      </c>
      <c r="H74" s="2" t="s">
        <v>422</v>
      </c>
      <c r="I74" s="2" t="s">
        <v>73</v>
      </c>
      <c r="J74" s="2">
        <v>6</v>
      </c>
      <c r="K74" s="2" t="s">
        <v>263</v>
      </c>
      <c r="L74" s="2" t="str" cm="1">
        <f t="array" ref="L74">_xlfn.REGEXEXTRACT(B74,"(?&lt;=//)[^/]+")</f>
        <v>pornxp.com</v>
      </c>
      <c r="M74" s="2" t="s">
        <v>747</v>
      </c>
      <c r="N74" s="2" t="s">
        <v>1840</v>
      </c>
      <c r="O74" s="2" t="str" cm="1">
        <f t="array" ref="O74">IF(N74&lt;&gt;"NotApplicable",_xlfn.REGEXEXTRACT(N74,"\d+(?=p)"),"NotApplicable")</f>
        <v>NotApplicable</v>
      </c>
      <c r="P74" s="2" t="s">
        <v>1840</v>
      </c>
      <c r="Q74" s="2" t="s">
        <v>1840</v>
      </c>
      <c r="R74" s="2" t="s">
        <v>1840</v>
      </c>
      <c r="S74" s="24" t="b">
        <f t="shared" si="3"/>
        <v>0</v>
      </c>
    </row>
    <row r="75" spans="1:19" ht="60" x14ac:dyDescent="0.25">
      <c r="A75" s="2" t="str">
        <f t="shared" si="2"/>
        <v>Done</v>
      </c>
      <c r="B75" s="2" t="s">
        <v>811</v>
      </c>
      <c r="C75" s="2">
        <v>39</v>
      </c>
      <c r="D75" s="2" t="s">
        <v>921</v>
      </c>
      <c r="E75" s="2" t="s">
        <v>812</v>
      </c>
      <c r="F75" s="2" t="s">
        <v>79</v>
      </c>
      <c r="G75" s="2" t="s">
        <v>867</v>
      </c>
      <c r="H75" s="2" t="s">
        <v>852</v>
      </c>
      <c r="I75" s="2" t="s">
        <v>73</v>
      </c>
      <c r="J75" s="2">
        <v>6</v>
      </c>
      <c r="K75" s="2" t="s">
        <v>851</v>
      </c>
      <c r="L75" s="2" t="str" cm="1">
        <f t="array" ref="L75">_xlfn.REGEXEXTRACT(B75,"(?&lt;=//)[^/]+")</f>
        <v>www.eporner.com</v>
      </c>
      <c r="M75" s="2" t="s">
        <v>747</v>
      </c>
      <c r="N75" s="2" t="s">
        <v>1840</v>
      </c>
      <c r="O75" s="2" t="str" cm="1">
        <f t="array" ref="O75">IF(N75&lt;&gt;"NotApplicable",_xlfn.REGEXEXTRACT(N75,"\d+(?=p)"),"NotApplicable")</f>
        <v>NotApplicable</v>
      </c>
      <c r="P75" s="2" t="s">
        <v>1840</v>
      </c>
      <c r="Q75" s="2" t="s">
        <v>1840</v>
      </c>
      <c r="R75" s="2" t="s">
        <v>1840</v>
      </c>
      <c r="S75" s="24" t="b">
        <f t="shared" si="3"/>
        <v>0</v>
      </c>
    </row>
    <row r="76" spans="1:19" ht="60" x14ac:dyDescent="0.25">
      <c r="A76" s="2" t="str">
        <f t="shared" si="2"/>
        <v>Done</v>
      </c>
      <c r="B76" s="2" t="s">
        <v>93</v>
      </c>
      <c r="C76" s="2">
        <v>83</v>
      </c>
      <c r="D76" s="2" t="s">
        <v>912</v>
      </c>
      <c r="E76" s="2" t="s">
        <v>214</v>
      </c>
      <c r="F76" s="2" t="s">
        <v>79</v>
      </c>
      <c r="G76" s="2" t="s">
        <v>632</v>
      </c>
      <c r="H76" s="2" t="s">
        <v>648</v>
      </c>
      <c r="I76" s="2" t="s">
        <v>73</v>
      </c>
      <c r="J76" s="2">
        <v>6</v>
      </c>
      <c r="K76" s="2" t="s">
        <v>116</v>
      </c>
      <c r="L76" s="2" t="str" cm="1">
        <f t="array" ref="L76">_xlfn.REGEXEXTRACT(B76,"(?&lt;=//)[^/]+")</f>
        <v>www.pornhits.com</v>
      </c>
      <c r="M76" s="2" t="s">
        <v>747</v>
      </c>
      <c r="N76" s="2" t="s">
        <v>1840</v>
      </c>
      <c r="O76" s="2" t="str" cm="1">
        <f t="array" ref="O76">IF(N76&lt;&gt;"NotApplicable",_xlfn.REGEXEXTRACT(N76,"\d+(?=p)"),"NotApplicable")</f>
        <v>NotApplicable</v>
      </c>
      <c r="P76" s="2" t="s">
        <v>1840</v>
      </c>
      <c r="Q76" s="2" t="s">
        <v>1840</v>
      </c>
      <c r="R76" s="2" t="s">
        <v>1840</v>
      </c>
      <c r="S76" s="24" t="b">
        <f t="shared" si="3"/>
        <v>0</v>
      </c>
    </row>
    <row r="77" spans="1:19" ht="45" x14ac:dyDescent="0.25">
      <c r="A77" s="2" t="str">
        <f t="shared" si="2"/>
        <v>Done</v>
      </c>
      <c r="B77" s="2" t="s">
        <v>468</v>
      </c>
      <c r="C77" s="2">
        <v>58</v>
      </c>
      <c r="D77" s="2" t="s">
        <v>920</v>
      </c>
      <c r="E77" s="2" t="s">
        <v>473</v>
      </c>
      <c r="F77" s="2" t="s">
        <v>91</v>
      </c>
      <c r="G77" s="2" t="s">
        <v>587</v>
      </c>
      <c r="H77" s="2" t="s">
        <v>485</v>
      </c>
      <c r="I77" s="2" t="s">
        <v>73</v>
      </c>
      <c r="J77" s="2">
        <v>6</v>
      </c>
      <c r="K77" s="2" t="s">
        <v>591</v>
      </c>
      <c r="L77" s="2" t="str" cm="1">
        <f t="array" ref="L77">_xlfn.REGEXEXTRACT(B77,"(?&lt;=//)[^/]+")</f>
        <v>www.pornhits.com</v>
      </c>
      <c r="M77" s="2" t="s">
        <v>747</v>
      </c>
      <c r="N77" s="2" t="s">
        <v>1840</v>
      </c>
      <c r="O77" s="2" t="str" cm="1">
        <f t="array" ref="O77">IF(N77&lt;&gt;"NotApplicable",_xlfn.REGEXEXTRACT(N77,"\d+(?=p)"),"NotApplicable")</f>
        <v>NotApplicable</v>
      </c>
      <c r="P77" s="2" t="s">
        <v>1840</v>
      </c>
      <c r="Q77" s="2" t="s">
        <v>1840</v>
      </c>
      <c r="R77" s="2" t="s">
        <v>1840</v>
      </c>
      <c r="S77" s="24" t="b">
        <f t="shared" si="3"/>
        <v>0</v>
      </c>
    </row>
    <row r="78" spans="1:19" ht="45" x14ac:dyDescent="0.25">
      <c r="A78" s="2" t="str">
        <f t="shared" si="2"/>
        <v>Done</v>
      </c>
      <c r="B78" s="2" t="s">
        <v>471</v>
      </c>
      <c r="C78" s="2">
        <v>64</v>
      </c>
      <c r="D78" s="2" t="s">
        <v>920</v>
      </c>
      <c r="E78" s="2" t="s">
        <v>477</v>
      </c>
      <c r="F78" s="2" t="s">
        <v>91</v>
      </c>
      <c r="G78" s="2" t="s">
        <v>576</v>
      </c>
      <c r="H78" s="2" t="s">
        <v>645</v>
      </c>
      <c r="I78" s="2" t="s">
        <v>73</v>
      </c>
      <c r="J78" s="2">
        <v>6</v>
      </c>
      <c r="K78" s="2" t="s">
        <v>516</v>
      </c>
      <c r="L78" s="2" t="str" cm="1">
        <f t="array" ref="L78">_xlfn.REGEXEXTRACT(B78,"(?&lt;=//)[^/]+")</f>
        <v>www.pornhits.com</v>
      </c>
      <c r="M78" s="2" t="s">
        <v>747</v>
      </c>
      <c r="N78" s="2" t="s">
        <v>1840</v>
      </c>
      <c r="O78" s="2" t="str" cm="1">
        <f t="array" ref="O78">IF(N78&lt;&gt;"NotApplicable",_xlfn.REGEXEXTRACT(N78,"\d+(?=p)"),"NotApplicable")</f>
        <v>NotApplicable</v>
      </c>
      <c r="P78" s="2" t="s">
        <v>1840</v>
      </c>
      <c r="Q78" s="2" t="s">
        <v>1840</v>
      </c>
      <c r="R78" s="2" t="s">
        <v>1840</v>
      </c>
      <c r="S78" s="24" t="b">
        <f t="shared" si="3"/>
        <v>0</v>
      </c>
    </row>
    <row r="79" spans="1:19" ht="30" x14ac:dyDescent="0.25">
      <c r="A79" s="2" t="str">
        <f t="shared" si="2"/>
        <v>Done</v>
      </c>
      <c r="B79" s="2" t="s">
        <v>159</v>
      </c>
      <c r="C79" s="2">
        <v>23</v>
      </c>
      <c r="D79" s="2" t="s">
        <v>104</v>
      </c>
      <c r="E79" s="2" t="s">
        <v>384</v>
      </c>
      <c r="F79" s="2" t="s">
        <v>80</v>
      </c>
      <c r="G79" s="2" t="s">
        <v>1800</v>
      </c>
      <c r="H79" s="2" t="s">
        <v>89</v>
      </c>
      <c r="I79" s="2" t="s">
        <v>73</v>
      </c>
      <c r="J79" s="2">
        <v>6</v>
      </c>
      <c r="K79" s="2" t="s">
        <v>174</v>
      </c>
      <c r="L79" s="2" t="str" cm="1">
        <f t="array" ref="L79">_xlfn.REGEXEXTRACT(B79,"(?&lt;=//)[^/]+")</f>
        <v>heavyfetish.com</v>
      </c>
      <c r="M79" s="2" t="s">
        <v>747</v>
      </c>
      <c r="N79" s="2" t="s">
        <v>1840</v>
      </c>
      <c r="O79" s="2" t="str" cm="1">
        <f t="array" ref="O79">IF(N79&lt;&gt;"NotApplicable",_xlfn.REGEXEXTRACT(N79,"\d+(?=p)"),"NotApplicable")</f>
        <v>NotApplicable</v>
      </c>
      <c r="P79" s="2" t="s">
        <v>1840</v>
      </c>
      <c r="Q79" s="2" t="s">
        <v>1840</v>
      </c>
      <c r="R79" s="2" t="s">
        <v>1840</v>
      </c>
      <c r="S79" s="24" t="b">
        <f t="shared" si="3"/>
        <v>1</v>
      </c>
    </row>
    <row r="80" spans="1:19" ht="45" x14ac:dyDescent="0.25">
      <c r="A80" s="2" t="str">
        <f t="shared" si="2"/>
        <v>Done</v>
      </c>
      <c r="B80" s="2" t="s">
        <v>1587</v>
      </c>
      <c r="C80" s="2">
        <v>11</v>
      </c>
      <c r="D80" s="2" t="s">
        <v>169</v>
      </c>
      <c r="E80" s="2" t="s">
        <v>1583</v>
      </c>
      <c r="F80" s="2" t="s">
        <v>79</v>
      </c>
      <c r="G80" s="2" t="s">
        <v>1602</v>
      </c>
      <c r="H80" s="2" t="s">
        <v>1599</v>
      </c>
      <c r="I80" s="2" t="s">
        <v>73</v>
      </c>
      <c r="J80" s="2">
        <v>6</v>
      </c>
      <c r="K80" s="2" t="s">
        <v>1598</v>
      </c>
      <c r="L80" s="2" t="str" cm="1">
        <f t="array" ref="L80">_xlfn.REGEXEXTRACT(B80,"(?&lt;=//)[^/]+")</f>
        <v>www.porntrex.com</v>
      </c>
      <c r="M80" s="2" t="s">
        <v>746</v>
      </c>
      <c r="N80" s="2" t="s">
        <v>1584</v>
      </c>
      <c r="O80" s="2" t="str" cm="1">
        <f t="array" ref="O80">IF(N80&lt;&gt;"NotApplicable",_xlfn.REGEXEXTRACT(N80,"\d+(?=p)"),"NotApplicable")</f>
        <v>1080</v>
      </c>
      <c r="P80" s="2" t="s">
        <v>1585</v>
      </c>
      <c r="Q80" s="2" t="s">
        <v>1592</v>
      </c>
      <c r="R80" s="2" t="s">
        <v>1590</v>
      </c>
      <c r="S80" s="24" t="b">
        <f t="shared" si="3"/>
        <v>0</v>
      </c>
    </row>
    <row r="81" spans="1:19" ht="30" x14ac:dyDescent="0.25">
      <c r="A81" s="2" t="str">
        <f t="shared" si="2"/>
        <v>Done</v>
      </c>
      <c r="B81" s="2" t="s">
        <v>337</v>
      </c>
      <c r="C81" s="2">
        <v>51</v>
      </c>
      <c r="D81" s="2" t="s">
        <v>911</v>
      </c>
      <c r="E81" s="2" t="s">
        <v>217</v>
      </c>
      <c r="F81" s="2" t="s">
        <v>91</v>
      </c>
      <c r="G81" s="2" t="s">
        <v>527</v>
      </c>
      <c r="H81" s="2" t="s">
        <v>687</v>
      </c>
      <c r="I81" s="2" t="s">
        <v>73</v>
      </c>
      <c r="J81" s="2">
        <v>6</v>
      </c>
      <c r="K81" s="2" t="s">
        <v>707</v>
      </c>
      <c r="L81" s="2" t="str" cm="1">
        <f t="array" ref="L81">_xlfn.REGEXEXTRACT(B81,"(?&lt;=//)[^/]+")</f>
        <v>www.porntry.com</v>
      </c>
      <c r="M81" s="2" t="s">
        <v>747</v>
      </c>
      <c r="N81" s="2" t="s">
        <v>1840</v>
      </c>
      <c r="O81" s="2" t="str" cm="1">
        <f t="array" ref="O81">IF(N81&lt;&gt;"NotApplicable",_xlfn.REGEXEXTRACT(N81,"\d+(?=p)"),"NotApplicable")</f>
        <v>NotApplicable</v>
      </c>
      <c r="P81" s="2" t="s">
        <v>1840</v>
      </c>
      <c r="Q81" s="2" t="s">
        <v>1840</v>
      </c>
      <c r="R81" s="2" t="s">
        <v>1840</v>
      </c>
      <c r="S81" s="24" t="b">
        <f t="shared" si="3"/>
        <v>0</v>
      </c>
    </row>
    <row r="82" spans="1:19" ht="45" x14ac:dyDescent="0.25">
      <c r="A82" s="2" t="str">
        <f t="shared" si="2"/>
        <v>Done</v>
      </c>
      <c r="B82" s="2" t="s">
        <v>472</v>
      </c>
      <c r="C82" s="2">
        <v>0</v>
      </c>
      <c r="D82" s="2" t="s">
        <v>920</v>
      </c>
      <c r="E82" s="2" t="s">
        <v>1839</v>
      </c>
      <c r="F82" s="2" t="s">
        <v>91</v>
      </c>
      <c r="G82" s="2" t="s">
        <v>575</v>
      </c>
      <c r="H82" s="2" t="s">
        <v>481</v>
      </c>
      <c r="I82" s="2" t="s">
        <v>73</v>
      </c>
      <c r="J82" s="2">
        <v>6</v>
      </c>
      <c r="K82" s="2" t="s">
        <v>483</v>
      </c>
      <c r="L82" s="2" t="str" cm="1">
        <f t="array" ref="L82">_xlfn.REGEXEXTRACT(B82,"(?&lt;=//)[^/]+")</f>
        <v>www.pornhits.com</v>
      </c>
      <c r="M82" s="2" t="s">
        <v>747</v>
      </c>
      <c r="N82" s="2" t="s">
        <v>1840</v>
      </c>
      <c r="O82" s="2" t="str" cm="1">
        <f t="array" ref="O82">IF(N82&lt;&gt;"NotApplicable",_xlfn.REGEXEXTRACT(N82,"\d+(?=p)"),"NotApplicable")</f>
        <v>NotApplicable</v>
      </c>
      <c r="P82" s="2" t="s">
        <v>1840</v>
      </c>
      <c r="Q82" s="2" t="s">
        <v>1840</v>
      </c>
      <c r="R82" s="2" t="s">
        <v>1840</v>
      </c>
      <c r="S82" s="24" t="b">
        <f t="shared" si="3"/>
        <v>0</v>
      </c>
    </row>
    <row r="83" spans="1:19" ht="45" x14ac:dyDescent="0.25">
      <c r="A83" s="2" t="str">
        <f t="shared" si="2"/>
        <v>Done</v>
      </c>
      <c r="B83" s="2" t="s">
        <v>480</v>
      </c>
      <c r="C83" s="2">
        <v>0</v>
      </c>
      <c r="D83" s="2" t="s">
        <v>920</v>
      </c>
      <c r="E83" s="2" t="s">
        <v>1839</v>
      </c>
      <c r="F83" s="2" t="s">
        <v>91</v>
      </c>
      <c r="G83" s="2" t="s">
        <v>579</v>
      </c>
      <c r="H83" s="2" t="s">
        <v>481</v>
      </c>
      <c r="I83" s="2" t="s">
        <v>73</v>
      </c>
      <c r="J83" s="2">
        <v>6</v>
      </c>
      <c r="K83" s="2" t="s">
        <v>482</v>
      </c>
      <c r="L83" s="2" t="str" cm="1">
        <f t="array" ref="L83">_xlfn.REGEXEXTRACT(B83,"(?&lt;=//)[^/]+")</f>
        <v>www.pornhits.com</v>
      </c>
      <c r="M83" s="2" t="s">
        <v>747</v>
      </c>
      <c r="N83" s="2" t="s">
        <v>1840</v>
      </c>
      <c r="O83" s="2" t="str" cm="1">
        <f t="array" ref="O83">IF(N83&lt;&gt;"NotApplicable",_xlfn.REGEXEXTRACT(N83,"\d+(?=p)"),"NotApplicable")</f>
        <v>NotApplicable</v>
      </c>
      <c r="P83" s="2" t="s">
        <v>1840</v>
      </c>
      <c r="Q83" s="2" t="s">
        <v>1840</v>
      </c>
      <c r="R83" s="2" t="s">
        <v>1840</v>
      </c>
      <c r="S83" s="24" t="b">
        <f t="shared" si="3"/>
        <v>0</v>
      </c>
    </row>
    <row r="84" spans="1:19" ht="30" x14ac:dyDescent="0.25">
      <c r="A84" s="2" t="str">
        <f t="shared" si="2"/>
        <v>Done</v>
      </c>
      <c r="B84" s="2" t="s">
        <v>334</v>
      </c>
      <c r="C84" s="2">
        <v>0</v>
      </c>
      <c r="D84" s="2" t="s">
        <v>911</v>
      </c>
      <c r="E84" s="2" t="s">
        <v>1839</v>
      </c>
      <c r="F84" s="2" t="s">
        <v>79</v>
      </c>
      <c r="G84" s="2" t="s">
        <v>511</v>
      </c>
      <c r="H84" s="2" t="s">
        <v>672</v>
      </c>
      <c r="I84" s="2" t="s">
        <v>73</v>
      </c>
      <c r="J84" s="2">
        <v>6</v>
      </c>
      <c r="K84" s="2" t="s">
        <v>335</v>
      </c>
      <c r="L84" s="2" t="str" cm="1">
        <f t="array" ref="L84">_xlfn.REGEXEXTRACT(B84,"(?&lt;=//)[^/]+")</f>
        <v>www.porntry.com</v>
      </c>
      <c r="M84" s="2" t="s">
        <v>747</v>
      </c>
      <c r="N84" s="2" t="s">
        <v>1840</v>
      </c>
      <c r="O84" s="2" t="str" cm="1">
        <f t="array" ref="O84">IF(N84&lt;&gt;"NotApplicable",_xlfn.REGEXEXTRACT(N84,"\d+(?=p)"),"NotApplicable")</f>
        <v>NotApplicable</v>
      </c>
      <c r="P84" s="2" t="s">
        <v>1840</v>
      </c>
      <c r="Q84" s="2" t="s">
        <v>1840</v>
      </c>
      <c r="R84" s="2" t="s">
        <v>1840</v>
      </c>
      <c r="S84" s="24" t="b">
        <f t="shared" si="3"/>
        <v>0</v>
      </c>
    </row>
    <row r="85" spans="1:19" ht="30" x14ac:dyDescent="0.25">
      <c r="A85" s="2" t="str">
        <f t="shared" si="2"/>
        <v>Done</v>
      </c>
      <c r="B85" s="2" t="s">
        <v>285</v>
      </c>
      <c r="C85" s="2">
        <v>0</v>
      </c>
      <c r="D85" s="2" t="s">
        <v>910</v>
      </c>
      <c r="E85" s="2" t="s">
        <v>1839</v>
      </c>
      <c r="F85" s="2" t="s">
        <v>79</v>
      </c>
      <c r="G85" s="2" t="s">
        <v>392</v>
      </c>
      <c r="H85" s="2" t="s">
        <v>768</v>
      </c>
      <c r="I85" s="2" t="s">
        <v>73</v>
      </c>
      <c r="J85" s="2">
        <v>6</v>
      </c>
      <c r="K85" s="2" t="s">
        <v>287</v>
      </c>
      <c r="L85" s="2" t="str" cm="1">
        <f t="array" ref="L85">_xlfn.REGEXEXTRACT(B85,"(?&lt;=//)[^/]+")</f>
        <v>www.txxx.porn</v>
      </c>
      <c r="M85" s="2" t="s">
        <v>747</v>
      </c>
      <c r="N85" s="2" t="s">
        <v>1840</v>
      </c>
      <c r="O85" s="2" t="str" cm="1">
        <f t="array" ref="O85">IF(N85&lt;&gt;"NotApplicable",_xlfn.REGEXEXTRACT(N85,"\d+(?=p)"),"NotApplicable")</f>
        <v>NotApplicable</v>
      </c>
      <c r="P85" s="2" t="s">
        <v>1840</v>
      </c>
      <c r="Q85" s="2" t="s">
        <v>1840</v>
      </c>
      <c r="R85" s="2" t="s">
        <v>1840</v>
      </c>
      <c r="S85" s="24" t="b">
        <f t="shared" si="3"/>
        <v>0</v>
      </c>
    </row>
    <row r="86" spans="1:19" ht="30" x14ac:dyDescent="0.25">
      <c r="A86" s="2" t="str">
        <f t="shared" si="2"/>
        <v>Done</v>
      </c>
      <c r="B86" s="2" t="s">
        <v>283</v>
      </c>
      <c r="C86" s="2">
        <v>0</v>
      </c>
      <c r="D86" s="2" t="s">
        <v>911</v>
      </c>
      <c r="E86" s="2" t="s">
        <v>1839</v>
      </c>
      <c r="F86" s="2" t="s">
        <v>91</v>
      </c>
      <c r="G86" s="2" t="s">
        <v>578</v>
      </c>
      <c r="H86" s="2" t="s">
        <v>662</v>
      </c>
      <c r="I86" s="2" t="s">
        <v>73</v>
      </c>
      <c r="J86" s="2">
        <v>6</v>
      </c>
      <c r="K86" s="2" t="s">
        <v>284</v>
      </c>
      <c r="L86" s="2" t="str" cm="1">
        <f t="array" ref="L86">_xlfn.REGEXEXTRACT(B86,"(?&lt;=//)[^/]+")</f>
        <v>www.txxx.porn</v>
      </c>
      <c r="M86" s="2" t="s">
        <v>747</v>
      </c>
      <c r="N86" s="2" t="s">
        <v>1840</v>
      </c>
      <c r="O86" s="2" t="str" cm="1">
        <f t="array" ref="O86">IF(N86&lt;&gt;"NotApplicable",_xlfn.REGEXEXTRACT(N86,"\d+(?=p)"),"NotApplicable")</f>
        <v>NotApplicable</v>
      </c>
      <c r="P86" s="2" t="s">
        <v>1840</v>
      </c>
      <c r="Q86" s="2" t="s">
        <v>1840</v>
      </c>
      <c r="R86" s="2" t="s">
        <v>1840</v>
      </c>
      <c r="S86" s="24" t="b">
        <f t="shared" si="3"/>
        <v>0</v>
      </c>
    </row>
    <row r="87" spans="1:19" ht="30" x14ac:dyDescent="0.25">
      <c r="A87" s="2" t="str">
        <f t="shared" si="2"/>
        <v>Done</v>
      </c>
      <c r="B87" s="2" t="s">
        <v>763</v>
      </c>
      <c r="C87" s="2">
        <v>34</v>
      </c>
      <c r="D87" s="2" t="s">
        <v>785</v>
      </c>
      <c r="E87" s="2" t="s">
        <v>1838</v>
      </c>
      <c r="F87" s="2" t="s">
        <v>91</v>
      </c>
      <c r="G87" s="2" t="s">
        <v>786</v>
      </c>
      <c r="H87" s="2" t="s">
        <v>670</v>
      </c>
      <c r="I87" s="2" t="s">
        <v>73</v>
      </c>
      <c r="J87" s="2">
        <v>6</v>
      </c>
      <c r="K87" s="2" t="s">
        <v>787</v>
      </c>
      <c r="L87" s="2" t="str" cm="1">
        <f t="array" ref="L87">_xlfn.REGEXEXTRACT(B87,"(?&lt;=//)[^/]+")</f>
        <v>www.xozilla.xxx</v>
      </c>
      <c r="M87" s="2" t="s">
        <v>747</v>
      </c>
      <c r="N87" s="2" t="s">
        <v>1840</v>
      </c>
      <c r="O87" s="2" t="str" cm="1">
        <f t="array" ref="O87">IF(N87&lt;&gt;"NotApplicable",_xlfn.REGEXEXTRACT(N87,"\d+(?=p)"),"NotApplicable")</f>
        <v>NotApplicable</v>
      </c>
      <c r="P87" s="2" t="s">
        <v>1840</v>
      </c>
      <c r="Q87" s="2" t="s">
        <v>1840</v>
      </c>
      <c r="R87" s="2" t="s">
        <v>1840</v>
      </c>
      <c r="S87" s="24" t="b">
        <f t="shared" si="3"/>
        <v>0</v>
      </c>
    </row>
    <row r="88" spans="1:19" ht="30" x14ac:dyDescent="0.25">
      <c r="A88" s="2" t="str">
        <f t="shared" si="2"/>
        <v>Done</v>
      </c>
      <c r="B88" s="2" t="s">
        <v>708</v>
      </c>
      <c r="C88" s="2">
        <v>0</v>
      </c>
      <c r="D88" s="2" t="s">
        <v>1837</v>
      </c>
      <c r="E88" s="2" t="s">
        <v>1839</v>
      </c>
      <c r="F88" s="2" t="s">
        <v>91</v>
      </c>
      <c r="G88" s="2" t="s">
        <v>501</v>
      </c>
      <c r="H88" s="2" t="s">
        <v>423</v>
      </c>
      <c r="I88" s="2" t="s">
        <v>73</v>
      </c>
      <c r="J88" s="2">
        <v>6</v>
      </c>
      <c r="K88" s="2" t="s">
        <v>314</v>
      </c>
      <c r="L88" s="2" t="str" cm="1">
        <f t="array" ref="L88">_xlfn.REGEXEXTRACT(B88,"(?&lt;=//)[^/]+")</f>
        <v>beeg.com</v>
      </c>
      <c r="M88" s="2" t="s">
        <v>747</v>
      </c>
      <c r="N88" s="2" t="s">
        <v>1840</v>
      </c>
      <c r="O88" s="2" t="str" cm="1">
        <f t="array" ref="O88">IF(N88&lt;&gt;"NotApplicable",_xlfn.REGEXEXTRACT(N88,"\d+(?=p)"),"NotApplicable")</f>
        <v>NotApplicable</v>
      </c>
      <c r="P88" s="2" t="s">
        <v>1840</v>
      </c>
      <c r="Q88" s="2" t="s">
        <v>1840</v>
      </c>
      <c r="R88" s="2" t="s">
        <v>1840</v>
      </c>
      <c r="S88" s="24" t="b">
        <f t="shared" si="3"/>
        <v>0</v>
      </c>
    </row>
    <row r="89" spans="1:19" ht="30" x14ac:dyDescent="0.25">
      <c r="A89" s="2" t="str">
        <f t="shared" si="2"/>
        <v>Done</v>
      </c>
      <c r="B89" s="2" t="s">
        <v>300</v>
      </c>
      <c r="C89" s="2">
        <v>0</v>
      </c>
      <c r="D89" s="2" t="s">
        <v>1837</v>
      </c>
      <c r="E89" s="2" t="s">
        <v>1839</v>
      </c>
      <c r="F89" s="2" t="s">
        <v>91</v>
      </c>
      <c r="G89" s="2" t="s">
        <v>393</v>
      </c>
      <c r="H89" s="2" t="s">
        <v>666</v>
      </c>
      <c r="I89" s="2" t="s">
        <v>73</v>
      </c>
      <c r="J89" s="2">
        <v>6</v>
      </c>
      <c r="K89" s="2" t="s">
        <v>319</v>
      </c>
      <c r="L89" s="2" t="str" cm="1">
        <f t="array" ref="L89">_xlfn.REGEXEXTRACT(B89,"(?&lt;=//)[^/]+")</f>
        <v>www.fuq.com</v>
      </c>
      <c r="M89" s="2" t="s">
        <v>747</v>
      </c>
      <c r="N89" s="2" t="s">
        <v>1840</v>
      </c>
      <c r="O89" s="2" t="str" cm="1">
        <f t="array" ref="O89">IF(N89&lt;&gt;"NotApplicable",_xlfn.REGEXEXTRACT(N89,"\d+(?=p)"),"NotApplicable")</f>
        <v>NotApplicable</v>
      </c>
      <c r="P89" s="2" t="s">
        <v>1840</v>
      </c>
      <c r="Q89" s="2" t="s">
        <v>1840</v>
      </c>
      <c r="R89" s="2" t="s">
        <v>1840</v>
      </c>
      <c r="S89" s="24" t="b">
        <f t="shared" si="3"/>
        <v>0</v>
      </c>
    </row>
    <row r="90" spans="1:19" ht="30" x14ac:dyDescent="0.25">
      <c r="A90" s="2" t="str">
        <f t="shared" si="2"/>
        <v>Done</v>
      </c>
      <c r="B90" s="2" t="s">
        <v>298</v>
      </c>
      <c r="C90" s="2">
        <v>0</v>
      </c>
      <c r="D90" s="2" t="s">
        <v>1837</v>
      </c>
      <c r="E90" s="2" t="s">
        <v>1839</v>
      </c>
      <c r="F90" s="2" t="s">
        <v>91</v>
      </c>
      <c r="G90" s="2" t="s">
        <v>498</v>
      </c>
      <c r="H90" s="2" t="s">
        <v>766</v>
      </c>
      <c r="I90" s="2" t="s">
        <v>73</v>
      </c>
      <c r="J90" s="2">
        <v>6</v>
      </c>
      <c r="K90" s="2" t="s">
        <v>317</v>
      </c>
      <c r="L90" s="2" t="str" cm="1">
        <f t="array" ref="L90">_xlfn.REGEXEXTRACT(B90,"(?&lt;=//)[^/]+")</f>
        <v>www.fuq.com</v>
      </c>
      <c r="M90" s="2" t="s">
        <v>747</v>
      </c>
      <c r="N90" s="2" t="s">
        <v>1840</v>
      </c>
      <c r="O90" s="2" t="str" cm="1">
        <f t="array" ref="O90">IF(N90&lt;&gt;"NotApplicable",_xlfn.REGEXEXTRACT(N90,"\d+(?=p)"),"NotApplicable")</f>
        <v>NotApplicable</v>
      </c>
      <c r="P90" s="2" t="s">
        <v>1840</v>
      </c>
      <c r="Q90" s="2" t="s">
        <v>1840</v>
      </c>
      <c r="R90" s="2" t="s">
        <v>1840</v>
      </c>
      <c r="S90" s="24" t="b">
        <f t="shared" si="3"/>
        <v>0</v>
      </c>
    </row>
    <row r="91" spans="1:19" ht="30" x14ac:dyDescent="0.25">
      <c r="A91" s="2" t="str">
        <f t="shared" si="2"/>
        <v>Done</v>
      </c>
      <c r="B91" s="2" t="s">
        <v>709</v>
      </c>
      <c r="C91" s="2">
        <v>0</v>
      </c>
      <c r="D91" s="2" t="s">
        <v>1837</v>
      </c>
      <c r="E91" s="2" t="s">
        <v>1839</v>
      </c>
      <c r="F91" s="2" t="s">
        <v>91</v>
      </c>
      <c r="G91" s="2" t="s">
        <v>580</v>
      </c>
      <c r="H91" s="2" t="s">
        <v>424</v>
      </c>
      <c r="I91" s="2" t="s">
        <v>73</v>
      </c>
      <c r="J91" s="2">
        <v>6</v>
      </c>
      <c r="K91" s="2" t="s">
        <v>506</v>
      </c>
      <c r="L91" s="2" t="str" cm="1">
        <f t="array" ref="L91">_xlfn.REGEXEXTRACT(B91,"(?&lt;=//)[^/]+")</f>
        <v>www.fuq.com</v>
      </c>
      <c r="M91" s="2" t="s">
        <v>747</v>
      </c>
      <c r="N91" s="2" t="s">
        <v>1840</v>
      </c>
      <c r="O91" s="2" t="str" cm="1">
        <f t="array" ref="O91">IF(N91&lt;&gt;"NotApplicable",_xlfn.REGEXEXTRACT(N91,"\d+(?=p)"),"NotApplicable")</f>
        <v>NotApplicable</v>
      </c>
      <c r="P91" s="2" t="s">
        <v>1840</v>
      </c>
      <c r="Q91" s="2" t="s">
        <v>1840</v>
      </c>
      <c r="R91" s="2" t="s">
        <v>1840</v>
      </c>
      <c r="S91" s="24" t="b">
        <f t="shared" si="3"/>
        <v>0</v>
      </c>
    </row>
    <row r="92" spans="1:19" ht="30" x14ac:dyDescent="0.25">
      <c r="A92" s="2" t="str">
        <f t="shared" si="2"/>
        <v>Done</v>
      </c>
      <c r="B92" s="2" t="s">
        <v>345</v>
      </c>
      <c r="C92" s="2">
        <v>0</v>
      </c>
      <c r="D92" s="2" t="s">
        <v>1837</v>
      </c>
      <c r="E92" s="2" t="s">
        <v>1839</v>
      </c>
      <c r="F92" s="2" t="s">
        <v>79</v>
      </c>
      <c r="G92" s="2" t="s">
        <v>585</v>
      </c>
      <c r="H92" s="2" t="s">
        <v>652</v>
      </c>
      <c r="I92" s="2" t="s">
        <v>73</v>
      </c>
      <c r="J92" s="2">
        <v>6</v>
      </c>
      <c r="K92" s="2" t="s">
        <v>460</v>
      </c>
      <c r="L92" s="2" t="str" cm="1">
        <f t="array" ref="L92">_xlfn.REGEXEXTRACT(B92,"(?&lt;=//)[^/]+")</f>
        <v>www.tubebdsm.com</v>
      </c>
      <c r="M92" s="2" t="s">
        <v>747</v>
      </c>
      <c r="N92" s="2" t="s">
        <v>1840</v>
      </c>
      <c r="O92" s="2" t="str" cm="1">
        <f t="array" ref="O92">IF(N92&lt;&gt;"NotApplicable",_xlfn.REGEXEXTRACT(N92,"\d+(?=p)"),"NotApplicable")</f>
        <v>NotApplicable</v>
      </c>
      <c r="P92" s="2" t="s">
        <v>1840</v>
      </c>
      <c r="Q92" s="2" t="s">
        <v>1840</v>
      </c>
      <c r="R92" s="2" t="s">
        <v>1840</v>
      </c>
      <c r="S92" s="24" t="b">
        <f t="shared" si="3"/>
        <v>0</v>
      </c>
    </row>
    <row r="93" spans="1:19" ht="30" x14ac:dyDescent="0.25">
      <c r="A93" s="2" t="str">
        <f t="shared" si="2"/>
        <v>Done</v>
      </c>
      <c r="B93" s="2" t="s">
        <v>350</v>
      </c>
      <c r="C93" s="2">
        <v>0</v>
      </c>
      <c r="D93" s="2" t="s">
        <v>1837</v>
      </c>
      <c r="E93" s="2" t="s">
        <v>1839</v>
      </c>
      <c r="F93" s="2" t="s">
        <v>91</v>
      </c>
      <c r="G93" s="2" t="s">
        <v>1832</v>
      </c>
      <c r="H93" s="2" t="s">
        <v>653</v>
      </c>
      <c r="I93" s="2" t="s">
        <v>73</v>
      </c>
      <c r="J93" s="2">
        <v>6</v>
      </c>
      <c r="K93" s="2" t="s">
        <v>461</v>
      </c>
      <c r="L93" s="2" t="str" cm="1">
        <f t="array" ref="L93">_xlfn.REGEXEXTRACT(B93,"(?&lt;=//)[^/]+")</f>
        <v>www.tubebdsm.com</v>
      </c>
      <c r="M93" s="2" t="s">
        <v>747</v>
      </c>
      <c r="N93" s="2" t="s">
        <v>1840</v>
      </c>
      <c r="O93" s="2" t="str" cm="1">
        <f t="array" ref="O93">IF(N93&lt;&gt;"NotApplicable",_xlfn.REGEXEXTRACT(N93,"\d+(?=p)"),"NotApplicable")</f>
        <v>NotApplicable</v>
      </c>
      <c r="P93" s="2" t="s">
        <v>1840</v>
      </c>
      <c r="Q93" s="2" t="s">
        <v>1840</v>
      </c>
      <c r="R93" s="2" t="s">
        <v>1840</v>
      </c>
      <c r="S93" s="24" t="b">
        <f t="shared" si="3"/>
        <v>0</v>
      </c>
    </row>
    <row r="94" spans="1:19" ht="45" x14ac:dyDescent="0.25">
      <c r="A94" s="2" t="str">
        <f t="shared" si="2"/>
        <v>Done</v>
      </c>
      <c r="B94" s="2" t="s">
        <v>346</v>
      </c>
      <c r="C94" s="2">
        <v>10</v>
      </c>
      <c r="D94" s="2" t="s">
        <v>1836</v>
      </c>
      <c r="E94" s="2" t="s">
        <v>1838</v>
      </c>
      <c r="F94" s="2" t="s">
        <v>79</v>
      </c>
      <c r="G94" s="2" t="s">
        <v>513</v>
      </c>
      <c r="H94" s="2" t="s">
        <v>463</v>
      </c>
      <c r="I94" s="2" t="s">
        <v>73</v>
      </c>
      <c r="J94" s="2">
        <v>6</v>
      </c>
      <c r="K94" s="2" t="s">
        <v>519</v>
      </c>
      <c r="L94" s="2" t="str" cm="1">
        <f t="array" ref="L94">_xlfn.REGEXEXTRACT(B94,"(?&lt;=//)[^/]+")</f>
        <v>abbdsm.com</v>
      </c>
      <c r="M94" s="2" t="s">
        <v>747</v>
      </c>
      <c r="N94" s="2" t="s">
        <v>1840</v>
      </c>
      <c r="O94" s="2" t="str" cm="1">
        <f t="array" ref="O94">IF(N94&lt;&gt;"NotApplicable",_xlfn.REGEXEXTRACT(N94,"\d+(?=p)"),"NotApplicable")</f>
        <v>NotApplicable</v>
      </c>
      <c r="P94" s="2" t="s">
        <v>1840</v>
      </c>
      <c r="Q94" s="2" t="s">
        <v>1840</v>
      </c>
      <c r="R94" s="2" t="s">
        <v>1840</v>
      </c>
      <c r="S94" s="24" t="b">
        <f t="shared" si="3"/>
        <v>0</v>
      </c>
    </row>
    <row r="95" spans="1:19" ht="30" x14ac:dyDescent="0.25">
      <c r="A95" s="2" t="str">
        <f t="shared" si="2"/>
        <v>Done</v>
      </c>
      <c r="B95" s="2" t="s">
        <v>293</v>
      </c>
      <c r="C95" s="2">
        <v>113</v>
      </c>
      <c r="D95" s="2" t="s">
        <v>1836</v>
      </c>
      <c r="E95" s="2" t="s">
        <v>1838</v>
      </c>
      <c r="F95" s="2" t="s">
        <v>91</v>
      </c>
      <c r="G95" s="2" t="s">
        <v>702</v>
      </c>
      <c r="H95" s="2" t="s">
        <v>646</v>
      </c>
      <c r="I95" s="2" t="s">
        <v>280</v>
      </c>
      <c r="J95" s="2">
        <v>6</v>
      </c>
      <c r="K95" s="2" t="s">
        <v>704</v>
      </c>
      <c r="L95" s="2" t="str" cm="1">
        <f t="array" ref="L95">_xlfn.REGEXEXTRACT(B95,"(?&lt;=//)[^/]+")</f>
        <v>abjav.com</v>
      </c>
      <c r="M95" s="2" t="s">
        <v>747</v>
      </c>
      <c r="N95" s="2" t="s">
        <v>1840</v>
      </c>
      <c r="O95" s="2" t="str" cm="1">
        <f t="array" ref="O95">IF(N95&lt;&gt;"NotApplicable",_xlfn.REGEXEXTRACT(N95,"\d+(?=p)"),"NotApplicable")</f>
        <v>NotApplicable</v>
      </c>
      <c r="P95" s="2" t="s">
        <v>1840</v>
      </c>
      <c r="Q95" s="2" t="s">
        <v>1840</v>
      </c>
      <c r="R95" s="2" t="s">
        <v>1840</v>
      </c>
      <c r="S95" s="24" t="b">
        <f t="shared" si="3"/>
        <v>0</v>
      </c>
    </row>
    <row r="96" spans="1:19" ht="30" x14ac:dyDescent="0.25">
      <c r="A96" s="2" t="str">
        <f t="shared" si="2"/>
        <v>Done</v>
      </c>
      <c r="B96" s="2" t="s">
        <v>276</v>
      </c>
      <c r="C96" s="2">
        <v>20</v>
      </c>
      <c r="D96" s="2" t="s">
        <v>1836</v>
      </c>
      <c r="E96" s="2" t="s">
        <v>1838</v>
      </c>
      <c r="F96" s="2" t="s">
        <v>79</v>
      </c>
      <c r="G96" s="2" t="s">
        <v>628</v>
      </c>
      <c r="H96" s="2" t="s">
        <v>688</v>
      </c>
      <c r="I96" s="2" t="s">
        <v>279</v>
      </c>
      <c r="J96" s="2">
        <v>6</v>
      </c>
      <c r="K96" s="2" t="s">
        <v>631</v>
      </c>
      <c r="L96" s="2" t="str" cm="1">
        <f t="array" ref="L96">_xlfn.REGEXEXTRACT(B96,"(?&lt;=//)[^/]+")</f>
        <v>punishworld.com</v>
      </c>
      <c r="M96" s="2" t="s">
        <v>747</v>
      </c>
      <c r="N96" s="2" t="s">
        <v>1840</v>
      </c>
      <c r="O96" s="2" t="str" cm="1">
        <f t="array" ref="O96">IF(N96&lt;&gt;"NotApplicable",_xlfn.REGEXEXTRACT(N96,"\d+(?=p)"),"NotApplicable")</f>
        <v>NotApplicable</v>
      </c>
      <c r="P96" s="2" t="s">
        <v>1840</v>
      </c>
      <c r="Q96" s="2" t="s">
        <v>1840</v>
      </c>
      <c r="R96" s="2" t="s">
        <v>1840</v>
      </c>
      <c r="S96" s="24" t="b">
        <f t="shared" si="3"/>
        <v>0</v>
      </c>
    </row>
    <row r="97" spans="1:19" ht="45" x14ac:dyDescent="0.25">
      <c r="A97" s="2" t="str">
        <f t="shared" si="2"/>
        <v>Done</v>
      </c>
      <c r="B97" s="2" t="s">
        <v>8</v>
      </c>
      <c r="C97" s="2">
        <v>41</v>
      </c>
      <c r="D97" s="2" t="s">
        <v>1836</v>
      </c>
      <c r="E97" s="2" t="s">
        <v>368</v>
      </c>
      <c r="F97" s="2" t="s">
        <v>189</v>
      </c>
      <c r="G97" s="2" t="s">
        <v>1825</v>
      </c>
      <c r="H97" s="2" t="s">
        <v>676</v>
      </c>
      <c r="I97" s="2" t="s">
        <v>73</v>
      </c>
      <c r="J97" s="2">
        <v>5</v>
      </c>
      <c r="K97" s="2" t="s">
        <v>601</v>
      </c>
      <c r="L97" s="2" t="str" cm="1">
        <f t="array" ref="L97">_xlfn.REGEXEXTRACT(B97,"(?&lt;=//)[^/]+")</f>
        <v>spankbang.com</v>
      </c>
      <c r="M97" s="2" t="s">
        <v>747</v>
      </c>
      <c r="N97" s="2" t="s">
        <v>1840</v>
      </c>
      <c r="O97" s="2" t="str" cm="1">
        <f t="array" ref="O97">IF(N97&lt;&gt;"NotApplicable",_xlfn.REGEXEXTRACT(N97,"\d+(?=p)"),"NotApplicable")</f>
        <v>NotApplicable</v>
      </c>
      <c r="P97" s="2" t="s">
        <v>1840</v>
      </c>
      <c r="Q97" s="2" t="s">
        <v>1840</v>
      </c>
      <c r="R97" s="2" t="s">
        <v>1840</v>
      </c>
      <c r="S97" s="24" t="b">
        <f t="shared" si="3"/>
        <v>1</v>
      </c>
    </row>
    <row r="98" spans="1:19" ht="45" x14ac:dyDescent="0.25">
      <c r="A98" s="2" t="str">
        <f t="shared" si="2"/>
        <v>Done</v>
      </c>
      <c r="B98" s="2" t="s">
        <v>793</v>
      </c>
      <c r="C98" s="2">
        <v>28</v>
      </c>
      <c r="D98" s="2" t="s">
        <v>1836</v>
      </c>
      <c r="E98" s="2" t="s">
        <v>190</v>
      </c>
      <c r="F98" s="2" t="s">
        <v>794</v>
      </c>
      <c r="G98" s="2" t="s">
        <v>795</v>
      </c>
      <c r="H98" s="2" t="s">
        <v>89</v>
      </c>
      <c r="I98" s="2" t="s">
        <v>73</v>
      </c>
      <c r="J98" s="2">
        <v>5</v>
      </c>
      <c r="K98" s="2" t="s">
        <v>796</v>
      </c>
      <c r="L98" s="2" t="str" cm="1">
        <f t="array" ref="L98">_xlfn.REGEXEXTRACT(B98,"(?&lt;=//)[^/]+")</f>
        <v>bdsmmansion.com</v>
      </c>
      <c r="M98" s="2" t="s">
        <v>747</v>
      </c>
      <c r="N98" s="2" t="s">
        <v>1840</v>
      </c>
      <c r="O98" s="2" t="str" cm="1">
        <f t="array" ref="O98">IF(N98&lt;&gt;"NotApplicable",_xlfn.REGEXEXTRACT(N98,"\d+(?=p)"),"NotApplicable")</f>
        <v>NotApplicable</v>
      </c>
      <c r="P98" s="2" t="s">
        <v>1840</v>
      </c>
      <c r="Q98" s="2" t="s">
        <v>1840</v>
      </c>
      <c r="R98" s="2" t="s">
        <v>1840</v>
      </c>
      <c r="S98" s="24" t="b">
        <f t="shared" si="3"/>
        <v>0</v>
      </c>
    </row>
    <row r="99" spans="1:19" ht="60" x14ac:dyDescent="0.25">
      <c r="A99" s="2" t="str">
        <f t="shared" si="2"/>
        <v>Done</v>
      </c>
      <c r="B99" s="2" t="s">
        <v>32</v>
      </c>
      <c r="C99" s="2">
        <v>116</v>
      </c>
      <c r="D99" s="2" t="s">
        <v>1836</v>
      </c>
      <c r="E99" s="2" t="s">
        <v>277</v>
      </c>
      <c r="F99" s="2" t="s">
        <v>79</v>
      </c>
      <c r="G99" s="2" t="s">
        <v>508</v>
      </c>
      <c r="H99" s="2" t="s">
        <v>770</v>
      </c>
      <c r="I99" s="2" t="s">
        <v>73</v>
      </c>
      <c r="J99" s="2">
        <v>5</v>
      </c>
      <c r="K99" s="2" t="s">
        <v>278</v>
      </c>
      <c r="L99" s="2" t="str" cm="1">
        <f t="array" ref="L99">_xlfn.REGEXEXTRACT(B99,"(?&lt;=//)[^/]+")</f>
        <v>punishworld.com</v>
      </c>
      <c r="M99" s="2" t="s">
        <v>747</v>
      </c>
      <c r="N99" s="2" t="s">
        <v>1840</v>
      </c>
      <c r="O99" s="2" t="str" cm="1">
        <f t="array" ref="O99">IF(N99&lt;&gt;"NotApplicable",_xlfn.REGEXEXTRACT(N99,"\d+(?=p)"),"NotApplicable")</f>
        <v>NotApplicable</v>
      </c>
      <c r="P99" s="2" t="s">
        <v>1840</v>
      </c>
      <c r="Q99" s="2" t="s">
        <v>1840</v>
      </c>
      <c r="R99" s="2" t="s">
        <v>1840</v>
      </c>
      <c r="S99" s="24" t="b">
        <f t="shared" si="3"/>
        <v>0</v>
      </c>
    </row>
    <row r="100" spans="1:19" ht="30" x14ac:dyDescent="0.25">
      <c r="A100" s="2" t="str">
        <f t="shared" si="2"/>
        <v>Done</v>
      </c>
      <c r="B100" s="2" t="s">
        <v>303</v>
      </c>
      <c r="C100" s="2">
        <v>11</v>
      </c>
      <c r="D100" s="2" t="s">
        <v>1836</v>
      </c>
      <c r="E100" s="2" t="s">
        <v>1838</v>
      </c>
      <c r="F100" s="2" t="s">
        <v>329</v>
      </c>
      <c r="G100" s="2" t="s">
        <v>588</v>
      </c>
      <c r="H100" s="2" t="s">
        <v>82</v>
      </c>
      <c r="I100" s="2" t="s">
        <v>73</v>
      </c>
      <c r="J100" s="2">
        <v>5</v>
      </c>
      <c r="K100" s="2" t="s">
        <v>330</v>
      </c>
      <c r="L100" s="2" t="str" cm="1">
        <f t="array" ref="L100">_xlfn.REGEXEXTRACT(B100,"(?&lt;=//)[^/]+")</f>
        <v>heavyfetish.com</v>
      </c>
      <c r="M100" s="2" t="s">
        <v>747</v>
      </c>
      <c r="N100" s="2" t="s">
        <v>1840</v>
      </c>
      <c r="O100" s="2" t="str" cm="1">
        <f t="array" ref="O100">IF(N100&lt;&gt;"NotApplicable",_xlfn.REGEXEXTRACT(N100,"\d+(?=p)"),"NotApplicable")</f>
        <v>NotApplicable</v>
      </c>
      <c r="P100" s="2" t="s">
        <v>1840</v>
      </c>
      <c r="Q100" s="2" t="s">
        <v>1840</v>
      </c>
      <c r="R100" s="2" t="s">
        <v>1840</v>
      </c>
      <c r="S100" s="24" t="b">
        <f t="shared" si="3"/>
        <v>0</v>
      </c>
    </row>
    <row r="101" spans="1:19" ht="30" x14ac:dyDescent="0.25">
      <c r="A101" s="2" t="str">
        <f t="shared" si="2"/>
        <v>Done</v>
      </c>
      <c r="B101" s="2" t="s">
        <v>715</v>
      </c>
      <c r="C101" s="2">
        <v>31</v>
      </c>
      <c r="D101" s="2" t="s">
        <v>1836</v>
      </c>
      <c r="E101" s="2" t="s">
        <v>1838</v>
      </c>
      <c r="F101" s="2" t="s">
        <v>223</v>
      </c>
      <c r="G101" s="2" t="s">
        <v>717</v>
      </c>
      <c r="H101" s="2" t="s">
        <v>89</v>
      </c>
      <c r="I101" s="2" t="s">
        <v>327</v>
      </c>
      <c r="J101" s="2">
        <v>5</v>
      </c>
      <c r="K101" s="2" t="s">
        <v>718</v>
      </c>
      <c r="L101" s="2" t="str" cm="1">
        <f t="array" ref="L101">_xlfn.REGEXEXTRACT(B101,"(?&lt;=//)[^/]+")</f>
        <v>www.eporner.com</v>
      </c>
      <c r="M101" s="2" t="s">
        <v>747</v>
      </c>
      <c r="N101" s="2" t="s">
        <v>1840</v>
      </c>
      <c r="O101" s="2" t="str" cm="1">
        <f t="array" ref="O101">IF(N101&lt;&gt;"NotApplicable",_xlfn.REGEXEXTRACT(N101,"\d+(?=p)"),"NotApplicable")</f>
        <v>NotApplicable</v>
      </c>
      <c r="P101" s="2" t="s">
        <v>1840</v>
      </c>
      <c r="Q101" s="2" t="s">
        <v>1840</v>
      </c>
      <c r="R101" s="2" t="s">
        <v>1840</v>
      </c>
      <c r="S101" s="24" t="b">
        <f t="shared" si="3"/>
        <v>0</v>
      </c>
    </row>
    <row r="102" spans="1:19" ht="45" x14ac:dyDescent="0.25">
      <c r="A102" s="2" t="str">
        <f t="shared" si="2"/>
        <v>Done</v>
      </c>
      <c r="B102" s="2" t="s">
        <v>1829</v>
      </c>
      <c r="C102" s="2">
        <v>129</v>
      </c>
      <c r="D102" s="2" t="s">
        <v>1836</v>
      </c>
      <c r="E102" s="2" t="s">
        <v>1834</v>
      </c>
      <c r="F102" s="2" t="s">
        <v>79</v>
      </c>
      <c r="G102" s="2" t="s">
        <v>1833</v>
      </c>
      <c r="H102" s="2" t="s">
        <v>425</v>
      </c>
      <c r="I102" s="2" t="s">
        <v>280</v>
      </c>
      <c r="J102" s="2">
        <v>5</v>
      </c>
      <c r="K102" s="2" t="s">
        <v>619</v>
      </c>
      <c r="L102" s="2" t="str" cm="1">
        <f t="array" ref="L102">_xlfn.REGEXEXTRACT(B102,"(?&lt;=//)[^/]+")</f>
        <v>www.javxxx.me</v>
      </c>
      <c r="M102" s="2" t="s">
        <v>747</v>
      </c>
      <c r="N102" s="2" t="s">
        <v>1840</v>
      </c>
      <c r="O102" s="2" t="str" cm="1">
        <f t="array" ref="O102">IF(N102&lt;&gt;"NotApplicable",_xlfn.REGEXEXTRACT(N102,"\d+(?=p)"),"NotApplicable")</f>
        <v>NotApplicable</v>
      </c>
      <c r="P102" s="2" t="s">
        <v>1840</v>
      </c>
      <c r="Q102" s="2" t="s">
        <v>1840</v>
      </c>
      <c r="R102" s="2" t="s">
        <v>1840</v>
      </c>
      <c r="S102" s="24" t="b">
        <f t="shared" si="3"/>
        <v>1</v>
      </c>
    </row>
    <row r="103" spans="1:19" ht="45" x14ac:dyDescent="0.25">
      <c r="A103" s="2" t="str">
        <f t="shared" si="2"/>
        <v>Done</v>
      </c>
      <c r="B103" s="2" t="s">
        <v>1760</v>
      </c>
      <c r="C103" s="2">
        <v>44</v>
      </c>
      <c r="D103" s="2" t="s">
        <v>911</v>
      </c>
      <c r="E103" s="2" t="s">
        <v>922</v>
      </c>
      <c r="F103" s="2" t="s">
        <v>91</v>
      </c>
      <c r="G103" s="2" t="s">
        <v>1767</v>
      </c>
      <c r="H103" s="2" t="s">
        <v>772</v>
      </c>
      <c r="I103" s="2" t="s">
        <v>73</v>
      </c>
      <c r="J103" s="2">
        <v>5</v>
      </c>
      <c r="K103" s="2" t="s">
        <v>599</v>
      </c>
      <c r="L103" s="2" t="str" cm="1">
        <f t="array" ref="L103">_xlfn.REGEXEXTRACT(B103,"(?&lt;=//)[^/]+")</f>
        <v>bdsmstreak.com</v>
      </c>
      <c r="M103" s="2" t="s">
        <v>747</v>
      </c>
      <c r="N103" s="2" t="s">
        <v>1840</v>
      </c>
      <c r="O103" s="2" t="str" cm="1">
        <f t="array" ref="O103">IF(N103&lt;&gt;"NotApplicable",_xlfn.REGEXEXTRACT(N103,"\d+(?=p)"),"NotApplicable")</f>
        <v>NotApplicable</v>
      </c>
      <c r="P103" s="2" t="s">
        <v>1840</v>
      </c>
      <c r="Q103" s="2" t="s">
        <v>1840</v>
      </c>
      <c r="R103" s="2" t="s">
        <v>1840</v>
      </c>
      <c r="S103" s="24" t="b">
        <f t="shared" si="3"/>
        <v>1</v>
      </c>
    </row>
    <row r="104" spans="1:19" ht="60" x14ac:dyDescent="0.25">
      <c r="A104" s="2" t="str">
        <f t="shared" si="2"/>
        <v>Done</v>
      </c>
      <c r="B104" s="2" t="s">
        <v>12</v>
      </c>
      <c r="C104" s="2">
        <v>89</v>
      </c>
      <c r="D104" s="2" t="s">
        <v>921</v>
      </c>
      <c r="E104" s="2" t="s">
        <v>1764</v>
      </c>
      <c r="F104" s="2" t="s">
        <v>79</v>
      </c>
      <c r="G104" s="2" t="s">
        <v>1765</v>
      </c>
      <c r="H104" s="2" t="s">
        <v>427</v>
      </c>
      <c r="I104" s="2" t="s">
        <v>73</v>
      </c>
      <c r="J104" s="2">
        <v>5</v>
      </c>
      <c r="K104" s="2" t="s">
        <v>560</v>
      </c>
      <c r="L104" s="2" t="str" cm="1">
        <f t="array" ref="L104">_xlfn.REGEXEXTRACT(B104,"(?&lt;=//)[^/]+")</f>
        <v>heavyfetish.com</v>
      </c>
      <c r="M104" s="2" t="s">
        <v>747</v>
      </c>
      <c r="N104" s="2" t="s">
        <v>1840</v>
      </c>
      <c r="O104" s="2" t="str" cm="1">
        <f t="array" ref="O104">IF(N104&lt;&gt;"NotApplicable",_xlfn.REGEXEXTRACT(N104,"\d+(?=p)"),"NotApplicable")</f>
        <v>NotApplicable</v>
      </c>
      <c r="P104" s="2" t="s">
        <v>1840</v>
      </c>
      <c r="Q104" s="2" t="s">
        <v>1840</v>
      </c>
      <c r="R104" s="2" t="s">
        <v>1840</v>
      </c>
      <c r="S104" s="24" t="b">
        <f t="shared" si="3"/>
        <v>1</v>
      </c>
    </row>
    <row r="105" spans="1:19" ht="45" x14ac:dyDescent="0.25">
      <c r="A105" s="2" t="str">
        <f t="shared" si="2"/>
        <v>Done</v>
      </c>
      <c r="B105" s="2" t="s">
        <v>925</v>
      </c>
      <c r="C105" s="2">
        <v>44</v>
      </c>
      <c r="D105" s="2" t="s">
        <v>921</v>
      </c>
      <c r="E105" s="2" t="s">
        <v>797</v>
      </c>
      <c r="F105" s="2" t="s">
        <v>79</v>
      </c>
      <c r="G105" s="2" t="s">
        <v>1773</v>
      </c>
      <c r="H105" s="2" t="s">
        <v>1556</v>
      </c>
      <c r="I105" s="2" t="s">
        <v>73</v>
      </c>
      <c r="J105" s="2">
        <v>5</v>
      </c>
      <c r="K105" s="2" t="s">
        <v>1555</v>
      </c>
      <c r="L105" s="2" t="str" cm="1">
        <f t="array" ref="L105">_xlfn.REGEXEXTRACT(B105,"(?&lt;=//)[^/]+")</f>
        <v>bdsmstreak.com</v>
      </c>
      <c r="M105" s="2" t="s">
        <v>747</v>
      </c>
      <c r="N105" s="2" t="s">
        <v>1840</v>
      </c>
      <c r="O105" s="2" t="str" cm="1">
        <f t="array" ref="O105">IF(N105&lt;&gt;"NotApplicable",_xlfn.REGEXEXTRACT(N105,"\d+(?=p)"),"NotApplicable")</f>
        <v>NotApplicable</v>
      </c>
      <c r="P105" s="2" t="s">
        <v>1840</v>
      </c>
      <c r="Q105" s="2" t="s">
        <v>1840</v>
      </c>
      <c r="R105" s="2" t="s">
        <v>1840</v>
      </c>
      <c r="S105" s="24" t="b">
        <f t="shared" si="3"/>
        <v>1</v>
      </c>
    </row>
    <row r="106" spans="1:19" ht="30" x14ac:dyDescent="0.25">
      <c r="A106" s="2" t="str">
        <f t="shared" si="2"/>
        <v>Done</v>
      </c>
      <c r="B106" s="2" t="s">
        <v>1806</v>
      </c>
      <c r="C106" s="2">
        <v>64</v>
      </c>
      <c r="D106" s="2" t="s">
        <v>920</v>
      </c>
      <c r="E106" s="2" t="s">
        <v>474</v>
      </c>
      <c r="F106" s="2" t="s">
        <v>91</v>
      </c>
      <c r="G106" s="2" t="s">
        <v>1807</v>
      </c>
      <c r="H106" s="2" t="s">
        <v>682</v>
      </c>
      <c r="I106" s="2" t="s">
        <v>73</v>
      </c>
      <c r="J106" s="2">
        <v>5</v>
      </c>
      <c r="K106" s="2" t="s">
        <v>503</v>
      </c>
      <c r="L106" s="2" t="str" cm="1">
        <f t="array" ref="L106">_xlfn.REGEXEXTRACT(B106,"(?&lt;=//)[^/]+")</f>
        <v>hcbdsm.com</v>
      </c>
      <c r="M106" s="2" t="s">
        <v>747</v>
      </c>
      <c r="N106" s="2" t="s">
        <v>1840</v>
      </c>
      <c r="O106" s="2" t="str" cm="1">
        <f t="array" ref="O106">IF(N106&lt;&gt;"NotApplicable",_xlfn.REGEXEXTRACT(N106,"\d+(?=p)"),"NotApplicable")</f>
        <v>NotApplicable</v>
      </c>
      <c r="P106" s="2" t="s">
        <v>1840</v>
      </c>
      <c r="Q106" s="2" t="s">
        <v>1840</v>
      </c>
      <c r="R106" s="2" t="s">
        <v>1840</v>
      </c>
      <c r="S106" s="24" t="b">
        <f t="shared" si="3"/>
        <v>1</v>
      </c>
    </row>
    <row r="107" spans="1:19" ht="30" x14ac:dyDescent="0.25">
      <c r="A107" s="2" t="str">
        <f t="shared" si="2"/>
        <v>Done</v>
      </c>
      <c r="B107" s="2" t="s">
        <v>62</v>
      </c>
      <c r="C107" s="2">
        <v>35</v>
      </c>
      <c r="D107" s="2" t="s">
        <v>195</v>
      </c>
      <c r="E107" s="2" t="s">
        <v>369</v>
      </c>
      <c r="F107" s="2" t="s">
        <v>80</v>
      </c>
      <c r="G107" s="2" t="s">
        <v>1801</v>
      </c>
      <c r="H107" s="2" t="s">
        <v>657</v>
      </c>
      <c r="I107" s="2" t="s">
        <v>73</v>
      </c>
      <c r="J107" s="2">
        <v>5</v>
      </c>
      <c r="K107" s="2" t="s">
        <v>782</v>
      </c>
      <c r="L107" s="2" t="str" cm="1">
        <f t="array" ref="L107">_xlfn.REGEXEXTRACT(B107,"(?&lt;=//)[^/]+")</f>
        <v>tube.perverzija.com</v>
      </c>
      <c r="M107" s="2" t="s">
        <v>747</v>
      </c>
      <c r="N107" s="2" t="s">
        <v>1840</v>
      </c>
      <c r="O107" s="2" t="str" cm="1">
        <f t="array" ref="O107">IF(N107&lt;&gt;"NotApplicable",_xlfn.REGEXEXTRACT(N107,"\d+(?=p)"),"NotApplicable")</f>
        <v>NotApplicable</v>
      </c>
      <c r="P107" s="2" t="s">
        <v>1840</v>
      </c>
      <c r="Q107" s="2" t="s">
        <v>1840</v>
      </c>
      <c r="R107" s="2" t="s">
        <v>1840</v>
      </c>
      <c r="S107" s="24" t="b">
        <f t="shared" si="3"/>
        <v>1</v>
      </c>
    </row>
    <row r="108" spans="1:19" ht="45" x14ac:dyDescent="0.25">
      <c r="A108" s="2" t="str">
        <f t="shared" si="2"/>
        <v>Done</v>
      </c>
      <c r="B108" s="2" t="s">
        <v>140</v>
      </c>
      <c r="C108" s="2">
        <v>43</v>
      </c>
      <c r="D108" s="2" t="s">
        <v>917</v>
      </c>
      <c r="E108" s="2" t="s">
        <v>367</v>
      </c>
      <c r="F108" s="2" t="s">
        <v>79</v>
      </c>
      <c r="G108" s="2" t="s">
        <v>1815</v>
      </c>
      <c r="H108" s="2" t="s">
        <v>689</v>
      </c>
      <c r="I108" s="2" t="s">
        <v>73</v>
      </c>
      <c r="J108" s="2">
        <v>5</v>
      </c>
      <c r="K108" s="2" t="s">
        <v>208</v>
      </c>
      <c r="L108" s="2" t="str" cm="1">
        <f t="array" ref="L108">_xlfn.REGEXEXTRACT(B108,"(?&lt;=//)[^/]+")</f>
        <v>bdsmstreak.com</v>
      </c>
      <c r="M108" s="2" t="s">
        <v>747</v>
      </c>
      <c r="N108" s="2" t="s">
        <v>1840</v>
      </c>
      <c r="O108" s="2" t="str" cm="1">
        <f t="array" ref="O108">IF(N108&lt;&gt;"NotApplicable",_xlfn.REGEXEXTRACT(N108,"\d+(?=p)"),"NotApplicable")</f>
        <v>NotApplicable</v>
      </c>
      <c r="P108" s="2" t="s">
        <v>1840</v>
      </c>
      <c r="Q108" s="2" t="s">
        <v>1840</v>
      </c>
      <c r="R108" s="2" t="s">
        <v>1840</v>
      </c>
      <c r="S108" s="24" t="b">
        <f t="shared" si="3"/>
        <v>1</v>
      </c>
    </row>
    <row r="109" spans="1:19" ht="45" x14ac:dyDescent="0.25">
      <c r="A109" s="2" t="str">
        <f t="shared" si="2"/>
        <v>Done</v>
      </c>
      <c r="B109" s="2" t="s">
        <v>18</v>
      </c>
      <c r="C109" s="2">
        <v>33</v>
      </c>
      <c r="D109" s="2" t="s">
        <v>84</v>
      </c>
      <c r="E109" s="2" t="s">
        <v>88</v>
      </c>
      <c r="F109" s="2" t="s">
        <v>79</v>
      </c>
      <c r="G109" s="2" t="s">
        <v>394</v>
      </c>
      <c r="H109" s="2" t="s">
        <v>669</v>
      </c>
      <c r="I109" s="2" t="s">
        <v>73</v>
      </c>
      <c r="J109" s="2">
        <v>5</v>
      </c>
      <c r="K109" s="2" t="s">
        <v>113</v>
      </c>
      <c r="L109" s="2" t="str" cm="1">
        <f t="array" ref="L109">_xlfn.REGEXEXTRACT(B109,"(?&lt;=//)[^/]+")</f>
        <v>bdsmstreak.com</v>
      </c>
      <c r="M109" s="2" t="s">
        <v>747</v>
      </c>
      <c r="N109" s="2" t="s">
        <v>1840</v>
      </c>
      <c r="O109" s="2" t="str" cm="1">
        <f t="array" ref="O109">IF(N109&lt;&gt;"NotApplicable",_xlfn.REGEXEXTRACT(N109,"\d+(?=p)"),"NotApplicable")</f>
        <v>NotApplicable</v>
      </c>
      <c r="P109" s="2" t="s">
        <v>1840</v>
      </c>
      <c r="Q109" s="2" t="s">
        <v>1840</v>
      </c>
      <c r="R109" s="2" t="s">
        <v>1840</v>
      </c>
      <c r="S109" s="24" t="b">
        <f t="shared" si="3"/>
        <v>0</v>
      </c>
    </row>
    <row r="110" spans="1:19" ht="45" x14ac:dyDescent="0.25">
      <c r="A110" s="2" t="str">
        <f t="shared" si="2"/>
        <v>Done</v>
      </c>
      <c r="B110" s="2" t="s">
        <v>65</v>
      </c>
      <c r="C110" s="2">
        <v>57</v>
      </c>
      <c r="D110" s="2" t="s">
        <v>920</v>
      </c>
      <c r="E110" s="2" t="s">
        <v>217</v>
      </c>
      <c r="F110" s="2" t="s">
        <v>91</v>
      </c>
      <c r="G110" s="2" t="s">
        <v>596</v>
      </c>
      <c r="H110" s="2" t="s">
        <v>644</v>
      </c>
      <c r="I110" s="2" t="s">
        <v>73</v>
      </c>
      <c r="J110" s="2">
        <v>5</v>
      </c>
      <c r="K110" s="2" t="s">
        <v>115</v>
      </c>
      <c r="L110" s="2" t="str" cm="1">
        <f t="array" ref="L110">_xlfn.REGEXEXTRACT(B110,"(?&lt;=//)[^/]+")</f>
        <v>bdsmstreak.com</v>
      </c>
      <c r="M110" s="2" t="s">
        <v>747</v>
      </c>
      <c r="N110" s="2" t="s">
        <v>1840</v>
      </c>
      <c r="O110" s="2" t="str" cm="1">
        <f t="array" ref="O110">IF(N110&lt;&gt;"NotApplicable",_xlfn.REGEXEXTRACT(N110,"\d+(?=p)"),"NotApplicable")</f>
        <v>NotApplicable</v>
      </c>
      <c r="P110" s="2" t="s">
        <v>1840</v>
      </c>
      <c r="Q110" s="2" t="s">
        <v>1840</v>
      </c>
      <c r="R110" s="2" t="s">
        <v>1840</v>
      </c>
      <c r="S110" s="24" t="b">
        <f t="shared" si="3"/>
        <v>0</v>
      </c>
    </row>
    <row r="111" spans="1:19" ht="45" x14ac:dyDescent="0.25">
      <c r="A111" s="2" t="str">
        <f t="shared" si="2"/>
        <v>Done</v>
      </c>
      <c r="B111" s="2" t="s">
        <v>25</v>
      </c>
      <c r="C111" s="2">
        <v>58</v>
      </c>
      <c r="D111" s="2" t="s">
        <v>921</v>
      </c>
      <c r="E111" s="2" t="s">
        <v>366</v>
      </c>
      <c r="F111" s="2" t="s">
        <v>79</v>
      </c>
      <c r="G111" s="2" t="s">
        <v>1817</v>
      </c>
      <c r="H111" s="2" t="s">
        <v>97</v>
      </c>
      <c r="I111" s="2" t="s">
        <v>73</v>
      </c>
      <c r="J111" s="2">
        <v>5</v>
      </c>
      <c r="K111" s="2" t="s">
        <v>99</v>
      </c>
      <c r="L111" s="2" t="str" cm="1">
        <f t="array" ref="L111">_xlfn.REGEXEXTRACT(B111,"(?&lt;=//)[^/]+")</f>
        <v>bdsmstreak.com</v>
      </c>
      <c r="M111" s="2" t="s">
        <v>747</v>
      </c>
      <c r="N111" s="2" t="s">
        <v>1840</v>
      </c>
      <c r="O111" s="2" t="str" cm="1">
        <f t="array" ref="O111">IF(N111&lt;&gt;"NotApplicable",_xlfn.REGEXEXTRACT(N111,"\d+(?=p)"),"NotApplicable")</f>
        <v>NotApplicable</v>
      </c>
      <c r="P111" s="2" t="s">
        <v>1840</v>
      </c>
      <c r="Q111" s="2" t="s">
        <v>1840</v>
      </c>
      <c r="R111" s="2" t="s">
        <v>1840</v>
      </c>
      <c r="S111" s="24" t="b">
        <f t="shared" si="3"/>
        <v>1</v>
      </c>
    </row>
    <row r="112" spans="1:19" ht="30" x14ac:dyDescent="0.25">
      <c r="A112" s="2" t="str">
        <f t="shared" si="2"/>
        <v>Done</v>
      </c>
      <c r="B112" s="2" t="s">
        <v>146</v>
      </c>
      <c r="C112" s="2">
        <v>55</v>
      </c>
      <c r="D112" s="2" t="s">
        <v>921</v>
      </c>
      <c r="E112" s="2" t="s">
        <v>193</v>
      </c>
      <c r="F112" s="2" t="s">
        <v>79</v>
      </c>
      <c r="G112" s="2" t="s">
        <v>606</v>
      </c>
      <c r="H112" s="2" t="s">
        <v>693</v>
      </c>
      <c r="I112" s="2" t="s">
        <v>73</v>
      </c>
      <c r="J112" s="2">
        <v>5</v>
      </c>
      <c r="K112" s="2" t="s">
        <v>639</v>
      </c>
      <c r="L112" s="2" t="str" cm="1">
        <f t="array" ref="L112">_xlfn.REGEXEXTRACT(B112,"(?&lt;=//)[^/]+")</f>
        <v>curebdsm.com</v>
      </c>
      <c r="M112" s="2" t="s">
        <v>747</v>
      </c>
      <c r="N112" s="2" t="s">
        <v>1840</v>
      </c>
      <c r="O112" s="2" t="str" cm="1">
        <f t="array" ref="O112">IF(N112&lt;&gt;"NotApplicable",_xlfn.REGEXEXTRACT(N112,"\d+(?=p)"),"NotApplicable")</f>
        <v>NotApplicable</v>
      </c>
      <c r="P112" s="2" t="s">
        <v>1840</v>
      </c>
      <c r="Q112" s="2" t="s">
        <v>1840</v>
      </c>
      <c r="R112" s="2" t="s">
        <v>1840</v>
      </c>
      <c r="S112" s="24" t="b">
        <f t="shared" si="3"/>
        <v>0</v>
      </c>
    </row>
    <row r="113" spans="1:19" ht="45" x14ac:dyDescent="0.25">
      <c r="A113" s="2" t="str">
        <f t="shared" si="2"/>
        <v>Done</v>
      </c>
      <c r="B113" s="2" t="s">
        <v>1752</v>
      </c>
      <c r="C113" s="2">
        <v>62</v>
      </c>
      <c r="D113" s="2" t="s">
        <v>917</v>
      </c>
      <c r="E113" s="2" t="s">
        <v>259</v>
      </c>
      <c r="F113" s="2" t="s">
        <v>79</v>
      </c>
      <c r="G113" s="2" t="s">
        <v>581</v>
      </c>
      <c r="H113" s="2" t="s">
        <v>429</v>
      </c>
      <c r="I113" s="2" t="s">
        <v>73</v>
      </c>
      <c r="J113" s="2">
        <v>5</v>
      </c>
      <c r="K113" s="2" t="s">
        <v>583</v>
      </c>
      <c r="L113" s="2" t="str" cm="1">
        <f t="array" ref="L113">_xlfn.REGEXEXTRACT(B113,"(?&lt;=//)[^/]+")</f>
        <v>hcbdsm.com</v>
      </c>
      <c r="M113" s="2" t="s">
        <v>747</v>
      </c>
      <c r="N113" s="2" t="s">
        <v>1840</v>
      </c>
      <c r="O113" s="2" t="str" cm="1">
        <f t="array" ref="O113">IF(N113&lt;&gt;"NotApplicable",_xlfn.REGEXEXTRACT(N113,"\d+(?=p)"),"NotApplicable")</f>
        <v>NotApplicable</v>
      </c>
      <c r="P113" s="2" t="s">
        <v>1840</v>
      </c>
      <c r="Q113" s="2" t="s">
        <v>1840</v>
      </c>
      <c r="R113" s="2" t="s">
        <v>1840</v>
      </c>
      <c r="S113" s="24" t="b">
        <f t="shared" si="3"/>
        <v>0</v>
      </c>
    </row>
    <row r="114" spans="1:19" ht="60" x14ac:dyDescent="0.25">
      <c r="A114" s="2" t="str">
        <f t="shared" si="2"/>
        <v>Done</v>
      </c>
      <c r="B114" s="2" t="s">
        <v>1612</v>
      </c>
      <c r="C114" s="2">
        <v>65</v>
      </c>
      <c r="D114" s="2" t="s">
        <v>917</v>
      </c>
      <c r="E114" s="2" t="s">
        <v>260</v>
      </c>
      <c r="F114" s="2" t="s">
        <v>80</v>
      </c>
      <c r="G114" s="2" t="s">
        <v>550</v>
      </c>
      <c r="H114" s="2" t="s">
        <v>428</v>
      </c>
      <c r="I114" s="2" t="s">
        <v>73</v>
      </c>
      <c r="J114" s="2">
        <v>5</v>
      </c>
      <c r="K114" s="2" t="s">
        <v>517</v>
      </c>
      <c r="L114" s="2" t="str" cm="1">
        <f t="array" ref="L114">_xlfn.REGEXEXTRACT(B114,"(?&lt;=//)[^/]+")</f>
        <v>hcbdsm.com</v>
      </c>
      <c r="M114" s="2" t="s">
        <v>747</v>
      </c>
      <c r="N114" s="2" t="s">
        <v>1840</v>
      </c>
      <c r="O114" s="2" t="str" cm="1">
        <f t="array" ref="O114">IF(N114&lt;&gt;"NotApplicable",_xlfn.REGEXEXTRACT(N114,"\d+(?=p)"),"NotApplicable")</f>
        <v>NotApplicable</v>
      </c>
      <c r="P114" s="2" t="s">
        <v>1840</v>
      </c>
      <c r="Q114" s="2" t="s">
        <v>1840</v>
      </c>
      <c r="R114" s="2" t="s">
        <v>1840</v>
      </c>
      <c r="S114" s="24" t="b">
        <f t="shared" si="3"/>
        <v>0</v>
      </c>
    </row>
    <row r="115" spans="1:19" ht="30" x14ac:dyDescent="0.25">
      <c r="A115" s="2" t="str">
        <f t="shared" si="2"/>
        <v>Done</v>
      </c>
      <c r="B115" s="2" t="s">
        <v>35</v>
      </c>
      <c r="C115" s="2">
        <v>50</v>
      </c>
      <c r="D115" s="2" t="s">
        <v>916</v>
      </c>
      <c r="E115" s="2" t="s">
        <v>214</v>
      </c>
      <c r="F115" s="2" t="s">
        <v>80</v>
      </c>
      <c r="G115" s="2" t="s">
        <v>535</v>
      </c>
      <c r="H115" s="2" t="s">
        <v>675</v>
      </c>
      <c r="I115" s="2" t="s">
        <v>73</v>
      </c>
      <c r="J115" s="2">
        <v>5</v>
      </c>
      <c r="K115" s="2" t="s">
        <v>238</v>
      </c>
      <c r="L115" s="2" t="str" cm="1">
        <f t="array" ref="L115">_xlfn.REGEXEXTRACT(B115,"(?&lt;=//)[^/]+")</f>
        <v>hcbdsm.com</v>
      </c>
      <c r="M115" s="2" t="s">
        <v>747</v>
      </c>
      <c r="N115" s="2" t="s">
        <v>1840</v>
      </c>
      <c r="O115" s="2" t="str" cm="1">
        <f t="array" ref="O115">IF(N115&lt;&gt;"NotApplicable",_xlfn.REGEXEXTRACT(N115,"\d+(?=p)"),"NotApplicable")</f>
        <v>NotApplicable</v>
      </c>
      <c r="P115" s="2" t="s">
        <v>1840</v>
      </c>
      <c r="Q115" s="2" t="s">
        <v>1840</v>
      </c>
      <c r="R115" s="2" t="s">
        <v>1840</v>
      </c>
      <c r="S115" s="24" t="b">
        <f t="shared" si="3"/>
        <v>0</v>
      </c>
    </row>
    <row r="116" spans="1:19" ht="45" x14ac:dyDescent="0.25">
      <c r="A116" s="2" t="str">
        <f t="shared" si="2"/>
        <v>Done</v>
      </c>
      <c r="B116" s="2" t="s">
        <v>17</v>
      </c>
      <c r="C116" s="2">
        <v>60</v>
      </c>
      <c r="D116" s="2" t="s">
        <v>916</v>
      </c>
      <c r="E116" s="2" t="s">
        <v>258</v>
      </c>
      <c r="F116" s="2" t="s">
        <v>80</v>
      </c>
      <c r="G116" s="2" t="s">
        <v>549</v>
      </c>
      <c r="H116" s="2" t="s">
        <v>430</v>
      </c>
      <c r="I116" s="2" t="s">
        <v>73</v>
      </c>
      <c r="J116" s="2">
        <v>5</v>
      </c>
      <c r="K116" s="2" t="s">
        <v>567</v>
      </c>
      <c r="L116" s="2" t="str" cm="1">
        <f t="array" ref="L116">_xlfn.REGEXEXTRACT(B116,"(?&lt;=//)[^/]+")</f>
        <v>heavyfetish.com</v>
      </c>
      <c r="M116" s="2" t="s">
        <v>747</v>
      </c>
      <c r="N116" s="2" t="s">
        <v>1840</v>
      </c>
      <c r="O116" s="2" t="str" cm="1">
        <f t="array" ref="O116">IF(N116&lt;&gt;"NotApplicable",_xlfn.REGEXEXTRACT(N116,"\d+(?=p)"),"NotApplicable")</f>
        <v>NotApplicable</v>
      </c>
      <c r="P116" s="2" t="s">
        <v>1840</v>
      </c>
      <c r="Q116" s="2" t="s">
        <v>1840</v>
      </c>
      <c r="R116" s="2" t="s">
        <v>1840</v>
      </c>
      <c r="S116" s="24" t="b">
        <f t="shared" si="3"/>
        <v>0</v>
      </c>
    </row>
    <row r="117" spans="1:19" ht="30" x14ac:dyDescent="0.25">
      <c r="A117" s="2" t="str">
        <f t="shared" si="2"/>
        <v>Done</v>
      </c>
      <c r="B117" s="2" t="s">
        <v>23</v>
      </c>
      <c r="C117" s="2">
        <v>46</v>
      </c>
      <c r="D117" s="2" t="s">
        <v>921</v>
      </c>
      <c r="E117" s="2" t="s">
        <v>232</v>
      </c>
      <c r="F117" s="2" t="s">
        <v>79</v>
      </c>
      <c r="G117" s="2" t="s">
        <v>554</v>
      </c>
      <c r="H117" s="2" t="s">
        <v>771</v>
      </c>
      <c r="I117" s="2" t="s">
        <v>73</v>
      </c>
      <c r="J117" s="2">
        <v>5</v>
      </c>
      <c r="K117" s="2" t="s">
        <v>878</v>
      </c>
      <c r="L117" s="2" t="str" cm="1">
        <f t="array" ref="L117">_xlfn.REGEXEXTRACT(B117,"(?&lt;=//)[^/]+")</f>
        <v>heavyfetish.com</v>
      </c>
      <c r="M117" s="2" t="s">
        <v>747</v>
      </c>
      <c r="N117" s="2" t="s">
        <v>1840</v>
      </c>
      <c r="O117" s="2" t="str" cm="1">
        <f t="array" ref="O117">IF(N117&lt;&gt;"NotApplicable",_xlfn.REGEXEXTRACT(N117,"\d+(?=p)"),"NotApplicable")</f>
        <v>NotApplicable</v>
      </c>
      <c r="P117" s="2" t="s">
        <v>1840</v>
      </c>
      <c r="Q117" s="2" t="s">
        <v>1840</v>
      </c>
      <c r="R117" s="2" t="s">
        <v>1840</v>
      </c>
      <c r="S117" s="24" t="b">
        <f t="shared" si="3"/>
        <v>0</v>
      </c>
    </row>
    <row r="118" spans="1:19" ht="45" x14ac:dyDescent="0.25">
      <c r="A118" s="2" t="str">
        <f t="shared" si="2"/>
        <v>Done</v>
      </c>
      <c r="B118" s="2" t="s">
        <v>21</v>
      </c>
      <c r="C118" s="2">
        <v>51</v>
      </c>
      <c r="D118" s="2" t="s">
        <v>917</v>
      </c>
      <c r="E118" s="2" t="s">
        <v>239</v>
      </c>
      <c r="F118" s="2" t="s">
        <v>79</v>
      </c>
      <c r="G118" s="2" t="s">
        <v>534</v>
      </c>
      <c r="H118" s="2" t="s">
        <v>432</v>
      </c>
      <c r="I118" s="2" t="s">
        <v>73</v>
      </c>
      <c r="J118" s="2">
        <v>5</v>
      </c>
      <c r="K118" s="2" t="s">
        <v>240</v>
      </c>
      <c r="L118" s="2" t="str" cm="1">
        <f t="array" ref="L118">_xlfn.REGEXEXTRACT(B118,"(?&lt;=//)[^/]+")</f>
        <v>heavyfetish.com</v>
      </c>
      <c r="M118" s="2" t="s">
        <v>747</v>
      </c>
      <c r="N118" s="2" t="s">
        <v>1840</v>
      </c>
      <c r="O118" s="2" t="str" cm="1">
        <f t="array" ref="O118">IF(N118&lt;&gt;"NotApplicable",_xlfn.REGEXEXTRACT(N118,"\d+(?=p)"),"NotApplicable")</f>
        <v>NotApplicable</v>
      </c>
      <c r="P118" s="2" t="s">
        <v>1840</v>
      </c>
      <c r="Q118" s="2" t="s">
        <v>1840</v>
      </c>
      <c r="R118" s="2" t="s">
        <v>1840</v>
      </c>
      <c r="S118" s="24" t="b">
        <f t="shared" si="3"/>
        <v>0</v>
      </c>
    </row>
    <row r="119" spans="1:19" ht="45" x14ac:dyDescent="0.25">
      <c r="A119" s="2" t="str">
        <f t="shared" si="2"/>
        <v>Done</v>
      </c>
      <c r="B119" s="2" t="s">
        <v>860</v>
      </c>
      <c r="C119" s="2">
        <v>47</v>
      </c>
      <c r="D119" s="2" t="s">
        <v>910</v>
      </c>
      <c r="E119" s="2" t="s">
        <v>817</v>
      </c>
      <c r="F119" s="2" t="s">
        <v>79</v>
      </c>
      <c r="G119" s="2" t="s">
        <v>864</v>
      </c>
      <c r="H119" s="2" t="s">
        <v>863</v>
      </c>
      <c r="I119" s="2" t="s">
        <v>73</v>
      </c>
      <c r="J119" s="2">
        <v>5</v>
      </c>
      <c r="K119" s="2" t="s">
        <v>865</v>
      </c>
      <c r="L119" s="2" t="str" cm="1">
        <f t="array" ref="L119">_xlfn.REGEXEXTRACT(B119,"(?&lt;=//)[^/]+")</f>
        <v>heavyfetish.com</v>
      </c>
      <c r="M119" s="2" t="s">
        <v>747</v>
      </c>
      <c r="N119" s="2" t="s">
        <v>1840</v>
      </c>
      <c r="O119" s="2" t="str" cm="1">
        <f t="array" ref="O119">IF(N119&lt;&gt;"NotApplicable",_xlfn.REGEXEXTRACT(N119,"\d+(?=p)"),"NotApplicable")</f>
        <v>NotApplicable</v>
      </c>
      <c r="P119" s="2" t="s">
        <v>1840</v>
      </c>
      <c r="Q119" s="2" t="s">
        <v>1840</v>
      </c>
      <c r="R119" s="2" t="s">
        <v>1840</v>
      </c>
      <c r="S119" s="24" t="b">
        <f t="shared" si="3"/>
        <v>0</v>
      </c>
    </row>
    <row r="120" spans="1:19" ht="30" x14ac:dyDescent="0.25">
      <c r="A120" s="2" t="str">
        <f t="shared" si="2"/>
        <v>Done</v>
      </c>
      <c r="B120" s="2" t="s">
        <v>158</v>
      </c>
      <c r="C120" s="2">
        <v>6</v>
      </c>
      <c r="D120" s="2" t="s">
        <v>209</v>
      </c>
      <c r="E120" s="2" t="s">
        <v>923</v>
      </c>
      <c r="F120" s="2" t="s">
        <v>79</v>
      </c>
      <c r="G120" s="2" t="s">
        <v>636</v>
      </c>
      <c r="H120" s="2" t="s">
        <v>118</v>
      </c>
      <c r="I120" s="2" t="s">
        <v>73</v>
      </c>
      <c r="J120" s="2">
        <v>5</v>
      </c>
      <c r="K120" s="2" t="s">
        <v>249</v>
      </c>
      <c r="L120" s="2" t="str" cm="1">
        <f t="array" ref="L120">_xlfn.REGEXEXTRACT(B120,"(?&lt;=//)[^/]+")</f>
        <v>spankbang.com</v>
      </c>
      <c r="M120" s="2" t="s">
        <v>747</v>
      </c>
      <c r="N120" s="2" t="s">
        <v>1840</v>
      </c>
      <c r="O120" s="2" t="str" cm="1">
        <f t="array" ref="O120">IF(N120&lt;&gt;"NotApplicable",_xlfn.REGEXEXTRACT(N120,"\d+(?=p)"),"NotApplicable")</f>
        <v>NotApplicable</v>
      </c>
      <c r="P120" s="2" t="s">
        <v>1840</v>
      </c>
      <c r="Q120" s="2" t="s">
        <v>1840</v>
      </c>
      <c r="R120" s="2" t="s">
        <v>1840</v>
      </c>
      <c r="S120" s="24" t="b">
        <f t="shared" si="3"/>
        <v>0</v>
      </c>
    </row>
    <row r="121" spans="1:19" ht="45" x14ac:dyDescent="0.25">
      <c r="A121" s="2" t="str">
        <f t="shared" si="2"/>
        <v>Done</v>
      </c>
      <c r="B121" s="2" t="s">
        <v>144</v>
      </c>
      <c r="C121" s="2">
        <v>4</v>
      </c>
      <c r="D121" s="2" t="s">
        <v>913</v>
      </c>
      <c r="E121" s="2" t="s">
        <v>161</v>
      </c>
      <c r="F121" s="2" t="s">
        <v>79</v>
      </c>
      <c r="G121" s="2" t="s">
        <v>595</v>
      </c>
      <c r="H121" s="2" t="s">
        <v>433</v>
      </c>
      <c r="I121" s="2" t="s">
        <v>73</v>
      </c>
      <c r="J121" s="2">
        <v>5</v>
      </c>
      <c r="K121" s="2" t="s">
        <v>884</v>
      </c>
      <c r="L121" s="2" t="str" cm="1">
        <f t="array" ref="L121">_xlfn.REGEXEXTRACT(B121,"(?&lt;=//)[^/]+")</f>
        <v>txxx.com</v>
      </c>
      <c r="M121" s="2" t="s">
        <v>747</v>
      </c>
      <c r="N121" s="2" t="s">
        <v>1840</v>
      </c>
      <c r="O121" s="2" t="str" cm="1">
        <f t="array" ref="O121">IF(N121&lt;&gt;"NotApplicable",_xlfn.REGEXEXTRACT(N121,"\d+(?=p)"),"NotApplicable")</f>
        <v>NotApplicable</v>
      </c>
      <c r="P121" s="2" t="s">
        <v>1840</v>
      </c>
      <c r="Q121" s="2" t="s">
        <v>1840</v>
      </c>
      <c r="R121" s="2" t="s">
        <v>1840</v>
      </c>
      <c r="S121" s="24" t="b">
        <f t="shared" si="3"/>
        <v>0</v>
      </c>
    </row>
    <row r="122" spans="1:19" ht="60" x14ac:dyDescent="0.25">
      <c r="A122" s="2" t="str">
        <f t="shared" si="2"/>
        <v>Done</v>
      </c>
      <c r="B122" s="2" t="s">
        <v>359</v>
      </c>
      <c r="C122" s="2">
        <v>54</v>
      </c>
      <c r="D122" s="2" t="s">
        <v>910</v>
      </c>
      <c r="E122" s="2" t="s">
        <v>466</v>
      </c>
      <c r="F122" s="2" t="s">
        <v>79</v>
      </c>
      <c r="G122" s="2" t="s">
        <v>626</v>
      </c>
      <c r="H122" s="2" t="s">
        <v>694</v>
      </c>
      <c r="I122" s="2" t="s">
        <v>73</v>
      </c>
      <c r="J122" s="2">
        <v>5</v>
      </c>
      <c r="K122" s="2" t="s">
        <v>520</v>
      </c>
      <c r="L122" s="2" t="str" cm="1">
        <f t="array" ref="L122">_xlfn.REGEXEXTRACT(B122,"(?&lt;=//)[^/]+")</f>
        <v>www.eporner.com</v>
      </c>
      <c r="M122" s="2" t="s">
        <v>747</v>
      </c>
      <c r="N122" s="2" t="s">
        <v>1840</v>
      </c>
      <c r="O122" s="2" t="str" cm="1">
        <f t="array" ref="O122">IF(N122&lt;&gt;"NotApplicable",_xlfn.REGEXEXTRACT(N122,"\d+(?=p)"),"NotApplicable")</f>
        <v>NotApplicable</v>
      </c>
      <c r="P122" s="2" t="s">
        <v>1840</v>
      </c>
      <c r="Q122" s="2" t="s">
        <v>1840</v>
      </c>
      <c r="R122" s="2" t="s">
        <v>1840</v>
      </c>
      <c r="S122" s="24" t="b">
        <f t="shared" si="3"/>
        <v>0</v>
      </c>
    </row>
    <row r="123" spans="1:19" ht="45" x14ac:dyDescent="0.25">
      <c r="A123" s="2" t="str">
        <f t="shared" si="2"/>
        <v>Done</v>
      </c>
      <c r="B123" s="2" t="s">
        <v>846</v>
      </c>
      <c r="C123" s="2">
        <v>70</v>
      </c>
      <c r="D123" s="2" t="s">
        <v>920</v>
      </c>
      <c r="E123" s="2" t="s">
        <v>845</v>
      </c>
      <c r="F123" s="2" t="s">
        <v>91</v>
      </c>
      <c r="G123" s="2" t="s">
        <v>1569</v>
      </c>
      <c r="H123" s="2" t="s">
        <v>1568</v>
      </c>
      <c r="I123" s="2" t="s">
        <v>73</v>
      </c>
      <c r="J123" s="2">
        <v>5</v>
      </c>
      <c r="K123" s="2" t="s">
        <v>1570</v>
      </c>
      <c r="L123" s="2" t="str" cm="1">
        <f t="array" ref="L123">_xlfn.REGEXEXTRACT(B123,"(?&lt;=//)[^/]+")</f>
        <v>www.pornissimo.org</v>
      </c>
      <c r="M123" s="2" t="s">
        <v>747</v>
      </c>
      <c r="N123" s="2" t="s">
        <v>1840</v>
      </c>
      <c r="O123" s="2" t="str" cm="1">
        <f t="array" ref="O123">IF(N123&lt;&gt;"NotApplicable",_xlfn.REGEXEXTRACT(N123,"\d+(?=p)"),"NotApplicable")</f>
        <v>NotApplicable</v>
      </c>
      <c r="P123" s="2" t="s">
        <v>1840</v>
      </c>
      <c r="Q123" s="2" t="s">
        <v>1840</v>
      </c>
      <c r="R123" s="2" t="s">
        <v>1840</v>
      </c>
      <c r="S123" s="24" t="b">
        <f t="shared" si="3"/>
        <v>0</v>
      </c>
    </row>
    <row r="124" spans="1:19" ht="45" x14ac:dyDescent="0.25">
      <c r="A124" s="2" t="str">
        <f t="shared" si="2"/>
        <v>Done</v>
      </c>
      <c r="B124" s="2" t="s">
        <v>1588</v>
      </c>
      <c r="C124" s="2">
        <v>8</v>
      </c>
      <c r="D124" s="2" t="s">
        <v>169</v>
      </c>
      <c r="E124" s="2" t="s">
        <v>1583</v>
      </c>
      <c r="F124" s="2" t="s">
        <v>79</v>
      </c>
      <c r="G124" s="2" t="s">
        <v>1603</v>
      </c>
      <c r="H124" s="2" t="s">
        <v>1600</v>
      </c>
      <c r="I124" s="2" t="s">
        <v>73</v>
      </c>
      <c r="J124" s="2">
        <v>5</v>
      </c>
      <c r="K124" s="2" t="s">
        <v>1601</v>
      </c>
      <c r="L124" s="2" t="str" cm="1">
        <f t="array" ref="L124">_xlfn.REGEXEXTRACT(B124,"(?&lt;=//)[^/]+")</f>
        <v>www.porntrex.com</v>
      </c>
      <c r="M124" s="2" t="s">
        <v>746</v>
      </c>
      <c r="N124" s="2" t="s">
        <v>1584</v>
      </c>
      <c r="O124" s="2" t="str" cm="1">
        <f t="array" ref="O124">IF(N124&lt;&gt;"NotApplicable",_xlfn.REGEXEXTRACT(N124,"\d+(?=p)"),"NotApplicable")</f>
        <v>1080</v>
      </c>
      <c r="P124" s="2" t="s">
        <v>1585</v>
      </c>
      <c r="Q124" s="2" t="s">
        <v>1593</v>
      </c>
      <c r="R124" s="2" t="s">
        <v>1590</v>
      </c>
      <c r="S124" s="24" t="b">
        <f t="shared" si="3"/>
        <v>0</v>
      </c>
    </row>
    <row r="125" spans="1:19" ht="45" x14ac:dyDescent="0.25">
      <c r="A125" s="2" t="str">
        <f t="shared" si="2"/>
        <v>Done</v>
      </c>
      <c r="B125" s="2" t="s">
        <v>322</v>
      </c>
      <c r="C125" s="2">
        <v>46</v>
      </c>
      <c r="D125" s="2" t="s">
        <v>910</v>
      </c>
      <c r="E125" s="2" t="s">
        <v>323</v>
      </c>
      <c r="F125" s="2" t="s">
        <v>79</v>
      </c>
      <c r="G125" s="2" t="s">
        <v>553</v>
      </c>
      <c r="H125" s="2" t="s">
        <v>668</v>
      </c>
      <c r="I125" s="2" t="s">
        <v>73</v>
      </c>
      <c r="J125" s="2">
        <v>5</v>
      </c>
      <c r="K125" s="2" t="s">
        <v>623</v>
      </c>
      <c r="L125" s="2" t="str" cm="1">
        <f t="array" ref="L125">_xlfn.REGEXEXTRACT(B125,"(?&lt;=//)[^/]+")</f>
        <v>www.porntrex.com</v>
      </c>
      <c r="M125" s="2" t="s">
        <v>747</v>
      </c>
      <c r="N125" s="2" t="s">
        <v>1840</v>
      </c>
      <c r="O125" s="2" t="str" cm="1">
        <f t="array" ref="O125">IF(N125&lt;&gt;"NotApplicable",_xlfn.REGEXEXTRACT(N125,"\d+(?=p)"),"NotApplicable")</f>
        <v>NotApplicable</v>
      </c>
      <c r="P125" s="2" t="s">
        <v>1840</v>
      </c>
      <c r="Q125" s="2" t="s">
        <v>1840</v>
      </c>
      <c r="R125" s="2" t="s">
        <v>1840</v>
      </c>
      <c r="S125" s="24" t="b">
        <f t="shared" si="3"/>
        <v>0</v>
      </c>
    </row>
    <row r="126" spans="1:19" ht="30" x14ac:dyDescent="0.25">
      <c r="A126" s="2" t="str">
        <f t="shared" si="2"/>
        <v>Done</v>
      </c>
      <c r="B126" s="2" t="s">
        <v>338</v>
      </c>
      <c r="C126" s="2">
        <v>47</v>
      </c>
      <c r="D126" s="2" t="s">
        <v>911</v>
      </c>
      <c r="E126" s="2" t="s">
        <v>340</v>
      </c>
      <c r="F126" s="2" t="s">
        <v>91</v>
      </c>
      <c r="G126" s="2" t="s">
        <v>510</v>
      </c>
      <c r="H126" s="2" t="s">
        <v>773</v>
      </c>
      <c r="I126" s="2" t="s">
        <v>73</v>
      </c>
      <c r="J126" s="2">
        <v>5</v>
      </c>
      <c r="K126" s="2" t="s">
        <v>602</v>
      </c>
      <c r="L126" s="2" t="str" cm="1">
        <f t="array" ref="L126">_xlfn.REGEXEXTRACT(B126,"(?&lt;=//)[^/]+")</f>
        <v>www.porntry.com</v>
      </c>
      <c r="M126" s="2" t="s">
        <v>747</v>
      </c>
      <c r="N126" s="2" t="s">
        <v>1840</v>
      </c>
      <c r="O126" s="2" t="str" cm="1">
        <f t="array" ref="O126">IF(N126&lt;&gt;"NotApplicable",_xlfn.REGEXEXTRACT(N126,"\d+(?=p)"),"NotApplicable")</f>
        <v>NotApplicable</v>
      </c>
      <c r="P126" s="2" t="s">
        <v>1840</v>
      </c>
      <c r="Q126" s="2" t="s">
        <v>1840</v>
      </c>
      <c r="R126" s="2" t="s">
        <v>1840</v>
      </c>
      <c r="S126" s="24" t="b">
        <f t="shared" si="3"/>
        <v>0</v>
      </c>
    </row>
    <row r="127" spans="1:19" ht="30" x14ac:dyDescent="0.25">
      <c r="A127" s="2" t="str">
        <f t="shared" si="2"/>
        <v>Done</v>
      </c>
      <c r="B127" s="2" t="s">
        <v>341</v>
      </c>
      <c r="C127" s="2">
        <v>54</v>
      </c>
      <c r="D127" s="2" t="s">
        <v>920</v>
      </c>
      <c r="E127" s="2" t="s">
        <v>342</v>
      </c>
      <c r="F127" s="2" t="s">
        <v>91</v>
      </c>
      <c r="G127" s="2" t="s">
        <v>522</v>
      </c>
      <c r="H127" s="2" t="s">
        <v>435</v>
      </c>
      <c r="I127" s="2" t="s">
        <v>73</v>
      </c>
      <c r="J127" s="2">
        <v>5</v>
      </c>
      <c r="K127" s="2" t="s">
        <v>555</v>
      </c>
      <c r="L127" s="2" t="str" cm="1">
        <f t="array" ref="L127">_xlfn.REGEXEXTRACT(B127,"(?&lt;=//)[^/]+")</f>
        <v>www.porntry.com</v>
      </c>
      <c r="M127" s="2" t="s">
        <v>747</v>
      </c>
      <c r="N127" s="2" t="s">
        <v>1840</v>
      </c>
      <c r="O127" s="2" t="str" cm="1">
        <f t="array" ref="O127">IF(N127&lt;&gt;"NotApplicable",_xlfn.REGEXEXTRACT(N127,"\d+(?=p)"),"NotApplicable")</f>
        <v>NotApplicable</v>
      </c>
      <c r="P127" s="2" t="s">
        <v>1840</v>
      </c>
      <c r="Q127" s="2" t="s">
        <v>1840</v>
      </c>
      <c r="R127" s="2" t="s">
        <v>1840</v>
      </c>
      <c r="S127" s="24" t="b">
        <f t="shared" si="3"/>
        <v>0</v>
      </c>
    </row>
    <row r="128" spans="1:19" ht="30" x14ac:dyDescent="0.25">
      <c r="A128" s="2" t="str">
        <f t="shared" si="2"/>
        <v>Done</v>
      </c>
      <c r="B128" s="2" t="s">
        <v>286</v>
      </c>
      <c r="C128" s="2">
        <v>0</v>
      </c>
      <c r="D128" s="2" t="s">
        <v>910</v>
      </c>
      <c r="E128" s="2" t="s">
        <v>493</v>
      </c>
      <c r="F128" s="2" t="s">
        <v>79</v>
      </c>
      <c r="G128" s="2" t="s">
        <v>586</v>
      </c>
      <c r="H128" s="2" t="s">
        <v>434</v>
      </c>
      <c r="I128" s="2" t="s">
        <v>73</v>
      </c>
      <c r="J128" s="2">
        <v>5</v>
      </c>
      <c r="K128" s="2" t="s">
        <v>288</v>
      </c>
      <c r="L128" s="2" t="str" cm="1">
        <f t="array" ref="L128">_xlfn.REGEXEXTRACT(B128,"(?&lt;=//)[^/]+")</f>
        <v>www.txxx.porn</v>
      </c>
      <c r="M128" s="2" t="s">
        <v>747</v>
      </c>
      <c r="N128" s="2" t="s">
        <v>1840</v>
      </c>
      <c r="O128" s="2" t="str" cm="1">
        <f t="array" ref="O128">IF(N128&lt;&gt;"NotApplicable",_xlfn.REGEXEXTRACT(N128,"\d+(?=p)"),"NotApplicable")</f>
        <v>NotApplicable</v>
      </c>
      <c r="P128" s="2" t="s">
        <v>1840</v>
      </c>
      <c r="Q128" s="2" t="s">
        <v>1840</v>
      </c>
      <c r="R128" s="2" t="s">
        <v>1840</v>
      </c>
      <c r="S128" s="24" t="b">
        <f t="shared" si="3"/>
        <v>0</v>
      </c>
    </row>
    <row r="129" spans="1:19" ht="30" x14ac:dyDescent="0.25">
      <c r="A129" s="2" t="str">
        <f t="shared" si="2"/>
        <v>Done</v>
      </c>
      <c r="B129" s="2" t="s">
        <v>299</v>
      </c>
      <c r="C129" s="2">
        <v>0</v>
      </c>
      <c r="D129" s="2" t="s">
        <v>1837</v>
      </c>
      <c r="E129" s="2" t="s">
        <v>1839</v>
      </c>
      <c r="F129" s="2" t="s">
        <v>91</v>
      </c>
      <c r="G129" s="2" t="s">
        <v>497</v>
      </c>
      <c r="H129" s="2" t="s">
        <v>769</v>
      </c>
      <c r="I129" s="2" t="s">
        <v>73</v>
      </c>
      <c r="J129" s="2">
        <v>5</v>
      </c>
      <c r="K129" s="2" t="s">
        <v>318</v>
      </c>
      <c r="L129" s="2" t="str" cm="1">
        <f t="array" ref="L129">_xlfn.REGEXEXTRACT(B129,"(?&lt;=//)[^/]+")</f>
        <v>www.fuq.com</v>
      </c>
      <c r="M129" s="2" t="s">
        <v>747</v>
      </c>
      <c r="N129" s="2" t="s">
        <v>1840</v>
      </c>
      <c r="O129" s="2" t="str" cm="1">
        <f t="array" ref="O129">IF(N129&lt;&gt;"NotApplicable",_xlfn.REGEXEXTRACT(N129,"\d+(?=p)"),"NotApplicable")</f>
        <v>NotApplicable</v>
      </c>
      <c r="P129" s="2" t="s">
        <v>1840</v>
      </c>
      <c r="Q129" s="2" t="s">
        <v>1840</v>
      </c>
      <c r="R129" s="2" t="s">
        <v>1840</v>
      </c>
      <c r="S129" s="24" t="b">
        <f t="shared" si="3"/>
        <v>0</v>
      </c>
    </row>
    <row r="130" spans="1:19" ht="30" x14ac:dyDescent="0.25">
      <c r="A130" s="2" t="str">
        <f t="shared" ref="A130:A193" si="4">IF(ISBLANK(I130)=TRUE,"Pending","Done")</f>
        <v>Done</v>
      </c>
      <c r="B130" s="2" t="s">
        <v>301</v>
      </c>
      <c r="C130" s="2">
        <v>14</v>
      </c>
      <c r="D130" s="2" t="s">
        <v>1836</v>
      </c>
      <c r="E130" s="2" t="s">
        <v>1838</v>
      </c>
      <c r="F130" s="2" t="s">
        <v>91</v>
      </c>
      <c r="G130" s="2" t="s">
        <v>499</v>
      </c>
      <c r="H130" s="2" t="s">
        <v>683</v>
      </c>
      <c r="I130" s="2" t="s">
        <v>73</v>
      </c>
      <c r="J130" s="2">
        <v>5</v>
      </c>
      <c r="K130" s="2" t="s">
        <v>302</v>
      </c>
      <c r="L130" s="2" t="str" cm="1">
        <f t="array" ref="L130">_xlfn.REGEXEXTRACT(B130,"(?&lt;=//)[^/]+")</f>
        <v>beeg.com</v>
      </c>
      <c r="M130" s="2" t="s">
        <v>747</v>
      </c>
      <c r="N130" s="2" t="s">
        <v>1840</v>
      </c>
      <c r="O130" s="2" t="str" cm="1">
        <f t="array" ref="O130">IF(N130&lt;&gt;"NotApplicable",_xlfn.REGEXEXTRACT(N130,"\d+(?=p)"),"NotApplicable")</f>
        <v>NotApplicable</v>
      </c>
      <c r="P130" s="2" t="s">
        <v>1840</v>
      </c>
      <c r="Q130" s="2" t="s">
        <v>1840</v>
      </c>
      <c r="R130" s="2" t="s">
        <v>1840</v>
      </c>
      <c r="S130" s="24" t="b">
        <f t="shared" ref="S130:S193" si="5">ISNUMBER(SEARCH(",",E130))</f>
        <v>0</v>
      </c>
    </row>
    <row r="131" spans="1:19" ht="30" x14ac:dyDescent="0.25">
      <c r="A131" s="2" t="str">
        <f t="shared" si="4"/>
        <v>Done</v>
      </c>
      <c r="B131" s="2" t="s">
        <v>312</v>
      </c>
      <c r="C131" s="2">
        <v>128</v>
      </c>
      <c r="D131" s="2" t="s">
        <v>1836</v>
      </c>
      <c r="E131" s="2" t="s">
        <v>1838</v>
      </c>
      <c r="F131" s="2" t="s">
        <v>189</v>
      </c>
      <c r="G131" s="2" t="s">
        <v>781</v>
      </c>
      <c r="H131" s="2" t="s">
        <v>426</v>
      </c>
      <c r="I131" s="2" t="s">
        <v>73</v>
      </c>
      <c r="J131" s="2">
        <v>5</v>
      </c>
      <c r="K131" s="2" t="s">
        <v>622</v>
      </c>
      <c r="L131" s="2" t="str" cm="1">
        <f t="array" ref="L131">_xlfn.REGEXEXTRACT(B131,"(?&lt;=//)[^/]+")</f>
        <v>heavyfetish.com</v>
      </c>
      <c r="M131" s="2" t="s">
        <v>747</v>
      </c>
      <c r="N131" s="2" t="s">
        <v>1840</v>
      </c>
      <c r="O131" s="2" t="str" cm="1">
        <f t="array" ref="O131">IF(N131&lt;&gt;"NotApplicable",_xlfn.REGEXEXTRACT(N131,"\d+(?=p)"),"NotApplicable")</f>
        <v>NotApplicable</v>
      </c>
      <c r="P131" s="2" t="s">
        <v>1840</v>
      </c>
      <c r="Q131" s="2" t="s">
        <v>1840</v>
      </c>
      <c r="R131" s="2" t="s">
        <v>1840</v>
      </c>
      <c r="S131" s="24" t="b">
        <f t="shared" si="5"/>
        <v>0</v>
      </c>
    </row>
    <row r="132" spans="1:19" ht="60" x14ac:dyDescent="0.25">
      <c r="A132" s="2" t="str">
        <f t="shared" si="4"/>
        <v>Done</v>
      </c>
      <c r="B132" s="2" t="s">
        <v>37</v>
      </c>
      <c r="C132" s="2">
        <v>55</v>
      </c>
      <c r="D132" s="2" t="s">
        <v>1836</v>
      </c>
      <c r="E132" s="2" t="s">
        <v>1838</v>
      </c>
      <c r="F132" s="2" t="s">
        <v>80</v>
      </c>
      <c r="G132" s="2" t="s">
        <v>509</v>
      </c>
      <c r="H132" s="2" t="s">
        <v>431</v>
      </c>
      <c r="I132" s="2" t="s">
        <v>73</v>
      </c>
      <c r="J132" s="2">
        <v>5</v>
      </c>
      <c r="K132" s="2" t="s">
        <v>247</v>
      </c>
      <c r="L132" s="2" t="str" cm="1">
        <f t="array" ref="L132">_xlfn.REGEXEXTRACT(B132,"(?&lt;=//)[^/]+")</f>
        <v>spankbang.com</v>
      </c>
      <c r="M132" s="2" t="s">
        <v>747</v>
      </c>
      <c r="N132" s="2" t="s">
        <v>1840</v>
      </c>
      <c r="O132" s="2" t="str" cm="1">
        <f t="array" ref="O132">IF(N132&lt;&gt;"NotApplicable",_xlfn.REGEXEXTRACT(N132,"\d+(?=p)"),"NotApplicable")</f>
        <v>NotApplicable</v>
      </c>
      <c r="P132" s="2" t="s">
        <v>1840</v>
      </c>
      <c r="Q132" s="2" t="s">
        <v>1840</v>
      </c>
      <c r="R132" s="2" t="s">
        <v>1840</v>
      </c>
      <c r="S132" s="24" t="b">
        <f t="shared" si="5"/>
        <v>0</v>
      </c>
    </row>
    <row r="133" spans="1:19" ht="45" x14ac:dyDescent="0.25">
      <c r="A133" s="2" t="str">
        <f t="shared" si="4"/>
        <v>Done</v>
      </c>
      <c r="B133" s="2" t="s">
        <v>732</v>
      </c>
      <c r="C133" s="2">
        <v>29</v>
      </c>
      <c r="D133" s="2" t="s">
        <v>1836</v>
      </c>
      <c r="E133" s="2" t="s">
        <v>1838</v>
      </c>
      <c r="F133" s="2" t="s">
        <v>80</v>
      </c>
      <c r="G133" s="2" t="s">
        <v>742</v>
      </c>
      <c r="H133" s="2" t="s">
        <v>435</v>
      </c>
      <c r="I133" s="2" t="s">
        <v>73</v>
      </c>
      <c r="J133" s="2">
        <v>5</v>
      </c>
      <c r="K133" s="2" t="s">
        <v>741</v>
      </c>
      <c r="L133" s="2" t="str" cm="1">
        <f t="array" ref="L133">_xlfn.REGEXEXTRACT(B133,"(?&lt;=//)[^/]+")</f>
        <v>www.xozilla.xxx</v>
      </c>
      <c r="M133" s="2" t="s">
        <v>747</v>
      </c>
      <c r="N133" s="2" t="s">
        <v>1840</v>
      </c>
      <c r="O133" s="2" t="str" cm="1">
        <f t="array" ref="O133">IF(N133&lt;&gt;"NotApplicable",_xlfn.REGEXEXTRACT(N133,"\d+(?=p)"),"NotApplicable")</f>
        <v>NotApplicable</v>
      </c>
      <c r="P133" s="2" t="s">
        <v>1840</v>
      </c>
      <c r="Q133" s="2" t="s">
        <v>1840</v>
      </c>
      <c r="R133" s="2" t="s">
        <v>1840</v>
      </c>
      <c r="S133" s="24" t="b">
        <f t="shared" si="5"/>
        <v>0</v>
      </c>
    </row>
    <row r="134" spans="1:19" ht="45" x14ac:dyDescent="0.25">
      <c r="A134" s="2" t="str">
        <f t="shared" si="4"/>
        <v>Done</v>
      </c>
      <c r="B134" s="2" t="s">
        <v>292</v>
      </c>
      <c r="C134" s="2">
        <v>1</v>
      </c>
      <c r="D134" s="2" t="s">
        <v>1836</v>
      </c>
      <c r="E134" s="2" t="s">
        <v>1838</v>
      </c>
      <c r="F134" s="2" t="s">
        <v>91</v>
      </c>
      <c r="G134" s="2" t="s">
        <v>536</v>
      </c>
      <c r="H134" s="2" t="s">
        <v>651</v>
      </c>
      <c r="I134" s="2" t="s">
        <v>280</v>
      </c>
      <c r="J134" s="2">
        <v>5</v>
      </c>
      <c r="K134" s="2" t="s">
        <v>326</v>
      </c>
      <c r="L134" s="2" t="str" cm="1">
        <f t="array" ref="L134">_xlfn.REGEXEXTRACT(B134,"(?&lt;=//)[^/]+")</f>
        <v>xhamster44.desi</v>
      </c>
      <c r="M134" s="2" t="s">
        <v>747</v>
      </c>
      <c r="N134" s="2" t="s">
        <v>1840</v>
      </c>
      <c r="O134" s="2" t="str" cm="1">
        <f t="array" ref="O134">IF(N134&lt;&gt;"NotApplicable",_xlfn.REGEXEXTRACT(N134,"\d+(?=p)"),"NotApplicable")</f>
        <v>NotApplicable</v>
      </c>
      <c r="P134" s="2" t="s">
        <v>1840</v>
      </c>
      <c r="Q134" s="2" t="s">
        <v>1840</v>
      </c>
      <c r="R134" s="2" t="s">
        <v>1840</v>
      </c>
      <c r="S134" s="24" t="b">
        <f t="shared" si="5"/>
        <v>0</v>
      </c>
    </row>
    <row r="135" spans="1:19" ht="45" x14ac:dyDescent="0.25">
      <c r="A135" s="2" t="str">
        <f t="shared" si="4"/>
        <v>Done</v>
      </c>
      <c r="B135" s="2" t="s">
        <v>143</v>
      </c>
      <c r="C135" s="2">
        <v>31</v>
      </c>
      <c r="D135" s="2" t="s">
        <v>1836</v>
      </c>
      <c r="E135" s="2" t="s">
        <v>191</v>
      </c>
      <c r="F135" s="2" t="s">
        <v>189</v>
      </c>
      <c r="G135" s="2" t="s">
        <v>398</v>
      </c>
      <c r="H135" s="2" t="s">
        <v>89</v>
      </c>
      <c r="I135" s="2" t="s">
        <v>73</v>
      </c>
      <c r="J135" s="2">
        <v>4</v>
      </c>
      <c r="K135" s="2" t="s">
        <v>192</v>
      </c>
      <c r="L135" s="2" t="str" cm="1">
        <f t="array" ref="L135">_xlfn.REGEXEXTRACT(B135,"(?&lt;=//)[^/]+")</f>
        <v>txxx.me</v>
      </c>
      <c r="M135" s="2" t="s">
        <v>747</v>
      </c>
      <c r="N135" s="2" t="s">
        <v>1840</v>
      </c>
      <c r="O135" s="2" t="str" cm="1">
        <f t="array" ref="O135">IF(N135&lt;&gt;"NotApplicable",_xlfn.REGEXEXTRACT(N135,"\d+(?=p)"),"NotApplicable")</f>
        <v>NotApplicable</v>
      </c>
      <c r="P135" s="2" t="s">
        <v>1840</v>
      </c>
      <c r="Q135" s="2" t="s">
        <v>1840</v>
      </c>
      <c r="R135" s="2" t="s">
        <v>1840</v>
      </c>
      <c r="S135" s="24" t="b">
        <f t="shared" si="5"/>
        <v>0</v>
      </c>
    </row>
    <row r="136" spans="1:19" ht="45" x14ac:dyDescent="0.25">
      <c r="A136" s="2" t="str">
        <f t="shared" si="4"/>
        <v>Done</v>
      </c>
      <c r="B136" s="2" t="s">
        <v>716</v>
      </c>
      <c r="C136" s="2">
        <v>36</v>
      </c>
      <c r="D136" s="2" t="s">
        <v>1836</v>
      </c>
      <c r="E136" s="2" t="s">
        <v>1838</v>
      </c>
      <c r="F136" s="2" t="s">
        <v>80</v>
      </c>
      <c r="G136" s="2" t="s">
        <v>870</v>
      </c>
      <c r="H136" s="2" t="s">
        <v>724</v>
      </c>
      <c r="I136" s="2" t="s">
        <v>73</v>
      </c>
      <c r="J136" s="2">
        <v>4</v>
      </c>
      <c r="K136" s="2" t="s">
        <v>871</v>
      </c>
      <c r="L136" s="2" t="str" cm="1">
        <f t="array" ref="L136">_xlfn.REGEXEXTRACT(B136,"(?&lt;=//)[^/]+")</f>
        <v>www.eporner.com</v>
      </c>
      <c r="M136" s="2" t="s">
        <v>747</v>
      </c>
      <c r="N136" s="2" t="s">
        <v>1840</v>
      </c>
      <c r="O136" s="2" t="str" cm="1">
        <f t="array" ref="O136">IF(N136&lt;&gt;"NotApplicable",_xlfn.REGEXEXTRACT(N136,"\d+(?=p)"),"NotApplicable")</f>
        <v>NotApplicable</v>
      </c>
      <c r="P136" s="2" t="s">
        <v>1840</v>
      </c>
      <c r="Q136" s="2" t="s">
        <v>1840</v>
      </c>
      <c r="R136" s="2" t="s">
        <v>1840</v>
      </c>
      <c r="S136" s="24" t="b">
        <f t="shared" si="5"/>
        <v>0</v>
      </c>
    </row>
    <row r="137" spans="1:19" ht="30" x14ac:dyDescent="0.25">
      <c r="A137" s="2" t="str">
        <f t="shared" si="4"/>
        <v>Done</v>
      </c>
      <c r="B137" s="2" t="s">
        <v>478</v>
      </c>
      <c r="C137" s="2">
        <v>0</v>
      </c>
      <c r="D137" s="2" t="s">
        <v>1837</v>
      </c>
      <c r="E137" s="2" t="s">
        <v>1839</v>
      </c>
      <c r="F137" s="2" t="s">
        <v>313</v>
      </c>
      <c r="G137" s="2" t="s">
        <v>67</v>
      </c>
      <c r="H137" s="2" t="s">
        <v>422</v>
      </c>
      <c r="I137" s="2" t="s">
        <v>73</v>
      </c>
      <c r="J137" s="2">
        <v>4</v>
      </c>
      <c r="K137" s="2" t="s">
        <v>267</v>
      </c>
      <c r="L137" s="2" t="str" cm="1">
        <f t="array" ref="L137">_xlfn.REGEXEXTRACT(B137,"(?&lt;=//)[^/]+")</f>
        <v>netfapx.net</v>
      </c>
      <c r="M137" s="2" t="s">
        <v>747</v>
      </c>
      <c r="N137" s="2" t="s">
        <v>1840</v>
      </c>
      <c r="O137" s="2" t="str" cm="1">
        <f t="array" ref="O137">IF(N137&lt;&gt;"NotApplicable",_xlfn.REGEXEXTRACT(N137,"\d+(?=p)"),"NotApplicable")</f>
        <v>NotApplicable</v>
      </c>
      <c r="P137" s="2" t="s">
        <v>1840</v>
      </c>
      <c r="Q137" s="2" t="s">
        <v>1840</v>
      </c>
      <c r="R137" s="2" t="s">
        <v>1840</v>
      </c>
      <c r="S137" s="24" t="b">
        <f t="shared" si="5"/>
        <v>0</v>
      </c>
    </row>
    <row r="138" spans="1:19" ht="30" x14ac:dyDescent="0.25">
      <c r="A138" s="2" t="str">
        <f t="shared" si="4"/>
        <v>Done</v>
      </c>
      <c r="B138" s="2" t="s">
        <v>479</v>
      </c>
      <c r="C138" s="2">
        <v>0</v>
      </c>
      <c r="D138" s="2" t="s">
        <v>1837</v>
      </c>
      <c r="E138" s="2" t="s">
        <v>1839</v>
      </c>
      <c r="F138" s="2" t="s">
        <v>313</v>
      </c>
      <c r="G138" s="2" t="s">
        <v>67</v>
      </c>
      <c r="H138" s="2" t="s">
        <v>422</v>
      </c>
      <c r="I138" s="2" t="s">
        <v>73</v>
      </c>
      <c r="J138" s="2">
        <v>4</v>
      </c>
      <c r="K138" s="2" t="s">
        <v>270</v>
      </c>
      <c r="L138" s="2" t="str" cm="1">
        <f t="array" ref="L138">_xlfn.REGEXEXTRACT(B138,"(?&lt;=//)[^/]+")</f>
        <v>pornzog.com</v>
      </c>
      <c r="M138" s="2" t="s">
        <v>747</v>
      </c>
      <c r="N138" s="2" t="s">
        <v>1840</v>
      </c>
      <c r="O138" s="2" t="str" cm="1">
        <f t="array" ref="O138">IF(N138&lt;&gt;"NotApplicable",_xlfn.REGEXEXTRACT(N138,"\d+(?=p)"),"NotApplicable")</f>
        <v>NotApplicable</v>
      </c>
      <c r="P138" s="2" t="s">
        <v>1840</v>
      </c>
      <c r="Q138" s="2" t="s">
        <v>1840</v>
      </c>
      <c r="R138" s="2" t="s">
        <v>1840</v>
      </c>
      <c r="S138" s="24" t="b">
        <f t="shared" si="5"/>
        <v>0</v>
      </c>
    </row>
    <row r="139" spans="1:19" ht="45" x14ac:dyDescent="0.25">
      <c r="A139" s="2" t="str">
        <f t="shared" si="4"/>
        <v>Done</v>
      </c>
      <c r="B139" s="2" t="s">
        <v>1781</v>
      </c>
      <c r="C139" s="2">
        <v>80</v>
      </c>
      <c r="D139" s="2" t="s">
        <v>919</v>
      </c>
      <c r="E139" s="2" t="s">
        <v>371</v>
      </c>
      <c r="F139" s="2" t="s">
        <v>80</v>
      </c>
      <c r="G139" s="2" t="s">
        <v>1780</v>
      </c>
      <c r="H139" s="2" t="s">
        <v>775</v>
      </c>
      <c r="I139" s="2" t="s">
        <v>73</v>
      </c>
      <c r="J139" s="2">
        <v>4</v>
      </c>
      <c r="K139" s="2" t="s">
        <v>120</v>
      </c>
      <c r="L139" s="2" t="str" cm="1">
        <f t="array" ref="L139">_xlfn.REGEXEXTRACT(B139,"(?&lt;=//)[^/]+")</f>
        <v>bdsmstreak.com</v>
      </c>
      <c r="M139" s="2" t="s">
        <v>747</v>
      </c>
      <c r="N139" s="2" t="s">
        <v>1840</v>
      </c>
      <c r="O139" s="2" t="str" cm="1">
        <f t="array" ref="O139">IF(N139&lt;&gt;"NotApplicable",_xlfn.REGEXEXTRACT(N139,"\d+(?=p)"),"NotApplicable")</f>
        <v>NotApplicable</v>
      </c>
      <c r="P139" s="2" t="s">
        <v>1840</v>
      </c>
      <c r="Q139" s="2" t="s">
        <v>1840</v>
      </c>
      <c r="R139" s="2" t="s">
        <v>1840</v>
      </c>
      <c r="S139" s="24" t="b">
        <f t="shared" si="5"/>
        <v>1</v>
      </c>
    </row>
    <row r="140" spans="1:19" ht="45" x14ac:dyDescent="0.25">
      <c r="A140" s="2" t="str">
        <f t="shared" si="4"/>
        <v>Done</v>
      </c>
      <c r="B140" s="2" t="s">
        <v>1770</v>
      </c>
      <c r="C140" s="2">
        <v>42</v>
      </c>
      <c r="D140" s="2" t="s">
        <v>911</v>
      </c>
      <c r="E140" s="2" t="s">
        <v>376</v>
      </c>
      <c r="F140" s="2" t="s">
        <v>91</v>
      </c>
      <c r="G140" s="2" t="s">
        <v>1769</v>
      </c>
      <c r="H140" s="2" t="s">
        <v>691</v>
      </c>
      <c r="I140" s="2" t="s">
        <v>73</v>
      </c>
      <c r="J140" s="2">
        <v>4</v>
      </c>
      <c r="K140" s="2" t="s">
        <v>561</v>
      </c>
      <c r="L140" s="2" t="str" cm="1">
        <f t="array" ref="L140">_xlfn.REGEXEXTRACT(B140,"(?&lt;=//)[^/]+")</f>
        <v>hcbdsm.com</v>
      </c>
      <c r="M140" s="2" t="s">
        <v>747</v>
      </c>
      <c r="N140" s="2" t="s">
        <v>1840</v>
      </c>
      <c r="O140" s="2" t="str" cm="1">
        <f t="array" ref="O140">IF(N140&lt;&gt;"NotApplicable",_xlfn.REGEXEXTRACT(N140,"\d+(?=p)"),"NotApplicable")</f>
        <v>NotApplicable</v>
      </c>
      <c r="P140" s="2" t="s">
        <v>1840</v>
      </c>
      <c r="Q140" s="2" t="s">
        <v>1840</v>
      </c>
      <c r="R140" s="2" t="s">
        <v>1840</v>
      </c>
      <c r="S140" s="24" t="b">
        <f t="shared" si="5"/>
        <v>1</v>
      </c>
    </row>
    <row r="141" spans="1:19" ht="45" x14ac:dyDescent="0.25">
      <c r="A141" s="2" t="str">
        <f t="shared" si="4"/>
        <v>Done</v>
      </c>
      <c r="B141" s="2" t="s">
        <v>20</v>
      </c>
      <c r="C141" s="2">
        <v>59</v>
      </c>
      <c r="D141" s="2" t="s">
        <v>915</v>
      </c>
      <c r="E141" s="2" t="s">
        <v>373</v>
      </c>
      <c r="F141" s="2" t="s">
        <v>80</v>
      </c>
      <c r="G141" s="2" t="s">
        <v>1783</v>
      </c>
      <c r="H141" s="2" t="s">
        <v>437</v>
      </c>
      <c r="I141" s="2" t="s">
        <v>73</v>
      </c>
      <c r="J141" s="2">
        <v>4</v>
      </c>
      <c r="K141" s="2" t="s">
        <v>603</v>
      </c>
      <c r="L141" s="2" t="str" cm="1">
        <f t="array" ref="L141">_xlfn.REGEXEXTRACT(B141,"(?&lt;=//)[^/]+")</f>
        <v>bdsmstreak.com</v>
      </c>
      <c r="M141" s="2" t="s">
        <v>747</v>
      </c>
      <c r="N141" s="2" t="s">
        <v>1840</v>
      </c>
      <c r="O141" s="2" t="str" cm="1">
        <f t="array" ref="O141">IF(N141&lt;&gt;"NotApplicable",_xlfn.REGEXEXTRACT(N141,"\d+(?=p)"),"NotApplicable")</f>
        <v>NotApplicable</v>
      </c>
      <c r="P141" s="2" t="s">
        <v>1840</v>
      </c>
      <c r="Q141" s="2" t="s">
        <v>1840</v>
      </c>
      <c r="R141" s="2" t="s">
        <v>1840</v>
      </c>
      <c r="S141" s="24" t="b">
        <f t="shared" si="5"/>
        <v>1</v>
      </c>
    </row>
    <row r="142" spans="1:19" ht="45" x14ac:dyDescent="0.25">
      <c r="A142" s="2" t="str">
        <f t="shared" si="4"/>
        <v>Done</v>
      </c>
      <c r="B142" s="2" t="s">
        <v>10</v>
      </c>
      <c r="C142" s="2">
        <v>58</v>
      </c>
      <c r="D142" s="2" t="s">
        <v>921</v>
      </c>
      <c r="E142" s="2" t="s">
        <v>374</v>
      </c>
      <c r="F142" s="2" t="s">
        <v>80</v>
      </c>
      <c r="G142" s="2" t="s">
        <v>1784</v>
      </c>
      <c r="H142" s="2" t="s">
        <v>438</v>
      </c>
      <c r="I142" s="2" t="s">
        <v>73</v>
      </c>
      <c r="J142" s="2">
        <v>4</v>
      </c>
      <c r="K142" s="2" t="s">
        <v>564</v>
      </c>
      <c r="L142" s="2" t="str" cm="1">
        <f t="array" ref="L142">_xlfn.REGEXEXTRACT(B142,"(?&lt;=//)[^/]+")</f>
        <v>heavyfetish.com</v>
      </c>
      <c r="M142" s="2" t="s">
        <v>747</v>
      </c>
      <c r="N142" s="2" t="s">
        <v>1840</v>
      </c>
      <c r="O142" s="2" t="str" cm="1">
        <f t="array" ref="O142">IF(N142&lt;&gt;"NotApplicable",_xlfn.REGEXEXTRACT(N142,"\d+(?=p)"),"NotApplicable")</f>
        <v>NotApplicable</v>
      </c>
      <c r="P142" s="2" t="s">
        <v>1840</v>
      </c>
      <c r="Q142" s="2" t="s">
        <v>1840</v>
      </c>
      <c r="R142" s="2" t="s">
        <v>1840</v>
      </c>
      <c r="S142" s="24" t="b">
        <f t="shared" si="5"/>
        <v>1</v>
      </c>
    </row>
    <row r="143" spans="1:19" ht="60" x14ac:dyDescent="0.25">
      <c r="A143" s="2" t="str">
        <f t="shared" si="4"/>
        <v>Done</v>
      </c>
      <c r="B143" s="2" t="s">
        <v>755</v>
      </c>
      <c r="C143" s="2">
        <v>48</v>
      </c>
      <c r="D143" s="2" t="s">
        <v>921</v>
      </c>
      <c r="E143" s="2" t="s">
        <v>756</v>
      </c>
      <c r="F143" s="2" t="s">
        <v>79</v>
      </c>
      <c r="G143" s="2" t="s">
        <v>1808</v>
      </c>
      <c r="H143" s="2" t="s">
        <v>767</v>
      </c>
      <c r="I143" s="2" t="s">
        <v>73</v>
      </c>
      <c r="J143" s="2">
        <v>4</v>
      </c>
      <c r="K143" s="2" t="s">
        <v>868</v>
      </c>
      <c r="L143" s="2" t="str" cm="1">
        <f t="array" ref="L143">_xlfn.REGEXEXTRACT(B143,"(?&lt;=//)[^/]+")</f>
        <v>bdsmstreak.com</v>
      </c>
      <c r="M143" s="2" t="s">
        <v>747</v>
      </c>
      <c r="N143" s="2" t="s">
        <v>1840</v>
      </c>
      <c r="O143" s="2" t="str" cm="1">
        <f t="array" ref="O143">IF(N143&lt;&gt;"NotApplicable",_xlfn.REGEXEXTRACT(N143,"\d+(?=p)"),"NotApplicable")</f>
        <v>NotApplicable</v>
      </c>
      <c r="P143" s="2" t="s">
        <v>1840</v>
      </c>
      <c r="Q143" s="2" t="s">
        <v>1840</v>
      </c>
      <c r="R143" s="2" t="s">
        <v>1840</v>
      </c>
      <c r="S143" s="24" t="b">
        <f t="shared" si="5"/>
        <v>1</v>
      </c>
    </row>
    <row r="144" spans="1:19" ht="45" x14ac:dyDescent="0.25">
      <c r="A144" s="2" t="str">
        <f t="shared" si="4"/>
        <v>Done</v>
      </c>
      <c r="B144" s="2" t="s">
        <v>1810</v>
      </c>
      <c r="C144" s="2">
        <v>60</v>
      </c>
      <c r="D144" s="2" t="s">
        <v>913</v>
      </c>
      <c r="E144" s="2" t="s">
        <v>372</v>
      </c>
      <c r="F144" s="2" t="s">
        <v>79</v>
      </c>
      <c r="G144" s="2" t="s">
        <v>1811</v>
      </c>
      <c r="H144" s="2" t="s">
        <v>436</v>
      </c>
      <c r="I144" s="2" t="s">
        <v>73</v>
      </c>
      <c r="J144" s="2">
        <v>4</v>
      </c>
      <c r="K144" s="2" t="s">
        <v>569</v>
      </c>
      <c r="L144" s="2" t="str" cm="1">
        <f t="array" ref="L144">_xlfn.REGEXEXTRACT(B144,"(?&lt;=//)[^/]+")</f>
        <v>hcbdsm.com</v>
      </c>
      <c r="M144" s="2" t="s">
        <v>747</v>
      </c>
      <c r="N144" s="2" t="s">
        <v>1840</v>
      </c>
      <c r="O144" s="2" t="str" cm="1">
        <f t="array" ref="O144">IF(N144&lt;&gt;"NotApplicable",_xlfn.REGEXEXTRACT(N144,"\d+(?=p)"),"NotApplicable")</f>
        <v>NotApplicable</v>
      </c>
      <c r="P144" s="2" t="s">
        <v>1840</v>
      </c>
      <c r="Q144" s="2" t="s">
        <v>1840</v>
      </c>
      <c r="R144" s="2" t="s">
        <v>1840</v>
      </c>
      <c r="S144" s="24" t="b">
        <f t="shared" si="5"/>
        <v>1</v>
      </c>
    </row>
    <row r="145" spans="1:19" ht="30" x14ac:dyDescent="0.25">
      <c r="A145" s="2" t="str">
        <f t="shared" si="4"/>
        <v>Done</v>
      </c>
      <c r="B145" s="2" t="s">
        <v>127</v>
      </c>
      <c r="C145" s="2">
        <v>27</v>
      </c>
      <c r="D145" s="2" t="s">
        <v>921</v>
      </c>
      <c r="E145" s="2" t="s">
        <v>375</v>
      </c>
      <c r="F145" s="2" t="s">
        <v>79</v>
      </c>
      <c r="G145" s="2" t="s">
        <v>1816</v>
      </c>
      <c r="H145" s="2" t="s">
        <v>445</v>
      </c>
      <c r="I145" s="2" t="s">
        <v>73</v>
      </c>
      <c r="J145" s="2">
        <v>4</v>
      </c>
      <c r="K145" s="2" t="s">
        <v>592</v>
      </c>
      <c r="L145" s="2" t="str" cm="1">
        <f t="array" ref="L145">_xlfn.REGEXEXTRACT(B145,"(?&lt;=//)[^/]+")</f>
        <v>heavyfetish.com</v>
      </c>
      <c r="M145" s="2" t="s">
        <v>747</v>
      </c>
      <c r="N145" s="2" t="s">
        <v>1840</v>
      </c>
      <c r="O145" s="2" t="str" cm="1">
        <f t="array" ref="O145">IF(N145&lt;&gt;"NotApplicable",_xlfn.REGEXEXTRACT(N145,"\d+(?=p)"),"NotApplicable")</f>
        <v>NotApplicable</v>
      </c>
      <c r="P145" s="2" t="s">
        <v>1840</v>
      </c>
      <c r="Q145" s="2" t="s">
        <v>1840</v>
      </c>
      <c r="R145" s="2" t="s">
        <v>1840</v>
      </c>
      <c r="S145" s="24" t="b">
        <f t="shared" si="5"/>
        <v>1</v>
      </c>
    </row>
    <row r="146" spans="1:19" ht="45" x14ac:dyDescent="0.25">
      <c r="A146" s="2" t="str">
        <f t="shared" si="4"/>
        <v>Done</v>
      </c>
      <c r="B146" s="2" t="s">
        <v>1828</v>
      </c>
      <c r="C146" s="2">
        <v>52</v>
      </c>
      <c r="D146" s="2" t="s">
        <v>920</v>
      </c>
      <c r="E146" s="2" t="s">
        <v>1830</v>
      </c>
      <c r="F146" s="2" t="s">
        <v>91</v>
      </c>
      <c r="G146" s="2" t="s">
        <v>703</v>
      </c>
      <c r="H146" s="2" t="s">
        <v>672</v>
      </c>
      <c r="I146" s="2" t="s">
        <v>73</v>
      </c>
      <c r="J146" s="2">
        <v>4</v>
      </c>
      <c r="K146" s="2" t="s">
        <v>705</v>
      </c>
      <c r="L146" s="2" t="str" cm="1">
        <f t="array" ref="L146">_xlfn.REGEXEXTRACT(B146,"(?&lt;=//)[^/]+")</f>
        <v>hcbdsm.com</v>
      </c>
      <c r="M146" s="2" t="s">
        <v>747</v>
      </c>
      <c r="N146" s="2" t="s">
        <v>1840</v>
      </c>
      <c r="O146" s="2" t="str" cm="1">
        <f t="array" ref="O146">IF(N146&lt;&gt;"NotApplicable",_xlfn.REGEXEXTRACT(N146,"\d+(?=p)"),"NotApplicable")</f>
        <v>NotApplicable</v>
      </c>
      <c r="P146" s="2" t="s">
        <v>1840</v>
      </c>
      <c r="Q146" s="2" t="s">
        <v>1840</v>
      </c>
      <c r="R146" s="2" t="s">
        <v>1840</v>
      </c>
      <c r="S146" s="24" t="b">
        <f t="shared" si="5"/>
        <v>1</v>
      </c>
    </row>
    <row r="147" spans="1:19" ht="45" x14ac:dyDescent="0.25">
      <c r="A147" s="2" t="str">
        <f t="shared" si="4"/>
        <v>Done</v>
      </c>
      <c r="B147" s="2" t="s">
        <v>856</v>
      </c>
      <c r="C147" s="2">
        <v>45</v>
      </c>
      <c r="D147" s="2" t="s">
        <v>910</v>
      </c>
      <c r="E147" s="2" t="s">
        <v>733</v>
      </c>
      <c r="F147" s="2" t="s">
        <v>79</v>
      </c>
      <c r="G147" s="2" t="s">
        <v>854</v>
      </c>
      <c r="H147" s="2" t="s">
        <v>855</v>
      </c>
      <c r="I147" s="2" t="s">
        <v>73</v>
      </c>
      <c r="J147" s="2">
        <v>4</v>
      </c>
      <c r="K147" s="2" t="s">
        <v>853</v>
      </c>
      <c r="L147" s="2" t="str" cm="1">
        <f t="array" ref="L147">_xlfn.REGEXEXTRACT(B147,"(?&lt;=//)[^/]+")</f>
        <v>bdsmmansion.com</v>
      </c>
      <c r="M147" s="2" t="s">
        <v>747</v>
      </c>
      <c r="N147" s="2" t="s">
        <v>1840</v>
      </c>
      <c r="O147" s="2" t="str" cm="1">
        <f t="array" ref="O147">IF(N147&lt;&gt;"NotApplicable",_xlfn.REGEXEXTRACT(N147,"\d+(?=p)"),"NotApplicable")</f>
        <v>NotApplicable</v>
      </c>
      <c r="P147" s="2" t="s">
        <v>1840</v>
      </c>
      <c r="Q147" s="2" t="s">
        <v>1840</v>
      </c>
      <c r="R147" s="2" t="s">
        <v>1840</v>
      </c>
      <c r="S147" s="24" t="b">
        <f t="shared" si="5"/>
        <v>0</v>
      </c>
    </row>
    <row r="148" spans="1:19" ht="30" x14ac:dyDescent="0.25">
      <c r="A148" s="2" t="str">
        <f t="shared" si="4"/>
        <v>Done</v>
      </c>
      <c r="B148" s="2" t="s">
        <v>24</v>
      </c>
      <c r="C148" s="2">
        <v>55</v>
      </c>
      <c r="D148" s="2" t="s">
        <v>84</v>
      </c>
      <c r="E148" s="2" t="s">
        <v>216</v>
      </c>
      <c r="F148" s="2" t="s">
        <v>79</v>
      </c>
      <c r="G148" s="2" t="s">
        <v>395</v>
      </c>
      <c r="H148" s="2" t="s">
        <v>439</v>
      </c>
      <c r="I148" s="2" t="s">
        <v>73</v>
      </c>
      <c r="J148" s="2">
        <v>4</v>
      </c>
      <c r="K148" s="2" t="s">
        <v>85</v>
      </c>
      <c r="L148" s="2" t="str" cm="1">
        <f t="array" ref="L148">_xlfn.REGEXEXTRACT(B148,"(?&lt;=//)[^/]+")</f>
        <v>bdsmstreak.com</v>
      </c>
      <c r="M148" s="2" t="s">
        <v>747</v>
      </c>
      <c r="N148" s="2" t="s">
        <v>1840</v>
      </c>
      <c r="O148" s="2" t="str" cm="1">
        <f t="array" ref="O148">IF(N148&lt;&gt;"NotApplicable",_xlfn.REGEXEXTRACT(N148,"\d+(?=p)"),"NotApplicable")</f>
        <v>NotApplicable</v>
      </c>
      <c r="P148" s="2" t="s">
        <v>1840</v>
      </c>
      <c r="Q148" s="2" t="s">
        <v>1840</v>
      </c>
      <c r="R148" s="2" t="s">
        <v>1840</v>
      </c>
      <c r="S148" s="24" t="b">
        <f t="shared" si="5"/>
        <v>0</v>
      </c>
    </row>
    <row r="149" spans="1:19" ht="30" x14ac:dyDescent="0.25">
      <c r="A149" s="2" t="str">
        <f t="shared" si="4"/>
        <v>Done</v>
      </c>
      <c r="B149" s="2" t="s">
        <v>41</v>
      </c>
      <c r="C149" s="2">
        <v>36</v>
      </c>
      <c r="D149" s="2" t="s">
        <v>209</v>
      </c>
      <c r="E149" s="2" t="s">
        <v>96</v>
      </c>
      <c r="F149" s="2" t="s">
        <v>79</v>
      </c>
      <c r="G149" s="2" t="s">
        <v>531</v>
      </c>
      <c r="H149" s="2" t="s">
        <v>642</v>
      </c>
      <c r="I149" s="2" t="s">
        <v>73</v>
      </c>
      <c r="J149" s="2">
        <v>4</v>
      </c>
      <c r="K149" s="2" t="s">
        <v>160</v>
      </c>
      <c r="L149" s="2" t="str" cm="1">
        <f t="array" ref="L149">_xlfn.REGEXEXTRACT(B149,"(?&lt;=//)[^/]+")</f>
        <v>bdsmstreak.com</v>
      </c>
      <c r="M149" s="2" t="s">
        <v>747</v>
      </c>
      <c r="N149" s="2" t="s">
        <v>1840</v>
      </c>
      <c r="O149" s="2" t="str" cm="1">
        <f t="array" ref="O149">IF(N149&lt;&gt;"NotApplicable",_xlfn.REGEXEXTRACT(N149,"\d+(?=p)"),"NotApplicable")</f>
        <v>NotApplicable</v>
      </c>
      <c r="P149" s="2" t="s">
        <v>1840</v>
      </c>
      <c r="Q149" s="2" t="s">
        <v>1840</v>
      </c>
      <c r="R149" s="2" t="s">
        <v>1840</v>
      </c>
      <c r="S149" s="24" t="b">
        <f t="shared" si="5"/>
        <v>0</v>
      </c>
    </row>
    <row r="150" spans="1:19" ht="30" x14ac:dyDescent="0.25">
      <c r="A150" s="2" t="str">
        <f t="shared" si="4"/>
        <v>Done</v>
      </c>
      <c r="B150" s="2" t="s">
        <v>55</v>
      </c>
      <c r="C150" s="2">
        <v>67</v>
      </c>
      <c r="D150" s="2" t="s">
        <v>920</v>
      </c>
      <c r="E150" s="2" t="s">
        <v>90</v>
      </c>
      <c r="F150" s="2" t="s">
        <v>91</v>
      </c>
      <c r="G150" s="2" t="s">
        <v>540</v>
      </c>
      <c r="H150" s="2" t="s">
        <v>774</v>
      </c>
      <c r="I150" s="2" t="s">
        <v>73</v>
      </c>
      <c r="J150" s="2">
        <v>4</v>
      </c>
      <c r="K150" s="2" t="s">
        <v>92</v>
      </c>
      <c r="L150" s="2" t="str" cm="1">
        <f t="array" ref="L150">_xlfn.REGEXEXTRACT(B150,"(?&lt;=//)[^/]+")</f>
        <v>bdsmstreak.com</v>
      </c>
      <c r="M150" s="2" t="s">
        <v>747</v>
      </c>
      <c r="N150" s="2" t="s">
        <v>1840</v>
      </c>
      <c r="O150" s="2" t="str" cm="1">
        <f t="array" ref="O150">IF(N150&lt;&gt;"NotApplicable",_xlfn.REGEXEXTRACT(N150,"\d+(?=p)"),"NotApplicable")</f>
        <v>NotApplicable</v>
      </c>
      <c r="P150" s="2" t="s">
        <v>1840</v>
      </c>
      <c r="Q150" s="2" t="s">
        <v>1840</v>
      </c>
      <c r="R150" s="2" t="s">
        <v>1840</v>
      </c>
      <c r="S150" s="24" t="b">
        <f t="shared" si="5"/>
        <v>0</v>
      </c>
    </row>
    <row r="151" spans="1:19" ht="45" x14ac:dyDescent="0.25">
      <c r="A151" s="2" t="str">
        <f t="shared" si="4"/>
        <v>Done</v>
      </c>
      <c r="B151" s="2" t="s">
        <v>124</v>
      </c>
      <c r="C151" s="2">
        <v>42</v>
      </c>
      <c r="D151" s="2" t="s">
        <v>921</v>
      </c>
      <c r="E151" s="2" t="s">
        <v>204</v>
      </c>
      <c r="F151" s="2" t="s">
        <v>79</v>
      </c>
      <c r="G151" s="2" t="s">
        <v>573</v>
      </c>
      <c r="H151" s="2" t="s">
        <v>784</v>
      </c>
      <c r="I151" s="2" t="s">
        <v>73</v>
      </c>
      <c r="J151" s="2">
        <v>4</v>
      </c>
      <c r="K151" s="2" t="s">
        <v>206</v>
      </c>
      <c r="L151" s="2" t="str" cm="1">
        <f t="array" ref="L151">_xlfn.REGEXEXTRACT(B151,"(?&lt;=//)[^/]+")</f>
        <v>bdsmstreak.com</v>
      </c>
      <c r="M151" s="2" t="s">
        <v>747</v>
      </c>
      <c r="N151" s="2" t="s">
        <v>1840</v>
      </c>
      <c r="O151" s="2" t="str" cm="1">
        <f t="array" ref="O151">IF(N151&lt;&gt;"NotApplicable",_xlfn.REGEXEXTRACT(N151,"\d+(?=p)"),"NotApplicable")</f>
        <v>NotApplicable</v>
      </c>
      <c r="P151" s="2" t="s">
        <v>1840</v>
      </c>
      <c r="Q151" s="2" t="s">
        <v>1840</v>
      </c>
      <c r="R151" s="2" t="s">
        <v>1840</v>
      </c>
      <c r="S151" s="24" t="b">
        <f t="shared" si="5"/>
        <v>0</v>
      </c>
    </row>
    <row r="152" spans="1:19" ht="30" x14ac:dyDescent="0.25">
      <c r="A152" s="2" t="str">
        <f t="shared" si="4"/>
        <v>Done</v>
      </c>
      <c r="B152" s="2" t="s">
        <v>306</v>
      </c>
      <c r="C152" s="2">
        <v>22</v>
      </c>
      <c r="D152" s="2" t="s">
        <v>122</v>
      </c>
      <c r="E152" s="2" t="s">
        <v>308</v>
      </c>
      <c r="F152" s="2" t="s">
        <v>91</v>
      </c>
      <c r="G152" s="2" t="s">
        <v>542</v>
      </c>
      <c r="H152" s="2" t="s">
        <v>670</v>
      </c>
      <c r="I152" s="2" t="s">
        <v>73</v>
      </c>
      <c r="J152" s="2">
        <v>4</v>
      </c>
      <c r="K152" s="2" t="s">
        <v>331</v>
      </c>
      <c r="L152" s="2" t="str" cm="1">
        <f t="array" ref="L152">_xlfn.REGEXEXTRACT(B152,"(?&lt;=//)[^/]+")</f>
        <v>heavyfetish.com</v>
      </c>
      <c r="M152" s="2" t="s">
        <v>747</v>
      </c>
      <c r="N152" s="2" t="s">
        <v>1840</v>
      </c>
      <c r="O152" s="2" t="str" cm="1">
        <f t="array" ref="O152">IF(N152&lt;&gt;"NotApplicable",_xlfn.REGEXEXTRACT(N152,"\d+(?=p)"),"NotApplicable")</f>
        <v>NotApplicable</v>
      </c>
      <c r="P152" s="2" t="s">
        <v>1840</v>
      </c>
      <c r="Q152" s="2" t="s">
        <v>1840</v>
      </c>
      <c r="R152" s="2" t="s">
        <v>1840</v>
      </c>
      <c r="S152" s="24" t="b">
        <f t="shared" si="5"/>
        <v>0</v>
      </c>
    </row>
    <row r="153" spans="1:19" ht="30" x14ac:dyDescent="0.25">
      <c r="A153" s="2" t="str">
        <f t="shared" si="4"/>
        <v>Done</v>
      </c>
      <c r="B153" s="2" t="s">
        <v>149</v>
      </c>
      <c r="C153" s="2">
        <v>14</v>
      </c>
      <c r="D153" s="2" t="s">
        <v>169</v>
      </c>
      <c r="E153" s="2" t="s">
        <v>168</v>
      </c>
      <c r="F153" s="2" t="s">
        <v>79</v>
      </c>
      <c r="G153" s="2" t="s">
        <v>524</v>
      </c>
      <c r="H153" s="2" t="s">
        <v>446</v>
      </c>
      <c r="I153" s="2" t="s">
        <v>73</v>
      </c>
      <c r="J153" s="2">
        <v>4</v>
      </c>
      <c r="K153" s="2" t="s">
        <v>171</v>
      </c>
      <c r="L153" s="2" t="str" cm="1">
        <f t="array" ref="L153">_xlfn.REGEXEXTRACT(B153,"(?&lt;=//)[^/]+")</f>
        <v>heavyfetish.com</v>
      </c>
      <c r="M153" s="2" t="s">
        <v>747</v>
      </c>
      <c r="N153" s="2" t="s">
        <v>1840</v>
      </c>
      <c r="O153" s="2" t="str" cm="1">
        <f t="array" ref="O153">IF(N153&lt;&gt;"NotApplicable",_xlfn.REGEXEXTRACT(N153,"\d+(?=p)"),"NotApplicable")</f>
        <v>NotApplicable</v>
      </c>
      <c r="P153" s="2" t="s">
        <v>1840</v>
      </c>
      <c r="Q153" s="2" t="s">
        <v>1840</v>
      </c>
      <c r="R153" s="2" t="s">
        <v>1840</v>
      </c>
      <c r="S153" s="24" t="b">
        <f t="shared" si="5"/>
        <v>0</v>
      </c>
    </row>
    <row r="154" spans="1:19" ht="45" x14ac:dyDescent="0.25">
      <c r="A154" s="2" t="str">
        <f t="shared" si="4"/>
        <v>Done</v>
      </c>
      <c r="B154" s="2" t="s">
        <v>4</v>
      </c>
      <c r="C154" s="2">
        <v>13</v>
      </c>
      <c r="D154" s="2" t="s">
        <v>169</v>
      </c>
      <c r="E154" s="2" t="s">
        <v>167</v>
      </c>
      <c r="F154" s="2" t="s">
        <v>79</v>
      </c>
      <c r="G154" s="2" t="s">
        <v>634</v>
      </c>
      <c r="H154" s="2" t="s">
        <v>205</v>
      </c>
      <c r="I154" s="2" t="s">
        <v>73</v>
      </c>
      <c r="J154" s="2">
        <v>4</v>
      </c>
      <c r="K154" s="2" t="s">
        <v>170</v>
      </c>
      <c r="L154" s="2" t="str" cm="1">
        <f t="array" ref="L154">_xlfn.REGEXEXTRACT(B154,"(?&lt;=//)[^/]+")</f>
        <v>heavyfetish.com</v>
      </c>
      <c r="M154" s="2" t="s">
        <v>747</v>
      </c>
      <c r="N154" s="2" t="s">
        <v>1840</v>
      </c>
      <c r="O154" s="2" t="str" cm="1">
        <f t="array" ref="O154">IF(N154&lt;&gt;"NotApplicable",_xlfn.REGEXEXTRACT(N154,"\d+(?=p)"),"NotApplicable")</f>
        <v>NotApplicable</v>
      </c>
      <c r="P154" s="2" t="s">
        <v>1840</v>
      </c>
      <c r="Q154" s="2" t="s">
        <v>1840</v>
      </c>
      <c r="R154" s="2" t="s">
        <v>1840</v>
      </c>
      <c r="S154" s="24" t="b">
        <f t="shared" si="5"/>
        <v>0</v>
      </c>
    </row>
    <row r="155" spans="1:19" ht="30" x14ac:dyDescent="0.25">
      <c r="A155" s="2" t="str">
        <f t="shared" si="4"/>
        <v>Done</v>
      </c>
      <c r="B155" s="2" t="s">
        <v>43</v>
      </c>
      <c r="C155" s="2">
        <v>53</v>
      </c>
      <c r="D155" s="2" t="s">
        <v>209</v>
      </c>
      <c r="E155" s="2" t="s">
        <v>96</v>
      </c>
      <c r="F155" s="2" t="s">
        <v>80</v>
      </c>
      <c r="G155" s="2" t="s">
        <v>883</v>
      </c>
      <c r="H155" s="2" t="s">
        <v>440</v>
      </c>
      <c r="I155" s="2" t="s">
        <v>73</v>
      </c>
      <c r="J155" s="2">
        <v>4</v>
      </c>
      <c r="K155" s="2" t="s">
        <v>879</v>
      </c>
      <c r="L155" s="2" t="str" cm="1">
        <f t="array" ref="L155">_xlfn.REGEXEXTRACT(B155,"(?&lt;=//)[^/]+")</f>
        <v>heavyfetish.com</v>
      </c>
      <c r="M155" s="2" t="s">
        <v>747</v>
      </c>
      <c r="N155" s="2" t="s">
        <v>1840</v>
      </c>
      <c r="O155" s="2" t="str" cm="1">
        <f t="array" ref="O155">IF(N155&lt;&gt;"NotApplicable",_xlfn.REGEXEXTRACT(N155,"\d+(?=p)"),"NotApplicable")</f>
        <v>NotApplicable</v>
      </c>
      <c r="P155" s="2" t="s">
        <v>1840</v>
      </c>
      <c r="Q155" s="2" t="s">
        <v>1840</v>
      </c>
      <c r="R155" s="2" t="s">
        <v>1840</v>
      </c>
      <c r="S155" s="24" t="b">
        <f t="shared" si="5"/>
        <v>0</v>
      </c>
    </row>
    <row r="156" spans="1:19" ht="45" x14ac:dyDescent="0.25">
      <c r="A156" s="2" t="str">
        <f t="shared" si="4"/>
        <v>Done</v>
      </c>
      <c r="B156" s="2" t="s">
        <v>52</v>
      </c>
      <c r="C156" s="2">
        <v>46</v>
      </c>
      <c r="D156" s="2" t="s">
        <v>84</v>
      </c>
      <c r="E156" s="2" t="s">
        <v>230</v>
      </c>
      <c r="F156" s="2" t="s">
        <v>79</v>
      </c>
      <c r="G156" s="2" t="s">
        <v>610</v>
      </c>
      <c r="H156" s="2" t="s">
        <v>441</v>
      </c>
      <c r="I156" s="2" t="s">
        <v>73</v>
      </c>
      <c r="J156" s="2">
        <v>4</v>
      </c>
      <c r="K156" s="2" t="s">
        <v>231</v>
      </c>
      <c r="L156" s="2" t="str" cm="1">
        <f t="array" ref="L156">_xlfn.REGEXEXTRACT(B156,"(?&lt;=//)[^/]+")</f>
        <v>heavyfetish.com</v>
      </c>
      <c r="M156" s="2" t="s">
        <v>747</v>
      </c>
      <c r="N156" s="2" t="s">
        <v>1840</v>
      </c>
      <c r="O156" s="2" t="str" cm="1">
        <f t="array" ref="O156">IF(N156&lt;&gt;"NotApplicable",_xlfn.REGEXEXTRACT(N156,"\d+(?=p)"),"NotApplicable")</f>
        <v>NotApplicable</v>
      </c>
      <c r="P156" s="2" t="s">
        <v>1840</v>
      </c>
      <c r="Q156" s="2" t="s">
        <v>1840</v>
      </c>
      <c r="R156" s="2" t="s">
        <v>1840</v>
      </c>
      <c r="S156" s="24" t="b">
        <f t="shared" si="5"/>
        <v>0</v>
      </c>
    </row>
    <row r="157" spans="1:19" ht="30" x14ac:dyDescent="0.25">
      <c r="A157" s="2" t="str">
        <f t="shared" si="4"/>
        <v>Done</v>
      </c>
      <c r="B157" s="2" t="s">
        <v>30</v>
      </c>
      <c r="C157" s="2">
        <v>45</v>
      </c>
      <c r="D157" s="2" t="s">
        <v>917</v>
      </c>
      <c r="E157" s="2" t="s">
        <v>226</v>
      </c>
      <c r="F157" s="2" t="s">
        <v>79</v>
      </c>
      <c r="G157" s="2" t="s">
        <v>544</v>
      </c>
      <c r="H157" s="2" t="s">
        <v>442</v>
      </c>
      <c r="I157" s="2" t="s">
        <v>73</v>
      </c>
      <c r="J157" s="2">
        <v>4</v>
      </c>
      <c r="K157" s="2" t="s">
        <v>227</v>
      </c>
      <c r="L157" s="2" t="str" cm="1">
        <f t="array" ref="L157">_xlfn.REGEXEXTRACT(B157,"(?&lt;=//)[^/]+")</f>
        <v>heavyfetish.com</v>
      </c>
      <c r="M157" s="2" t="s">
        <v>747</v>
      </c>
      <c r="N157" s="2" t="s">
        <v>1840</v>
      </c>
      <c r="O157" s="2" t="str" cm="1">
        <f t="array" ref="O157">IF(N157&lt;&gt;"NotApplicable",_xlfn.REGEXEXTRACT(N157,"\d+(?=p)"),"NotApplicable")</f>
        <v>NotApplicable</v>
      </c>
      <c r="P157" s="2" t="s">
        <v>1840</v>
      </c>
      <c r="Q157" s="2" t="s">
        <v>1840</v>
      </c>
      <c r="R157" s="2" t="s">
        <v>1840</v>
      </c>
      <c r="S157" s="24" t="b">
        <f t="shared" si="5"/>
        <v>0</v>
      </c>
    </row>
    <row r="158" spans="1:19" ht="45" x14ac:dyDescent="0.25">
      <c r="A158" s="2" t="str">
        <f t="shared" si="4"/>
        <v>Done</v>
      </c>
      <c r="B158" s="2" t="s">
        <v>16</v>
      </c>
      <c r="C158" s="2">
        <v>53</v>
      </c>
      <c r="D158" s="2" t="s">
        <v>917</v>
      </c>
      <c r="E158" s="2" t="s">
        <v>245</v>
      </c>
      <c r="F158" s="2" t="s">
        <v>79</v>
      </c>
      <c r="G158" s="2" t="s">
        <v>396</v>
      </c>
      <c r="H158" s="2" t="s">
        <v>680</v>
      </c>
      <c r="I158" s="2" t="s">
        <v>73</v>
      </c>
      <c r="J158" s="2">
        <v>4</v>
      </c>
      <c r="K158" s="2" t="s">
        <v>246</v>
      </c>
      <c r="L158" s="2" t="str" cm="1">
        <f t="array" ref="L158">_xlfn.REGEXEXTRACT(B158,"(?&lt;=//)[^/]+")</f>
        <v>heavyfetish.com</v>
      </c>
      <c r="M158" s="2" t="s">
        <v>747</v>
      </c>
      <c r="N158" s="2" t="s">
        <v>1840</v>
      </c>
      <c r="O158" s="2" t="str" cm="1">
        <f t="array" ref="O158">IF(N158&lt;&gt;"NotApplicable",_xlfn.REGEXEXTRACT(N158,"\d+(?=p)"),"NotApplicable")</f>
        <v>NotApplicable</v>
      </c>
      <c r="P158" s="2" t="s">
        <v>1840</v>
      </c>
      <c r="Q158" s="2" t="s">
        <v>1840</v>
      </c>
      <c r="R158" s="2" t="s">
        <v>1840</v>
      </c>
      <c r="S158" s="24" t="b">
        <f t="shared" si="5"/>
        <v>0</v>
      </c>
    </row>
    <row r="159" spans="1:19" ht="30" x14ac:dyDescent="0.25">
      <c r="A159" s="2" t="str">
        <f t="shared" si="4"/>
        <v>Done</v>
      </c>
      <c r="B159" s="2" t="s">
        <v>14</v>
      </c>
      <c r="C159" s="2">
        <v>44</v>
      </c>
      <c r="D159" s="2" t="s">
        <v>84</v>
      </c>
      <c r="E159" s="2" t="s">
        <v>219</v>
      </c>
      <c r="F159" s="2" t="s">
        <v>79</v>
      </c>
      <c r="G159" s="2" t="s">
        <v>397</v>
      </c>
      <c r="H159" s="2" t="s">
        <v>665</v>
      </c>
      <c r="I159" s="2" t="s">
        <v>73</v>
      </c>
      <c r="J159" s="2">
        <v>4</v>
      </c>
      <c r="K159" s="2" t="s">
        <v>220</v>
      </c>
      <c r="L159" s="2" t="str" cm="1">
        <f t="array" ref="L159">_xlfn.REGEXEXTRACT(B159,"(?&lt;=//)[^/]+")</f>
        <v>heavyfetish.com</v>
      </c>
      <c r="M159" s="2" t="s">
        <v>747</v>
      </c>
      <c r="N159" s="2" t="s">
        <v>1840</v>
      </c>
      <c r="O159" s="2" t="str" cm="1">
        <f t="array" ref="O159">IF(N159&lt;&gt;"NotApplicable",_xlfn.REGEXEXTRACT(N159,"\d+(?=p)"),"NotApplicable")</f>
        <v>NotApplicable</v>
      </c>
      <c r="P159" s="2" t="s">
        <v>1840</v>
      </c>
      <c r="Q159" s="2" t="s">
        <v>1840</v>
      </c>
      <c r="R159" s="2" t="s">
        <v>1840</v>
      </c>
      <c r="S159" s="24" t="b">
        <f t="shared" si="5"/>
        <v>0</v>
      </c>
    </row>
    <row r="160" spans="1:19" ht="30" x14ac:dyDescent="0.25">
      <c r="A160" s="2" t="str">
        <f t="shared" si="4"/>
        <v>Done</v>
      </c>
      <c r="B160" s="2" t="s">
        <v>129</v>
      </c>
      <c r="C160" s="2">
        <v>66</v>
      </c>
      <c r="D160" s="2" t="s">
        <v>918</v>
      </c>
      <c r="E160" s="2" t="s">
        <v>271</v>
      </c>
      <c r="F160" s="2" t="s">
        <v>177</v>
      </c>
      <c r="G160" s="2" t="s">
        <v>496</v>
      </c>
      <c r="H160" s="2" t="s">
        <v>701</v>
      </c>
      <c r="I160" s="2" t="s">
        <v>73</v>
      </c>
      <c r="J160" s="2">
        <v>4</v>
      </c>
      <c r="K160" s="2" t="s">
        <v>620</v>
      </c>
      <c r="L160" s="2" t="str" cm="1">
        <f t="array" ref="L160">_xlfn.REGEXEXTRACT(B160,"(?&lt;=//)[^/]+")</f>
        <v>m.hqporner.com</v>
      </c>
      <c r="M160" s="2" t="s">
        <v>747</v>
      </c>
      <c r="N160" s="2" t="s">
        <v>1840</v>
      </c>
      <c r="O160" s="2" t="str" cm="1">
        <f t="array" ref="O160">IF(N160&lt;&gt;"NotApplicable",_xlfn.REGEXEXTRACT(N160,"\d+(?=p)"),"NotApplicable")</f>
        <v>NotApplicable</v>
      </c>
      <c r="P160" s="2" t="s">
        <v>1840</v>
      </c>
      <c r="Q160" s="2" t="s">
        <v>1840</v>
      </c>
      <c r="R160" s="2" t="s">
        <v>1840</v>
      </c>
      <c r="S160" s="24" t="b">
        <f t="shared" si="5"/>
        <v>0</v>
      </c>
    </row>
    <row r="161" spans="1:19" ht="30" x14ac:dyDescent="0.25">
      <c r="A161" s="2" t="str">
        <f t="shared" si="4"/>
        <v>Done</v>
      </c>
      <c r="B161" s="2" t="s">
        <v>154</v>
      </c>
      <c r="C161" s="2">
        <v>36</v>
      </c>
      <c r="D161" s="2" t="s">
        <v>175</v>
      </c>
      <c r="E161" s="2" t="s">
        <v>196</v>
      </c>
      <c r="F161" s="2" t="s">
        <v>177</v>
      </c>
      <c r="G161" s="2" t="s">
        <v>880</v>
      </c>
      <c r="H161" s="2" t="s">
        <v>444</v>
      </c>
      <c r="I161" s="2" t="s">
        <v>73</v>
      </c>
      <c r="J161" s="2">
        <v>4</v>
      </c>
      <c r="K161" s="2" t="s">
        <v>197</v>
      </c>
      <c r="L161" s="2" t="str" cm="1">
        <f t="array" ref="L161">_xlfn.REGEXEXTRACT(B161,"(?&lt;=//)[^/]+")</f>
        <v>pornxp.com</v>
      </c>
      <c r="M161" s="2" t="s">
        <v>747</v>
      </c>
      <c r="N161" s="2" t="s">
        <v>1840</v>
      </c>
      <c r="O161" s="2" t="str" cm="1">
        <f t="array" ref="O161">IF(N161&lt;&gt;"NotApplicable",_xlfn.REGEXEXTRACT(N161,"\d+(?=p)"),"NotApplicable")</f>
        <v>NotApplicable</v>
      </c>
      <c r="P161" s="2" t="s">
        <v>1840</v>
      </c>
      <c r="Q161" s="2" t="s">
        <v>1840</v>
      </c>
      <c r="R161" s="2" t="s">
        <v>1840</v>
      </c>
      <c r="S161" s="24" t="b">
        <f t="shared" si="5"/>
        <v>0</v>
      </c>
    </row>
    <row r="162" spans="1:19" ht="30" x14ac:dyDescent="0.25">
      <c r="A162" s="2" t="str">
        <f t="shared" si="4"/>
        <v>Done</v>
      </c>
      <c r="B162" s="2" t="s">
        <v>289</v>
      </c>
      <c r="C162" s="2">
        <v>0</v>
      </c>
      <c r="D162" s="2" t="s">
        <v>1837</v>
      </c>
      <c r="E162" s="2" t="s">
        <v>1839</v>
      </c>
      <c r="F162" s="2" t="s">
        <v>91</v>
      </c>
      <c r="G162" s="2" t="s">
        <v>541</v>
      </c>
      <c r="H162" s="2" t="s">
        <v>696</v>
      </c>
      <c r="I162" s="2" t="s">
        <v>280</v>
      </c>
      <c r="J162" s="2">
        <v>4</v>
      </c>
      <c r="K162" s="2" t="s">
        <v>290</v>
      </c>
      <c r="L162" s="2" t="str" cm="1">
        <f t="array" ref="L162">_xlfn.REGEXEXTRACT(B162,"(?&lt;=//)[^/]+")</f>
        <v>www.tubegalore.com</v>
      </c>
      <c r="M162" s="2" t="s">
        <v>747</v>
      </c>
      <c r="N162" s="2" t="s">
        <v>1840</v>
      </c>
      <c r="O162" s="2" t="str" cm="1">
        <f t="array" ref="O162">IF(N162&lt;&gt;"NotApplicable",_xlfn.REGEXEXTRACT(N162,"\d+(?=p)"),"NotApplicable")</f>
        <v>NotApplicable</v>
      </c>
      <c r="P162" s="2" t="s">
        <v>1840</v>
      </c>
      <c r="Q162" s="2" t="s">
        <v>1840</v>
      </c>
      <c r="R162" s="2" t="s">
        <v>1840</v>
      </c>
      <c r="S162" s="24" t="b">
        <f t="shared" si="5"/>
        <v>0</v>
      </c>
    </row>
    <row r="163" spans="1:19" ht="45" x14ac:dyDescent="0.25">
      <c r="A163" s="2" t="str">
        <f t="shared" si="4"/>
        <v>Done</v>
      </c>
      <c r="B163" s="2" t="s">
        <v>749</v>
      </c>
      <c r="C163" s="2">
        <v>49</v>
      </c>
      <c r="D163" s="2" t="s">
        <v>921</v>
      </c>
      <c r="E163" s="2" t="s">
        <v>869</v>
      </c>
      <c r="F163" s="2" t="s">
        <v>79</v>
      </c>
      <c r="G163" s="2" t="s">
        <v>872</v>
      </c>
      <c r="H163" s="2" t="s">
        <v>766</v>
      </c>
      <c r="I163" s="2" t="s">
        <v>73</v>
      </c>
      <c r="J163" s="2">
        <v>4</v>
      </c>
      <c r="K163" s="2" t="s">
        <v>873</v>
      </c>
      <c r="L163" s="2" t="str" cm="1">
        <f t="array" ref="L163">_xlfn.REGEXEXTRACT(B163,"(?&lt;=//)[^/]+")</f>
        <v>www.eporner.com</v>
      </c>
      <c r="M163" s="2" t="s">
        <v>747</v>
      </c>
      <c r="N163" s="2" t="s">
        <v>1840</v>
      </c>
      <c r="O163" s="2" t="str" cm="1">
        <f t="array" ref="O163">IF(N163&lt;&gt;"NotApplicable",_xlfn.REGEXEXTRACT(N163,"\d+(?=p)"),"NotApplicable")</f>
        <v>NotApplicable</v>
      </c>
      <c r="P163" s="2" t="s">
        <v>1840</v>
      </c>
      <c r="Q163" s="2" t="s">
        <v>1840</v>
      </c>
      <c r="R163" s="2" t="s">
        <v>1840</v>
      </c>
      <c r="S163" s="24" t="b">
        <f t="shared" si="5"/>
        <v>0</v>
      </c>
    </row>
    <row r="164" spans="1:19" ht="60" x14ac:dyDescent="0.25">
      <c r="A164" s="2" t="str">
        <f t="shared" si="4"/>
        <v>Done</v>
      </c>
      <c r="B164" s="2" t="s">
        <v>489</v>
      </c>
      <c r="C164" s="2">
        <v>53</v>
      </c>
      <c r="D164" s="2" t="s">
        <v>910</v>
      </c>
      <c r="E164" s="2" t="s">
        <v>490</v>
      </c>
      <c r="F164" s="2" t="s">
        <v>79</v>
      </c>
      <c r="G164" s="2" t="s">
        <v>728</v>
      </c>
      <c r="H164" s="2" t="s">
        <v>727</v>
      </c>
      <c r="I164" s="2" t="s">
        <v>73</v>
      </c>
      <c r="J164" s="2">
        <v>4</v>
      </c>
      <c r="K164" s="2" t="s">
        <v>729</v>
      </c>
      <c r="L164" s="2" t="str" cm="1">
        <f t="array" ref="L164">_xlfn.REGEXEXTRACT(B164,"(?&lt;=//)[^/]+")</f>
        <v>www.eporner.com</v>
      </c>
      <c r="M164" s="2" t="s">
        <v>747</v>
      </c>
      <c r="N164" s="2" t="s">
        <v>1840</v>
      </c>
      <c r="O164" s="2" t="str" cm="1">
        <f t="array" ref="O164">IF(N164&lt;&gt;"NotApplicable",_xlfn.REGEXEXTRACT(N164,"\d+(?=p)"),"NotApplicable")</f>
        <v>NotApplicable</v>
      </c>
      <c r="P164" s="2" t="s">
        <v>1840</v>
      </c>
      <c r="Q164" s="2" t="s">
        <v>1840</v>
      </c>
      <c r="R164" s="2" t="s">
        <v>1840</v>
      </c>
      <c r="S164" s="24" t="b">
        <f t="shared" si="5"/>
        <v>0</v>
      </c>
    </row>
    <row r="165" spans="1:19" ht="30" x14ac:dyDescent="0.25">
      <c r="A165" s="2" t="str">
        <f t="shared" si="4"/>
        <v>Done</v>
      </c>
      <c r="B165" s="2" t="s">
        <v>156</v>
      </c>
      <c r="C165" s="2">
        <v>11</v>
      </c>
      <c r="D165" s="2" t="s">
        <v>165</v>
      </c>
      <c r="E165" s="2" t="s">
        <v>87</v>
      </c>
      <c r="F165" s="2" t="s">
        <v>177</v>
      </c>
      <c r="G165" s="2" t="s">
        <v>594</v>
      </c>
      <c r="H165" s="2" t="s">
        <v>447</v>
      </c>
      <c r="I165" s="2" t="s">
        <v>73</v>
      </c>
      <c r="J165" s="2">
        <v>4</v>
      </c>
      <c r="K165" s="2" t="s">
        <v>166</v>
      </c>
      <c r="L165" s="2" t="str" cm="1">
        <f t="array" ref="L165">_xlfn.REGEXEXTRACT(B165,"(?&lt;=//)[^/]+")</f>
        <v>www.porndead.org</v>
      </c>
      <c r="M165" s="2" t="s">
        <v>747</v>
      </c>
      <c r="N165" s="2" t="s">
        <v>1840</v>
      </c>
      <c r="O165" s="2" t="str" cm="1">
        <f t="array" ref="O165">IF(N165&lt;&gt;"NotApplicable",_xlfn.REGEXEXTRACT(N165,"\d+(?=p)"),"NotApplicable")</f>
        <v>NotApplicable</v>
      </c>
      <c r="P165" s="2" t="s">
        <v>1840</v>
      </c>
      <c r="Q165" s="2" t="s">
        <v>1840</v>
      </c>
      <c r="R165" s="2" t="s">
        <v>1840</v>
      </c>
      <c r="S165" s="24" t="b">
        <f t="shared" si="5"/>
        <v>0</v>
      </c>
    </row>
    <row r="166" spans="1:19" ht="45" x14ac:dyDescent="0.25">
      <c r="A166" s="2" t="str">
        <f t="shared" si="4"/>
        <v>Done</v>
      </c>
      <c r="B166" s="2" t="s">
        <v>1589</v>
      </c>
      <c r="C166" s="2">
        <v>9</v>
      </c>
      <c r="D166" s="2" t="s">
        <v>169</v>
      </c>
      <c r="E166" s="2" t="s">
        <v>1583</v>
      </c>
      <c r="F166" s="2" t="s">
        <v>79</v>
      </c>
      <c r="G166" s="2" t="s">
        <v>1604</v>
      </c>
      <c r="H166" s="2" t="s">
        <v>679</v>
      </c>
      <c r="I166" s="2" t="s">
        <v>73</v>
      </c>
      <c r="J166" s="2">
        <v>4</v>
      </c>
      <c r="K166" s="2" t="s">
        <v>1605</v>
      </c>
      <c r="L166" s="2" t="str" cm="1">
        <f t="array" ref="L166">_xlfn.REGEXEXTRACT(B166,"(?&lt;=//)[^/]+")</f>
        <v>www.porntrex.com</v>
      </c>
      <c r="M166" s="2" t="s">
        <v>746</v>
      </c>
      <c r="N166" s="2" t="s">
        <v>1584</v>
      </c>
      <c r="O166" s="2" t="str" cm="1">
        <f t="array" ref="O166">IF(N166&lt;&gt;"NotApplicable",_xlfn.REGEXEXTRACT(N166,"\d+(?=p)"),"NotApplicable")</f>
        <v>1080</v>
      </c>
      <c r="P166" s="2" t="s">
        <v>1585</v>
      </c>
      <c r="Q166" s="2" t="s">
        <v>1594</v>
      </c>
      <c r="R166" s="2" t="s">
        <v>1590</v>
      </c>
      <c r="S166" s="24" t="b">
        <f t="shared" si="5"/>
        <v>0</v>
      </c>
    </row>
    <row r="167" spans="1:19" ht="30" x14ac:dyDescent="0.25">
      <c r="A167" s="2" t="str">
        <f t="shared" si="4"/>
        <v>Done</v>
      </c>
      <c r="B167" s="2" t="s">
        <v>336</v>
      </c>
      <c r="C167" s="2">
        <v>44</v>
      </c>
      <c r="D167" s="2" t="s">
        <v>911</v>
      </c>
      <c r="E167" s="2" t="s">
        <v>339</v>
      </c>
      <c r="F167" s="2" t="s">
        <v>91</v>
      </c>
      <c r="G167" s="2" t="s">
        <v>526</v>
      </c>
      <c r="H167" s="2" t="s">
        <v>435</v>
      </c>
      <c r="I167" s="2" t="s">
        <v>73</v>
      </c>
      <c r="J167" s="2">
        <v>4</v>
      </c>
      <c r="K167" s="2" t="s">
        <v>558</v>
      </c>
      <c r="L167" s="2" t="str" cm="1">
        <f t="array" ref="L167">_xlfn.REGEXEXTRACT(B167,"(?&lt;=//)[^/]+")</f>
        <v>www.porntry.com</v>
      </c>
      <c r="M167" s="2" t="s">
        <v>747</v>
      </c>
      <c r="N167" s="2" t="s">
        <v>1840</v>
      </c>
      <c r="O167" s="2" t="str" cm="1">
        <f t="array" ref="O167">IF(N167&lt;&gt;"NotApplicable",_xlfn.REGEXEXTRACT(N167,"\d+(?=p)"),"NotApplicable")</f>
        <v>NotApplicable</v>
      </c>
      <c r="P167" s="2" t="s">
        <v>1840</v>
      </c>
      <c r="Q167" s="2" t="s">
        <v>1840</v>
      </c>
      <c r="R167" s="2" t="s">
        <v>1840</v>
      </c>
      <c r="S167" s="24" t="b">
        <f t="shared" si="5"/>
        <v>0</v>
      </c>
    </row>
    <row r="168" spans="1:19" ht="30" x14ac:dyDescent="0.25">
      <c r="A168" s="2" t="str">
        <f t="shared" si="4"/>
        <v>Done</v>
      </c>
      <c r="B168" s="2" t="s">
        <v>0</v>
      </c>
      <c r="C168" s="2">
        <v>9</v>
      </c>
      <c r="D168" s="2" t="s">
        <v>212</v>
      </c>
      <c r="E168" s="2" t="s">
        <v>923</v>
      </c>
      <c r="F168" s="2" t="s">
        <v>178</v>
      </c>
      <c r="G168" s="2" t="s">
        <v>617</v>
      </c>
      <c r="H168" s="2" t="s">
        <v>776</v>
      </c>
      <c r="I168" s="2" t="s">
        <v>73</v>
      </c>
      <c r="J168" s="2">
        <v>4</v>
      </c>
      <c r="K168" s="2" t="s">
        <v>162</v>
      </c>
      <c r="L168" s="2" t="str" cm="1">
        <f t="array" ref="L168">_xlfn.REGEXEXTRACT(B168,"(?&lt;=//)[^/]+")</f>
        <v>xhamster18.desi</v>
      </c>
      <c r="M168" s="2" t="s">
        <v>747</v>
      </c>
      <c r="N168" s="2" t="s">
        <v>1840</v>
      </c>
      <c r="O168" s="2" t="str" cm="1">
        <f t="array" ref="O168">IF(N168&lt;&gt;"NotApplicable",_xlfn.REGEXEXTRACT(N168,"\d+(?=p)"),"NotApplicable")</f>
        <v>NotApplicable</v>
      </c>
      <c r="P168" s="2" t="s">
        <v>1840</v>
      </c>
      <c r="Q168" s="2" t="s">
        <v>1840</v>
      </c>
      <c r="R168" s="2" t="s">
        <v>1840</v>
      </c>
      <c r="S168" s="24" t="b">
        <f t="shared" si="5"/>
        <v>0</v>
      </c>
    </row>
    <row r="169" spans="1:19" ht="45" x14ac:dyDescent="0.25">
      <c r="A169" s="2" t="str">
        <f t="shared" si="4"/>
        <v>Done</v>
      </c>
      <c r="B169" s="2" t="s">
        <v>748</v>
      </c>
      <c r="C169" s="2">
        <v>5</v>
      </c>
      <c r="D169" s="2" t="s">
        <v>921</v>
      </c>
      <c r="E169" s="2" t="s">
        <v>1838</v>
      </c>
      <c r="F169" s="2" t="s">
        <v>79</v>
      </c>
      <c r="G169" s="2" t="s">
        <v>762</v>
      </c>
      <c r="H169" s="2" t="s">
        <v>761</v>
      </c>
      <c r="I169" s="2" t="s">
        <v>73</v>
      </c>
      <c r="J169" s="2">
        <v>4</v>
      </c>
      <c r="K169" s="2" t="s">
        <v>760</v>
      </c>
      <c r="L169" s="2" t="str" cm="1">
        <f t="array" ref="L169">_xlfn.REGEXEXTRACT(B169,"(?&lt;=//)[^/]+")</f>
        <v>punishworld.com</v>
      </c>
      <c r="M169" s="2" t="s">
        <v>747</v>
      </c>
      <c r="N169" s="2" t="s">
        <v>1840</v>
      </c>
      <c r="O169" s="2" t="str" cm="1">
        <f t="array" ref="O169">IF(N169&lt;&gt;"NotApplicable",_xlfn.REGEXEXTRACT(N169,"\d+(?=p)"),"NotApplicable")</f>
        <v>NotApplicable</v>
      </c>
      <c r="P169" s="2" t="s">
        <v>1840</v>
      </c>
      <c r="Q169" s="2" t="s">
        <v>1840</v>
      </c>
      <c r="R169" s="2" t="s">
        <v>1840</v>
      </c>
      <c r="S169" s="24" t="b">
        <f t="shared" si="5"/>
        <v>0</v>
      </c>
    </row>
    <row r="170" spans="1:19" ht="30" x14ac:dyDescent="0.25">
      <c r="A170" s="2" t="str">
        <f t="shared" si="4"/>
        <v>Done</v>
      </c>
      <c r="B170" s="2" t="s">
        <v>7</v>
      </c>
      <c r="C170" s="2">
        <v>52</v>
      </c>
      <c r="D170" s="2" t="s">
        <v>169</v>
      </c>
      <c r="E170" s="2" t="s">
        <v>1838</v>
      </c>
      <c r="F170" s="2" t="s">
        <v>79</v>
      </c>
      <c r="G170" s="2" t="s">
        <v>637</v>
      </c>
      <c r="H170" s="2" t="s">
        <v>667</v>
      </c>
      <c r="I170" s="2" t="s">
        <v>73</v>
      </c>
      <c r="J170" s="2">
        <v>4</v>
      </c>
      <c r="K170" s="2" t="s">
        <v>242</v>
      </c>
      <c r="L170" s="2" t="str" cm="1">
        <f t="array" ref="L170">_xlfn.REGEXEXTRACT(B170,"(?&lt;=//)[^/]+")</f>
        <v>spankbang.party</v>
      </c>
      <c r="M170" s="2" t="s">
        <v>747</v>
      </c>
      <c r="N170" s="2" t="s">
        <v>1840</v>
      </c>
      <c r="O170" s="2" t="str" cm="1">
        <f t="array" ref="O170">IF(N170&lt;&gt;"NotApplicable",_xlfn.REGEXEXTRACT(N170,"\d+(?=p)"),"NotApplicable")</f>
        <v>NotApplicable</v>
      </c>
      <c r="P170" s="2" t="s">
        <v>1840</v>
      </c>
      <c r="Q170" s="2" t="s">
        <v>1840</v>
      </c>
      <c r="R170" s="2" t="s">
        <v>1840</v>
      </c>
      <c r="S170" s="24" t="b">
        <f t="shared" si="5"/>
        <v>0</v>
      </c>
    </row>
    <row r="171" spans="1:19" ht="45" x14ac:dyDescent="0.25">
      <c r="A171" s="2" t="str">
        <f t="shared" si="4"/>
        <v>Done</v>
      </c>
      <c r="B171" s="2" t="s">
        <v>138</v>
      </c>
      <c r="C171" s="2">
        <v>44</v>
      </c>
      <c r="D171" s="2" t="s">
        <v>1836</v>
      </c>
      <c r="E171" s="2" t="s">
        <v>495</v>
      </c>
      <c r="F171" s="2" t="s">
        <v>223</v>
      </c>
      <c r="G171" s="2" t="s">
        <v>1818</v>
      </c>
      <c r="H171" s="2" t="s">
        <v>443</v>
      </c>
      <c r="I171" s="2" t="s">
        <v>73</v>
      </c>
      <c r="J171" s="2">
        <v>4</v>
      </c>
      <c r="K171" s="2" t="s">
        <v>224</v>
      </c>
      <c r="L171" s="2" t="str" cm="1">
        <f t="array" ref="L171">_xlfn.REGEXEXTRACT(B171,"(?&lt;=//)[^/]+")</f>
        <v>txxx.com</v>
      </c>
      <c r="M171" s="2" t="s">
        <v>747</v>
      </c>
      <c r="N171" s="2" t="s">
        <v>1840</v>
      </c>
      <c r="O171" s="2" t="str" cm="1">
        <f t="array" ref="O171">IF(N171&lt;&gt;"NotApplicable",_xlfn.REGEXEXTRACT(N171,"\d+(?=p)"),"NotApplicable")</f>
        <v>NotApplicable</v>
      </c>
      <c r="P171" s="2" t="s">
        <v>1840</v>
      </c>
      <c r="Q171" s="2" t="s">
        <v>1840</v>
      </c>
      <c r="R171" s="2" t="s">
        <v>1840</v>
      </c>
      <c r="S171" s="24" t="b">
        <f t="shared" si="5"/>
        <v>1</v>
      </c>
    </row>
    <row r="172" spans="1:19" ht="45" x14ac:dyDescent="0.25">
      <c r="A172" s="2" t="str">
        <f t="shared" si="4"/>
        <v>Done</v>
      </c>
      <c r="B172" s="2" t="s">
        <v>63</v>
      </c>
      <c r="C172" s="2">
        <v>30</v>
      </c>
      <c r="D172" s="2" t="s">
        <v>1836</v>
      </c>
      <c r="E172" s="2" t="s">
        <v>380</v>
      </c>
      <c r="F172" s="2" t="s">
        <v>189</v>
      </c>
      <c r="G172" s="2" t="s">
        <v>1824</v>
      </c>
      <c r="H172" s="2" t="s">
        <v>777</v>
      </c>
      <c r="I172" s="2" t="s">
        <v>73</v>
      </c>
      <c r="J172" s="2">
        <v>3</v>
      </c>
      <c r="K172" s="2" t="s">
        <v>783</v>
      </c>
      <c r="L172" s="2" t="str" cm="1">
        <f t="array" ref="L172">_xlfn.REGEXEXTRACT(B172,"(?&lt;=//)[^/]+")</f>
        <v>tube.perverzija.com</v>
      </c>
      <c r="M172" s="2" t="s">
        <v>747</v>
      </c>
      <c r="N172" s="2" t="s">
        <v>1840</v>
      </c>
      <c r="O172" s="2" t="str" cm="1">
        <f t="array" ref="O172">IF(N172&lt;&gt;"NotApplicable",_xlfn.REGEXEXTRACT(N172,"\d+(?=p)"),"NotApplicable")</f>
        <v>NotApplicable</v>
      </c>
      <c r="P172" s="2" t="s">
        <v>1840</v>
      </c>
      <c r="Q172" s="2" t="s">
        <v>1840</v>
      </c>
      <c r="R172" s="2" t="s">
        <v>1840</v>
      </c>
      <c r="S172" s="24" t="b">
        <f t="shared" si="5"/>
        <v>1</v>
      </c>
    </row>
    <row r="173" spans="1:19" ht="45" x14ac:dyDescent="0.25">
      <c r="A173" s="2" t="str">
        <f t="shared" si="4"/>
        <v>Done</v>
      </c>
      <c r="B173" s="2" t="s">
        <v>31</v>
      </c>
      <c r="C173" s="2">
        <v>102</v>
      </c>
      <c r="D173" s="2" t="s">
        <v>1836</v>
      </c>
      <c r="E173" s="2" t="s">
        <v>218</v>
      </c>
      <c r="F173" s="2" t="s">
        <v>79</v>
      </c>
      <c r="G173" s="2" t="s">
        <v>547</v>
      </c>
      <c r="H173" s="2" t="s">
        <v>448</v>
      </c>
      <c r="I173" s="2" t="s">
        <v>73</v>
      </c>
      <c r="J173" s="2">
        <v>3</v>
      </c>
      <c r="K173" s="2" t="s">
        <v>697</v>
      </c>
      <c r="L173" s="2" t="str" cm="1">
        <f t="array" ref="L173">_xlfn.REGEXEXTRACT(B173,"(?&lt;=//)[^/]+")</f>
        <v>bdsmstreak.com</v>
      </c>
      <c r="M173" s="2" t="s">
        <v>747</v>
      </c>
      <c r="N173" s="2" t="s">
        <v>1840</v>
      </c>
      <c r="O173" s="2" t="str" cm="1">
        <f t="array" ref="O173">IF(N173&lt;&gt;"NotApplicable",_xlfn.REGEXEXTRACT(N173,"\d+(?=p)"),"NotApplicable")</f>
        <v>NotApplicable</v>
      </c>
      <c r="P173" s="2" t="s">
        <v>1840</v>
      </c>
      <c r="Q173" s="2" t="s">
        <v>1840</v>
      </c>
      <c r="R173" s="2" t="s">
        <v>1840</v>
      </c>
      <c r="S173" s="24" t="b">
        <f t="shared" si="5"/>
        <v>0</v>
      </c>
    </row>
    <row r="174" spans="1:19" ht="45" x14ac:dyDescent="0.25">
      <c r="A174" s="2" t="str">
        <f t="shared" si="4"/>
        <v>Done</v>
      </c>
      <c r="B174" s="2" t="s">
        <v>157</v>
      </c>
      <c r="C174" s="2">
        <v>37</v>
      </c>
      <c r="D174" s="2" t="s">
        <v>1836</v>
      </c>
      <c r="E174" s="2" t="s">
        <v>198</v>
      </c>
      <c r="F174" s="2" t="s">
        <v>177</v>
      </c>
      <c r="G174" s="2" t="s">
        <v>399</v>
      </c>
      <c r="H174" s="2" t="s">
        <v>454</v>
      </c>
      <c r="I174" s="2" t="s">
        <v>73</v>
      </c>
      <c r="J174" s="2">
        <v>3</v>
      </c>
      <c r="K174" s="2" t="s">
        <v>199</v>
      </c>
      <c r="L174" s="2" t="str" cm="1">
        <f t="array" ref="L174">_xlfn.REGEXEXTRACT(B174,"(?&lt;=//)[^/]+")</f>
        <v>pornxp.com</v>
      </c>
      <c r="M174" s="2" t="s">
        <v>747</v>
      </c>
      <c r="N174" s="2" t="s">
        <v>1840</v>
      </c>
      <c r="O174" s="2" t="str" cm="1">
        <f t="array" ref="O174">IF(N174&lt;&gt;"NotApplicable",_xlfn.REGEXEXTRACT(N174,"\d+(?=p)"),"NotApplicable")</f>
        <v>NotApplicable</v>
      </c>
      <c r="P174" s="2" t="s">
        <v>1840</v>
      </c>
      <c r="Q174" s="2" t="s">
        <v>1840</v>
      </c>
      <c r="R174" s="2" t="s">
        <v>1840</v>
      </c>
      <c r="S174" s="24" t="b">
        <f t="shared" si="5"/>
        <v>0</v>
      </c>
    </row>
    <row r="175" spans="1:19" ht="45" x14ac:dyDescent="0.25">
      <c r="A175" s="2" t="str">
        <f t="shared" si="4"/>
        <v>Done</v>
      </c>
      <c r="B175" s="2" t="s">
        <v>36</v>
      </c>
      <c r="C175" s="2">
        <v>30</v>
      </c>
      <c r="D175" s="2" t="s">
        <v>1836</v>
      </c>
      <c r="E175" s="2" t="s">
        <v>190</v>
      </c>
      <c r="F175" s="2" t="s">
        <v>178</v>
      </c>
      <c r="G175" s="2" t="s">
        <v>400</v>
      </c>
      <c r="H175" s="2" t="s">
        <v>455</v>
      </c>
      <c r="I175" s="2" t="s">
        <v>73</v>
      </c>
      <c r="J175" s="2">
        <v>3</v>
      </c>
      <c r="K175" s="2" t="s">
        <v>737</v>
      </c>
      <c r="L175" s="2" t="str" cm="1">
        <f t="array" ref="L175">_xlfn.REGEXEXTRACT(B175,"(?&lt;=//)[^/]+")</f>
        <v>www.pornhub.com</v>
      </c>
      <c r="M175" s="2" t="s">
        <v>747</v>
      </c>
      <c r="N175" s="2" t="s">
        <v>1840</v>
      </c>
      <c r="O175" s="2" t="str" cm="1">
        <f t="array" ref="O175">IF(N175&lt;&gt;"NotApplicable",_xlfn.REGEXEXTRACT(N175,"\d+(?=p)"),"NotApplicable")</f>
        <v>NotApplicable</v>
      </c>
      <c r="P175" s="2" t="s">
        <v>1840</v>
      </c>
      <c r="Q175" s="2" t="s">
        <v>1840</v>
      </c>
      <c r="R175" s="2" t="s">
        <v>1840</v>
      </c>
      <c r="S175" s="24" t="b">
        <f t="shared" si="5"/>
        <v>0</v>
      </c>
    </row>
    <row r="176" spans="1:19" ht="45" x14ac:dyDescent="0.25">
      <c r="A176" s="2" t="str">
        <f t="shared" si="4"/>
        <v>Done</v>
      </c>
      <c r="B176" s="2" t="s">
        <v>1</v>
      </c>
      <c r="C176" s="2">
        <v>42</v>
      </c>
      <c r="D176" s="2" t="s">
        <v>1836</v>
      </c>
      <c r="E176" s="2" t="s">
        <v>87</v>
      </c>
      <c r="F176" s="2" t="s">
        <v>177</v>
      </c>
      <c r="G176" s="2" t="s">
        <v>593</v>
      </c>
      <c r="H176" s="2" t="s">
        <v>453</v>
      </c>
      <c r="I176" s="2" t="s">
        <v>73</v>
      </c>
      <c r="J176" s="2">
        <v>3</v>
      </c>
      <c r="K176" s="2" t="s">
        <v>207</v>
      </c>
      <c r="L176" s="2" t="str" cm="1">
        <f t="array" ref="L176">_xlfn.REGEXEXTRACT(B176,"(?&lt;=//)[^/]+")</f>
        <v>www.pornhub.com</v>
      </c>
      <c r="M176" s="2" t="s">
        <v>747</v>
      </c>
      <c r="N176" s="2" t="s">
        <v>1840</v>
      </c>
      <c r="O176" s="2" t="str" cm="1">
        <f t="array" ref="O176">IF(N176&lt;&gt;"NotApplicable",_xlfn.REGEXEXTRACT(N176,"\d+(?=p)"),"NotApplicable")</f>
        <v>NotApplicable</v>
      </c>
      <c r="P176" s="2" t="s">
        <v>1840</v>
      </c>
      <c r="Q176" s="2" t="s">
        <v>1840</v>
      </c>
      <c r="R176" s="2" t="s">
        <v>1840</v>
      </c>
      <c r="S176" s="24" t="b">
        <f t="shared" si="5"/>
        <v>0</v>
      </c>
    </row>
    <row r="177" spans="1:19" ht="45" x14ac:dyDescent="0.25">
      <c r="A177" s="2" t="str">
        <f t="shared" si="4"/>
        <v>Done</v>
      </c>
      <c r="B177" s="2" t="s">
        <v>153</v>
      </c>
      <c r="C177" s="2">
        <v>10</v>
      </c>
      <c r="D177" s="2" t="s">
        <v>1836</v>
      </c>
      <c r="E177" s="2" t="s">
        <v>163</v>
      </c>
      <c r="F177" s="2" t="s">
        <v>177</v>
      </c>
      <c r="G177" s="2" t="s">
        <v>487</v>
      </c>
      <c r="H177" s="2" t="s">
        <v>655</v>
      </c>
      <c r="I177" s="2" t="s">
        <v>73</v>
      </c>
      <c r="J177" s="2">
        <v>3</v>
      </c>
      <c r="K177" s="2" t="s">
        <v>164</v>
      </c>
      <c r="L177" s="2" t="str" cm="1">
        <f t="array" ref="L177">_xlfn.REGEXEXTRACT(B177,"(?&lt;=//)[^/]+")</f>
        <v>www.tnaflix.com</v>
      </c>
      <c r="M177" s="2" t="s">
        <v>747</v>
      </c>
      <c r="N177" s="2" t="s">
        <v>1840</v>
      </c>
      <c r="O177" s="2" t="str" cm="1">
        <f t="array" ref="O177">IF(N177&lt;&gt;"NotApplicable",_xlfn.REGEXEXTRACT(N177,"\d+(?=p)"),"NotApplicable")</f>
        <v>NotApplicable</v>
      </c>
      <c r="P177" s="2" t="s">
        <v>1840</v>
      </c>
      <c r="Q177" s="2" t="s">
        <v>1840</v>
      </c>
      <c r="R177" s="2" t="s">
        <v>1840</v>
      </c>
      <c r="S177" s="24" t="b">
        <f t="shared" si="5"/>
        <v>0</v>
      </c>
    </row>
    <row r="178" spans="1:19" ht="30" x14ac:dyDescent="0.25">
      <c r="A178" s="2" t="str">
        <f t="shared" si="4"/>
        <v>Done</v>
      </c>
      <c r="B178" s="2" t="s">
        <v>148</v>
      </c>
      <c r="C178" s="2">
        <v>0</v>
      </c>
      <c r="D178" s="2" t="s">
        <v>1837</v>
      </c>
      <c r="E178" s="2" t="s">
        <v>168</v>
      </c>
      <c r="F178" s="2" t="s">
        <v>79</v>
      </c>
      <c r="G178" s="2" t="s">
        <v>546</v>
      </c>
      <c r="H178" s="2" t="s">
        <v>678</v>
      </c>
      <c r="I178" s="2" t="s">
        <v>73</v>
      </c>
      <c r="J178" s="2">
        <v>3</v>
      </c>
      <c r="K178" s="2" t="s">
        <v>265</v>
      </c>
      <c r="L178" s="2" t="str" cm="1">
        <f t="array" ref="L178">_xlfn.REGEXEXTRACT(B178,"(?&lt;=//)[^/]+")</f>
        <v>curebdsm.com</v>
      </c>
      <c r="M178" s="2" t="s">
        <v>747</v>
      </c>
      <c r="N178" s="2" t="s">
        <v>1840</v>
      </c>
      <c r="O178" s="2" t="str" cm="1">
        <f t="array" ref="O178">IF(N178&lt;&gt;"NotApplicable",_xlfn.REGEXEXTRACT(N178,"\d+(?=p)"),"NotApplicable")</f>
        <v>NotApplicable</v>
      </c>
      <c r="P178" s="2" t="s">
        <v>1840</v>
      </c>
      <c r="Q178" s="2" t="s">
        <v>1840</v>
      </c>
      <c r="R178" s="2" t="s">
        <v>1840</v>
      </c>
      <c r="S178" s="24" t="b">
        <f t="shared" si="5"/>
        <v>0</v>
      </c>
    </row>
    <row r="179" spans="1:19" ht="45" x14ac:dyDescent="0.25">
      <c r="A179" s="2" t="str">
        <f t="shared" si="4"/>
        <v>Done</v>
      </c>
      <c r="B179" s="2" t="s">
        <v>147</v>
      </c>
      <c r="C179" s="2">
        <v>0</v>
      </c>
      <c r="D179" s="2" t="s">
        <v>1837</v>
      </c>
      <c r="E179" s="2" t="s">
        <v>193</v>
      </c>
      <c r="F179" s="2" t="s">
        <v>79</v>
      </c>
      <c r="G179" s="2" t="s">
        <v>545</v>
      </c>
      <c r="H179" s="2" t="s">
        <v>456</v>
      </c>
      <c r="I179" s="2" t="s">
        <v>73</v>
      </c>
      <c r="J179" s="2">
        <v>3</v>
      </c>
      <c r="K179" s="2" t="s">
        <v>266</v>
      </c>
      <c r="L179" s="2" t="str" cm="1">
        <f t="array" ref="L179">_xlfn.REGEXEXTRACT(B179,"(?&lt;=//)[^/]+")</f>
        <v>curebdsm.com</v>
      </c>
      <c r="M179" s="2" t="s">
        <v>747</v>
      </c>
      <c r="N179" s="2" t="s">
        <v>1840</v>
      </c>
      <c r="O179" s="2" t="str" cm="1">
        <f t="array" ref="O179">IF(N179&lt;&gt;"NotApplicable",_xlfn.REGEXEXTRACT(N179,"\d+(?=p)"),"NotApplicable")</f>
        <v>NotApplicable</v>
      </c>
      <c r="P179" s="2" t="s">
        <v>1840</v>
      </c>
      <c r="Q179" s="2" t="s">
        <v>1840</v>
      </c>
      <c r="R179" s="2" t="s">
        <v>1840</v>
      </c>
      <c r="S179" s="24" t="b">
        <f t="shared" si="5"/>
        <v>0</v>
      </c>
    </row>
    <row r="180" spans="1:19" ht="45" x14ac:dyDescent="0.25">
      <c r="A180" s="2" t="str">
        <f t="shared" si="4"/>
        <v>Done</v>
      </c>
      <c r="B180" s="2" t="s">
        <v>56</v>
      </c>
      <c r="C180" s="2">
        <v>70</v>
      </c>
      <c r="D180" s="2" t="s">
        <v>914</v>
      </c>
      <c r="E180" s="2" t="s">
        <v>377</v>
      </c>
      <c r="F180" s="2" t="s">
        <v>78</v>
      </c>
      <c r="G180" s="2" t="s">
        <v>1771</v>
      </c>
      <c r="H180" s="2" t="s">
        <v>450</v>
      </c>
      <c r="I180" s="2" t="s">
        <v>73</v>
      </c>
      <c r="J180" s="2">
        <v>3</v>
      </c>
      <c r="K180" s="2" t="s">
        <v>924</v>
      </c>
      <c r="L180" s="2" t="str" cm="1">
        <f t="array" ref="L180">_xlfn.REGEXEXTRACT(B180,"(?&lt;=//)[^/]+")</f>
        <v>bdsmstreak.com</v>
      </c>
      <c r="M180" s="2" t="s">
        <v>747</v>
      </c>
      <c r="N180" s="2" t="s">
        <v>1840</v>
      </c>
      <c r="O180" s="2" t="str" cm="1">
        <f t="array" ref="O180">IF(N180&lt;&gt;"NotApplicable",_xlfn.REGEXEXTRACT(N180,"\d+(?=p)"),"NotApplicable")</f>
        <v>NotApplicable</v>
      </c>
      <c r="P180" s="2" t="s">
        <v>1840</v>
      </c>
      <c r="Q180" s="2" t="s">
        <v>1840</v>
      </c>
      <c r="R180" s="2" t="s">
        <v>1840</v>
      </c>
      <c r="S180" s="24" t="b">
        <f t="shared" si="5"/>
        <v>1</v>
      </c>
    </row>
    <row r="181" spans="1:19" ht="30" x14ac:dyDescent="0.25">
      <c r="A181" s="2" t="str">
        <f t="shared" si="4"/>
        <v>Done</v>
      </c>
      <c r="B181" s="2" t="s">
        <v>61</v>
      </c>
      <c r="C181" s="2">
        <v>32</v>
      </c>
      <c r="D181" s="2" t="s">
        <v>104</v>
      </c>
      <c r="E181" s="2" t="s">
        <v>379</v>
      </c>
      <c r="F181" s="2" t="s">
        <v>80</v>
      </c>
      <c r="G181" s="2" t="s">
        <v>1799</v>
      </c>
      <c r="H181" s="2" t="s">
        <v>778</v>
      </c>
      <c r="I181" s="2" t="s">
        <v>73</v>
      </c>
      <c r="J181" s="2">
        <v>3</v>
      </c>
      <c r="K181" s="2" t="s">
        <v>706</v>
      </c>
      <c r="L181" s="2" t="str" cm="1">
        <f t="array" ref="L181">_xlfn.REGEXEXTRACT(B181,"(?&lt;=//)[^/]+")</f>
        <v>heavyfetish.com</v>
      </c>
      <c r="M181" s="2" t="s">
        <v>747</v>
      </c>
      <c r="N181" s="2" t="s">
        <v>1840</v>
      </c>
      <c r="O181" s="2" t="str" cm="1">
        <f t="array" ref="O181">IF(N181&lt;&gt;"NotApplicable",_xlfn.REGEXEXTRACT(N181,"\d+(?=p)"),"NotApplicable")</f>
        <v>NotApplicable</v>
      </c>
      <c r="P181" s="2" t="s">
        <v>1840</v>
      </c>
      <c r="Q181" s="2" t="s">
        <v>1840</v>
      </c>
      <c r="R181" s="2" t="s">
        <v>1840</v>
      </c>
      <c r="S181" s="24" t="b">
        <f t="shared" si="5"/>
        <v>1</v>
      </c>
    </row>
    <row r="182" spans="1:19" ht="45" x14ac:dyDescent="0.25">
      <c r="A182" s="2" t="str">
        <f t="shared" si="4"/>
        <v>Done</v>
      </c>
      <c r="B182" s="2" t="s">
        <v>34</v>
      </c>
      <c r="C182" s="2">
        <v>9</v>
      </c>
      <c r="D182" s="2" t="s">
        <v>77</v>
      </c>
      <c r="E182" s="2" t="s">
        <v>213</v>
      </c>
      <c r="F182" s="2" t="s">
        <v>79</v>
      </c>
      <c r="G182" s="2" t="s">
        <v>401</v>
      </c>
      <c r="H182" s="2" t="s">
        <v>659</v>
      </c>
      <c r="I182" s="2" t="s">
        <v>73</v>
      </c>
      <c r="J182" s="2">
        <v>3</v>
      </c>
      <c r="K182" s="2" t="s">
        <v>663</v>
      </c>
      <c r="L182" s="2" t="str" cm="1">
        <f t="array" ref="L182">_xlfn.REGEXEXTRACT(B182,"(?&lt;=//)[^/]+")</f>
        <v>anyporn.com</v>
      </c>
      <c r="M182" s="2" t="s">
        <v>747</v>
      </c>
      <c r="N182" s="2" t="s">
        <v>1840</v>
      </c>
      <c r="O182" s="2" t="str" cm="1">
        <f t="array" ref="O182">IF(N182&lt;&gt;"NotApplicable",_xlfn.REGEXEXTRACT(N182,"\d+(?=p)"),"NotApplicable")</f>
        <v>NotApplicable</v>
      </c>
      <c r="P182" s="2" t="s">
        <v>1840</v>
      </c>
      <c r="Q182" s="2" t="s">
        <v>1840</v>
      </c>
      <c r="R182" s="2" t="s">
        <v>1840</v>
      </c>
      <c r="S182" s="24" t="b">
        <f t="shared" si="5"/>
        <v>0</v>
      </c>
    </row>
    <row r="183" spans="1:19" ht="30" x14ac:dyDescent="0.25">
      <c r="A183" s="2" t="str">
        <f t="shared" si="4"/>
        <v>Done</v>
      </c>
      <c r="B183" s="2" t="s">
        <v>805</v>
      </c>
      <c r="C183" s="2">
        <v>55</v>
      </c>
      <c r="D183" s="2" t="s">
        <v>920</v>
      </c>
      <c r="E183" s="2" t="s">
        <v>800</v>
      </c>
      <c r="F183" s="2" t="s">
        <v>91</v>
      </c>
      <c r="G183" s="2" t="s">
        <v>891</v>
      </c>
      <c r="H183" s="2" t="s">
        <v>682</v>
      </c>
      <c r="I183" s="2" t="s">
        <v>73</v>
      </c>
      <c r="J183" s="2">
        <v>3</v>
      </c>
      <c r="K183" s="2" t="s">
        <v>890</v>
      </c>
      <c r="L183" s="2" t="str" cm="1">
        <f t="array" ref="L183">_xlfn.REGEXEXTRACT(B183,"(?&lt;=//)[^/]+")</f>
        <v>bdsmmansion.com</v>
      </c>
      <c r="M183" s="2" t="s">
        <v>747</v>
      </c>
      <c r="N183" s="2" t="s">
        <v>1840</v>
      </c>
      <c r="O183" s="2" t="str" cm="1">
        <f t="array" ref="O183">IF(N183&lt;&gt;"NotApplicable",_xlfn.REGEXEXTRACT(N183,"\d+(?=p)"),"NotApplicable")</f>
        <v>NotApplicable</v>
      </c>
      <c r="P183" s="2" t="s">
        <v>1840</v>
      </c>
      <c r="Q183" s="2" t="s">
        <v>1840</v>
      </c>
      <c r="R183" s="2" t="s">
        <v>1840</v>
      </c>
      <c r="S183" s="24" t="b">
        <f t="shared" si="5"/>
        <v>0</v>
      </c>
    </row>
    <row r="184" spans="1:19" ht="30" x14ac:dyDescent="0.25">
      <c r="A184" s="2" t="str">
        <f t="shared" si="4"/>
        <v>Done</v>
      </c>
      <c r="B184" s="2" t="s">
        <v>98</v>
      </c>
      <c r="C184" s="2">
        <v>44</v>
      </c>
      <c r="D184" s="2" t="s">
        <v>912</v>
      </c>
      <c r="E184" s="2" t="s">
        <v>100</v>
      </c>
      <c r="F184" s="2" t="s">
        <v>78</v>
      </c>
      <c r="G184" s="2" t="s">
        <v>589</v>
      </c>
      <c r="H184" s="2" t="s">
        <v>677</v>
      </c>
      <c r="I184" s="2" t="s">
        <v>107</v>
      </c>
      <c r="J184" s="2">
        <v>3</v>
      </c>
      <c r="K184" s="2" t="s">
        <v>117</v>
      </c>
      <c r="L184" s="2" t="str" cm="1">
        <f t="array" ref="L184">_xlfn.REGEXEXTRACT(B184,"(?&lt;=//)[^/]+")</f>
        <v>bdsmstreak.com</v>
      </c>
      <c r="M184" s="2" t="s">
        <v>747</v>
      </c>
      <c r="N184" s="2" t="s">
        <v>1840</v>
      </c>
      <c r="O184" s="2" t="str" cm="1">
        <f t="array" ref="O184">IF(N184&lt;&gt;"NotApplicable",_xlfn.REGEXEXTRACT(N184,"\d+(?=p)"),"NotApplicable")</f>
        <v>NotApplicable</v>
      </c>
      <c r="P184" s="2" t="s">
        <v>1840</v>
      </c>
      <c r="Q184" s="2" t="s">
        <v>1840</v>
      </c>
      <c r="R184" s="2" t="s">
        <v>1840</v>
      </c>
      <c r="S184" s="24" t="b">
        <f t="shared" si="5"/>
        <v>0</v>
      </c>
    </row>
    <row r="185" spans="1:19" ht="30" x14ac:dyDescent="0.25">
      <c r="A185" s="2" t="str">
        <f t="shared" si="4"/>
        <v>Done</v>
      </c>
      <c r="B185" s="2" t="s">
        <v>54</v>
      </c>
      <c r="C185" s="2">
        <v>77</v>
      </c>
      <c r="D185" s="2" t="s">
        <v>84</v>
      </c>
      <c r="E185" s="2" t="s">
        <v>272</v>
      </c>
      <c r="F185" s="2" t="s">
        <v>79</v>
      </c>
      <c r="G185" s="2" t="s">
        <v>627</v>
      </c>
      <c r="H185" s="2" t="s">
        <v>449</v>
      </c>
      <c r="I185" s="2" t="s">
        <v>73</v>
      </c>
      <c r="J185" s="2">
        <v>3</v>
      </c>
      <c r="K185" s="2" t="s">
        <v>630</v>
      </c>
      <c r="L185" s="2" t="str" cm="1">
        <f t="array" ref="L185">_xlfn.REGEXEXTRACT(B185,"(?&lt;=//)[^/]+")</f>
        <v>bdsmstreak.com</v>
      </c>
      <c r="M185" s="2" t="s">
        <v>747</v>
      </c>
      <c r="N185" s="2" t="s">
        <v>1840</v>
      </c>
      <c r="O185" s="2" t="str" cm="1">
        <f t="array" ref="O185">IF(N185&lt;&gt;"NotApplicable",_xlfn.REGEXEXTRACT(N185,"\d+(?=p)"),"NotApplicable")</f>
        <v>NotApplicable</v>
      </c>
      <c r="P185" s="2" t="s">
        <v>1840</v>
      </c>
      <c r="Q185" s="2" t="s">
        <v>1840</v>
      </c>
      <c r="R185" s="2" t="s">
        <v>1840</v>
      </c>
      <c r="S185" s="24" t="b">
        <f t="shared" si="5"/>
        <v>0</v>
      </c>
    </row>
    <row r="186" spans="1:19" ht="30" x14ac:dyDescent="0.25">
      <c r="A186" s="2" t="str">
        <f t="shared" si="4"/>
        <v>Done</v>
      </c>
      <c r="B186" s="2" t="s">
        <v>152</v>
      </c>
      <c r="C186" s="2">
        <v>80</v>
      </c>
      <c r="D186" s="2" t="s">
        <v>921</v>
      </c>
      <c r="E186" s="2" t="s">
        <v>193</v>
      </c>
      <c r="F186" s="2" t="s">
        <v>79</v>
      </c>
      <c r="G186" s="2" t="s">
        <v>530</v>
      </c>
      <c r="H186" s="2" t="s">
        <v>89</v>
      </c>
      <c r="I186" s="2" t="s">
        <v>73</v>
      </c>
      <c r="J186" s="2">
        <v>3</v>
      </c>
      <c r="K186" s="2" t="s">
        <v>486</v>
      </c>
      <c r="L186" s="2" t="str" cm="1">
        <f t="array" ref="L186">_xlfn.REGEXEXTRACT(B186,"(?&lt;=//)[^/]+")</f>
        <v>curebdsm.com</v>
      </c>
      <c r="M186" s="2" t="s">
        <v>747</v>
      </c>
      <c r="N186" s="2" t="s">
        <v>1840</v>
      </c>
      <c r="O186" s="2" t="str" cm="1">
        <f t="array" ref="O186">IF(N186&lt;&gt;"NotApplicable",_xlfn.REGEXEXTRACT(N186,"\d+(?=p)"),"NotApplicable")</f>
        <v>NotApplicable</v>
      </c>
      <c r="P186" s="2" t="s">
        <v>1840</v>
      </c>
      <c r="Q186" s="2" t="s">
        <v>1840</v>
      </c>
      <c r="R186" s="2" t="s">
        <v>1840</v>
      </c>
      <c r="S186" s="24" t="b">
        <f t="shared" si="5"/>
        <v>0</v>
      </c>
    </row>
    <row r="187" spans="1:19" ht="30" x14ac:dyDescent="0.25">
      <c r="A187" s="2" t="str">
        <f t="shared" si="4"/>
        <v>Done</v>
      </c>
      <c r="B187" s="2" t="s">
        <v>126</v>
      </c>
      <c r="C187" s="2">
        <v>25</v>
      </c>
      <c r="D187" s="2" t="s">
        <v>921</v>
      </c>
      <c r="E187" s="2" t="s">
        <v>214</v>
      </c>
      <c r="F187" s="2" t="s">
        <v>79</v>
      </c>
      <c r="G187" s="2" t="s">
        <v>624</v>
      </c>
      <c r="H187" s="2" t="s">
        <v>698</v>
      </c>
      <c r="I187" s="2" t="s">
        <v>73</v>
      </c>
      <c r="J187" s="2">
        <v>3</v>
      </c>
      <c r="K187" s="2" t="s">
        <v>557</v>
      </c>
      <c r="L187" s="2" t="str" cm="1">
        <f t="array" ref="L187">_xlfn.REGEXEXTRACT(B187,"(?&lt;=//)[^/]+")</f>
        <v>heavyfetish.com</v>
      </c>
      <c r="M187" s="2" t="s">
        <v>747</v>
      </c>
      <c r="N187" s="2" t="s">
        <v>1840</v>
      </c>
      <c r="O187" s="2" t="str" cm="1">
        <f t="array" ref="O187">IF(N187&lt;&gt;"NotApplicable",_xlfn.REGEXEXTRACT(N187,"\d+(?=p)"),"NotApplicable")</f>
        <v>NotApplicable</v>
      </c>
      <c r="P187" s="2" t="s">
        <v>1840</v>
      </c>
      <c r="Q187" s="2" t="s">
        <v>1840</v>
      </c>
      <c r="R187" s="2" t="s">
        <v>1840</v>
      </c>
      <c r="S187" s="24" t="b">
        <f t="shared" si="5"/>
        <v>0</v>
      </c>
    </row>
    <row r="188" spans="1:19" ht="30" x14ac:dyDescent="0.25">
      <c r="A188" s="2" t="str">
        <f t="shared" si="4"/>
        <v>Done</v>
      </c>
      <c r="B188" s="2" t="s">
        <v>6</v>
      </c>
      <c r="C188" s="2">
        <v>18</v>
      </c>
      <c r="D188" s="2" t="s">
        <v>169</v>
      </c>
      <c r="E188" s="2" t="s">
        <v>172</v>
      </c>
      <c r="F188" s="2" t="s">
        <v>79</v>
      </c>
      <c r="G188" s="2" t="s">
        <v>523</v>
      </c>
      <c r="H188" s="2" t="s">
        <v>81</v>
      </c>
      <c r="I188" s="2" t="s">
        <v>73</v>
      </c>
      <c r="J188" s="2">
        <v>3</v>
      </c>
      <c r="K188" s="2" t="s">
        <v>173</v>
      </c>
      <c r="L188" s="2" t="str" cm="1">
        <f t="array" ref="L188">_xlfn.REGEXEXTRACT(B188,"(?&lt;=//)[^/]+")</f>
        <v>heavyfetish.com</v>
      </c>
      <c r="M188" s="2" t="s">
        <v>747</v>
      </c>
      <c r="N188" s="2" t="s">
        <v>1840</v>
      </c>
      <c r="O188" s="2" t="str" cm="1">
        <f t="array" ref="O188">IF(N188&lt;&gt;"NotApplicable",_xlfn.REGEXEXTRACT(N188,"\d+(?=p)"),"NotApplicable")</f>
        <v>NotApplicable</v>
      </c>
      <c r="P188" s="2" t="s">
        <v>1840</v>
      </c>
      <c r="Q188" s="2" t="s">
        <v>1840</v>
      </c>
      <c r="R188" s="2" t="s">
        <v>1840</v>
      </c>
      <c r="S188" s="24" t="b">
        <f t="shared" si="5"/>
        <v>0</v>
      </c>
    </row>
    <row r="189" spans="1:19" ht="30" x14ac:dyDescent="0.25">
      <c r="A189" s="2" t="str">
        <f t="shared" si="4"/>
        <v>Done</v>
      </c>
      <c r="B189" s="2" t="s">
        <v>22</v>
      </c>
      <c r="C189" s="2">
        <v>46</v>
      </c>
      <c r="D189" s="2" t="s">
        <v>913</v>
      </c>
      <c r="E189" s="2" t="s">
        <v>228</v>
      </c>
      <c r="F189" s="2" t="s">
        <v>79</v>
      </c>
      <c r="G189" s="2" t="s">
        <v>570</v>
      </c>
      <c r="H189" s="2" t="s">
        <v>451</v>
      </c>
      <c r="I189" s="2" t="s">
        <v>73</v>
      </c>
      <c r="J189" s="2">
        <v>3</v>
      </c>
      <c r="K189" s="2" t="s">
        <v>229</v>
      </c>
      <c r="L189" s="2" t="str" cm="1">
        <f t="array" ref="L189">_xlfn.REGEXEXTRACT(B189,"(?&lt;=//)[^/]+")</f>
        <v>heavyfetish.com</v>
      </c>
      <c r="M189" s="2" t="s">
        <v>747</v>
      </c>
      <c r="N189" s="2" t="s">
        <v>1840</v>
      </c>
      <c r="O189" s="2" t="str" cm="1">
        <f t="array" ref="O189">IF(N189&lt;&gt;"NotApplicable",_xlfn.REGEXEXTRACT(N189,"\d+(?=p)"),"NotApplicable")</f>
        <v>NotApplicable</v>
      </c>
      <c r="P189" s="2" t="s">
        <v>1840</v>
      </c>
      <c r="Q189" s="2" t="s">
        <v>1840</v>
      </c>
      <c r="R189" s="2" t="s">
        <v>1840</v>
      </c>
      <c r="S189" s="24" t="b">
        <f t="shared" si="5"/>
        <v>0</v>
      </c>
    </row>
    <row r="190" spans="1:19" ht="30" x14ac:dyDescent="0.25">
      <c r="A190" s="2" t="str">
        <f t="shared" si="4"/>
        <v>Done</v>
      </c>
      <c r="B190" s="2" t="s">
        <v>243</v>
      </c>
      <c r="C190" s="2">
        <v>53</v>
      </c>
      <c r="D190" s="2" t="s">
        <v>920</v>
      </c>
      <c r="E190" s="2" t="s">
        <v>244</v>
      </c>
      <c r="F190" s="2" t="s">
        <v>91</v>
      </c>
      <c r="G190" s="2" t="s">
        <v>532</v>
      </c>
      <c r="H190" s="2" t="s">
        <v>672</v>
      </c>
      <c r="I190" s="2" t="s">
        <v>73</v>
      </c>
      <c r="J190" s="2">
        <v>3</v>
      </c>
      <c r="K190" s="2" t="s">
        <v>505</v>
      </c>
      <c r="L190" s="2" t="str" cm="1">
        <f t="array" ref="L190">_xlfn.REGEXEXTRACT(B190,"(?&lt;=//)[^/]+")</f>
        <v>pervtube.net</v>
      </c>
      <c r="M190" s="2" t="s">
        <v>747</v>
      </c>
      <c r="N190" s="2" t="s">
        <v>1840</v>
      </c>
      <c r="O190" s="2" t="str" cm="1">
        <f t="array" ref="O190">IF(N190&lt;&gt;"NotApplicable",_xlfn.REGEXEXTRACT(N190,"\d+(?=p)"),"NotApplicable")</f>
        <v>NotApplicable</v>
      </c>
      <c r="P190" s="2" t="s">
        <v>1840</v>
      </c>
      <c r="Q190" s="2" t="s">
        <v>1840</v>
      </c>
      <c r="R190" s="2" t="s">
        <v>1840</v>
      </c>
      <c r="S190" s="24" t="b">
        <f t="shared" si="5"/>
        <v>0</v>
      </c>
    </row>
    <row r="191" spans="1:19" ht="30" x14ac:dyDescent="0.25">
      <c r="A191" s="2" t="str">
        <f t="shared" si="4"/>
        <v>Done</v>
      </c>
      <c r="B191" s="2" t="s">
        <v>142</v>
      </c>
      <c r="C191" s="2">
        <v>44</v>
      </c>
      <c r="D191" s="2" t="s">
        <v>221</v>
      </c>
      <c r="E191" s="2" t="s">
        <v>190</v>
      </c>
      <c r="F191" s="2" t="s">
        <v>177</v>
      </c>
      <c r="G191" s="2" t="s">
        <v>633</v>
      </c>
      <c r="H191" s="2" t="s">
        <v>658</v>
      </c>
      <c r="I191" s="2" t="s">
        <v>73</v>
      </c>
      <c r="J191" s="2">
        <v>3</v>
      </c>
      <c r="K191" s="2" t="s">
        <v>222</v>
      </c>
      <c r="L191" s="2" t="str" cm="1">
        <f t="array" ref="L191">_xlfn.REGEXEXTRACT(B191,"(?&lt;=//)[^/]+")</f>
        <v>spankbang.com</v>
      </c>
      <c r="M191" s="2" t="s">
        <v>747</v>
      </c>
      <c r="N191" s="2" t="s">
        <v>1840</v>
      </c>
      <c r="O191" s="2" t="str" cm="1">
        <f t="array" ref="O191">IF(N191&lt;&gt;"NotApplicable",_xlfn.REGEXEXTRACT(N191,"\d+(?=p)"),"NotApplicable")</f>
        <v>NotApplicable</v>
      </c>
      <c r="P191" s="2" t="s">
        <v>1840</v>
      </c>
      <c r="Q191" s="2" t="s">
        <v>1840</v>
      </c>
      <c r="R191" s="2" t="s">
        <v>1840</v>
      </c>
      <c r="S191" s="24" t="b">
        <f t="shared" si="5"/>
        <v>0</v>
      </c>
    </row>
    <row r="192" spans="1:19" ht="30" x14ac:dyDescent="0.25">
      <c r="A192" s="2" t="str">
        <f t="shared" si="4"/>
        <v>Done</v>
      </c>
      <c r="B192" s="2" t="s">
        <v>94</v>
      </c>
      <c r="C192" s="2">
        <v>49</v>
      </c>
      <c r="D192" s="2" t="s">
        <v>920</v>
      </c>
      <c r="E192" s="2" t="s">
        <v>95</v>
      </c>
      <c r="F192" s="2" t="s">
        <v>91</v>
      </c>
      <c r="G192" s="2" t="s">
        <v>614</v>
      </c>
      <c r="H192" s="2" t="s">
        <v>435</v>
      </c>
      <c r="I192" s="2" t="s">
        <v>73</v>
      </c>
      <c r="J192" s="2">
        <v>3</v>
      </c>
      <c r="K192" s="2" t="s">
        <v>605</v>
      </c>
      <c r="L192" s="2" t="str" cm="1">
        <f t="array" ref="L192">_xlfn.REGEXEXTRACT(B192,"(?&lt;=//)[^/]+")</f>
        <v>www.pornhits.com</v>
      </c>
      <c r="M192" s="2" t="s">
        <v>747</v>
      </c>
      <c r="N192" s="2" t="s">
        <v>1840</v>
      </c>
      <c r="O192" s="2" t="str" cm="1">
        <f t="array" ref="O192">IF(N192&lt;&gt;"NotApplicable",_xlfn.REGEXEXTRACT(N192,"\d+(?=p)"),"NotApplicable")</f>
        <v>NotApplicable</v>
      </c>
      <c r="P192" s="2" t="s">
        <v>1840</v>
      </c>
      <c r="Q192" s="2" t="s">
        <v>1840</v>
      </c>
      <c r="R192" s="2" t="s">
        <v>1840</v>
      </c>
      <c r="S192" s="24" t="b">
        <f t="shared" si="5"/>
        <v>0</v>
      </c>
    </row>
    <row r="193" spans="1:19" ht="30" x14ac:dyDescent="0.25">
      <c r="A193" s="2" t="str">
        <f t="shared" si="4"/>
        <v>Done</v>
      </c>
      <c r="B193" s="2" t="s">
        <v>469</v>
      </c>
      <c r="C193" s="2">
        <v>56</v>
      </c>
      <c r="D193" s="2" t="s">
        <v>920</v>
      </c>
      <c r="E193" s="2" t="s">
        <v>475</v>
      </c>
      <c r="F193" s="2" t="s">
        <v>91</v>
      </c>
      <c r="G193" s="2" t="s">
        <v>528</v>
      </c>
      <c r="H193" s="2" t="s">
        <v>484</v>
      </c>
      <c r="I193" s="2" t="s">
        <v>73</v>
      </c>
      <c r="J193" s="2">
        <v>3</v>
      </c>
      <c r="K193" s="2" t="s">
        <v>515</v>
      </c>
      <c r="L193" s="2" t="str" cm="1">
        <f t="array" ref="L193">_xlfn.REGEXEXTRACT(B193,"(?&lt;=//)[^/]+")</f>
        <v>www.pornhits.com</v>
      </c>
      <c r="M193" s="2" t="s">
        <v>747</v>
      </c>
      <c r="N193" s="2" t="s">
        <v>1840</v>
      </c>
      <c r="O193" s="2" t="str" cm="1">
        <f t="array" ref="O193">IF(N193&lt;&gt;"NotApplicable",_xlfn.REGEXEXTRACT(N193,"\d+(?=p)"),"NotApplicable")</f>
        <v>NotApplicable</v>
      </c>
      <c r="P193" s="2" t="s">
        <v>1840</v>
      </c>
      <c r="Q193" s="2" t="s">
        <v>1840</v>
      </c>
      <c r="R193" s="2" t="s">
        <v>1840</v>
      </c>
      <c r="S193" s="24" t="b">
        <f t="shared" si="5"/>
        <v>0</v>
      </c>
    </row>
    <row r="194" spans="1:19" ht="30" x14ac:dyDescent="0.25">
      <c r="A194" s="2" t="str">
        <f t="shared" ref="A194:A209" si="6">IF(ISBLANK(I194)=TRUE,"Pending","Done")</f>
        <v>Done</v>
      </c>
      <c r="B194" s="2" t="s">
        <v>2</v>
      </c>
      <c r="C194" s="2">
        <v>28</v>
      </c>
      <c r="D194" s="2" t="s">
        <v>175</v>
      </c>
      <c r="E194" s="2" t="s">
        <v>87</v>
      </c>
      <c r="F194" s="2" t="s">
        <v>177</v>
      </c>
      <c r="G194" s="2" t="s">
        <v>635</v>
      </c>
      <c r="H194" s="2" t="s">
        <v>654</v>
      </c>
      <c r="I194" s="2" t="s">
        <v>73</v>
      </c>
      <c r="J194" s="2">
        <v>3</v>
      </c>
      <c r="K194" s="2" t="s">
        <v>176</v>
      </c>
      <c r="L194" s="2" t="str" cm="1">
        <f t="array" ref="L194">_xlfn.REGEXEXTRACT(B194,"(?&lt;=//)[^/]+")</f>
        <v>www.pornhub.com</v>
      </c>
      <c r="M194" s="2" t="s">
        <v>747</v>
      </c>
      <c r="N194" s="2" t="s">
        <v>1840</v>
      </c>
      <c r="O194" s="2" t="str" cm="1">
        <f t="array" ref="O194">IF(N194&lt;&gt;"NotApplicable",_xlfn.REGEXEXTRACT(N194,"\d+(?=p)"),"NotApplicable")</f>
        <v>NotApplicable</v>
      </c>
      <c r="P194" s="2" t="s">
        <v>1840</v>
      </c>
      <c r="Q194" s="2" t="s">
        <v>1840</v>
      </c>
      <c r="R194" s="2" t="s">
        <v>1840</v>
      </c>
      <c r="S194" s="24" t="b">
        <f t="shared" ref="S194:S209" si="7">ISNUMBER(SEARCH(",",E194))</f>
        <v>0</v>
      </c>
    </row>
    <row r="195" spans="1:19" ht="90" x14ac:dyDescent="0.25">
      <c r="A195" s="2" t="str">
        <f t="shared" si="6"/>
        <v>Done</v>
      </c>
      <c r="B195" s="2" t="s">
        <v>305</v>
      </c>
      <c r="C195" s="2">
        <v>4</v>
      </c>
      <c r="D195" s="2" t="s">
        <v>920</v>
      </c>
      <c r="E195" s="2" t="s">
        <v>307</v>
      </c>
      <c r="F195" s="2" t="s">
        <v>91</v>
      </c>
      <c r="G195" s="2" t="s">
        <v>735</v>
      </c>
      <c r="H195" s="2" t="s">
        <v>89</v>
      </c>
      <c r="I195" s="2" t="s">
        <v>73</v>
      </c>
      <c r="J195" s="2">
        <v>3</v>
      </c>
      <c r="K195" s="2" t="s">
        <v>736</v>
      </c>
      <c r="L195" s="2" t="str" cm="1">
        <f t="array" ref="L195">_xlfn.REGEXEXTRACT(B195,"(?&lt;=//)[^/]+")</f>
        <v>www.porntopedia.com</v>
      </c>
      <c r="M195" s="2" t="s">
        <v>747</v>
      </c>
      <c r="N195" s="2" t="s">
        <v>1840</v>
      </c>
      <c r="O195" s="2" t="str" cm="1">
        <f t="array" ref="O195">IF(N195&lt;&gt;"NotApplicable",_xlfn.REGEXEXTRACT(N195,"\d+(?=p)"),"NotApplicable")</f>
        <v>NotApplicable</v>
      </c>
      <c r="P195" s="2" t="s">
        <v>1840</v>
      </c>
      <c r="Q195" s="2" t="s">
        <v>1840</v>
      </c>
      <c r="R195" s="2" t="s">
        <v>1840</v>
      </c>
      <c r="S195" s="24" t="b">
        <f t="shared" si="7"/>
        <v>0</v>
      </c>
    </row>
    <row r="196" spans="1:19" ht="45" x14ac:dyDescent="0.25">
      <c r="A196" s="2" t="str">
        <f t="shared" si="6"/>
        <v>Done</v>
      </c>
      <c r="B196" s="2" t="s">
        <v>311</v>
      </c>
      <c r="C196" s="2">
        <v>46</v>
      </c>
      <c r="D196" s="2" t="s">
        <v>1836</v>
      </c>
      <c r="E196" s="2" t="s">
        <v>378</v>
      </c>
      <c r="F196" s="2" t="s">
        <v>189</v>
      </c>
      <c r="G196" s="2" t="s">
        <v>1823</v>
      </c>
      <c r="H196" s="2" t="s">
        <v>452</v>
      </c>
      <c r="I196" s="2" t="s">
        <v>73</v>
      </c>
      <c r="J196" s="2">
        <v>3</v>
      </c>
      <c r="K196" s="2" t="s">
        <v>234</v>
      </c>
      <c r="L196" s="2" t="str" cm="1">
        <f t="array" ref="L196">_xlfn.REGEXEXTRACT(B196,"(?&lt;=//)[^/]+")</f>
        <v>spankbang.com</v>
      </c>
      <c r="M196" s="2" t="s">
        <v>747</v>
      </c>
      <c r="N196" s="2" t="s">
        <v>1840</v>
      </c>
      <c r="O196" s="2" t="str" cm="1">
        <f t="array" ref="O196">IF(N196&lt;&gt;"NotApplicable",_xlfn.REGEXEXTRACT(N196,"\d+(?=p)"),"NotApplicable")</f>
        <v>NotApplicable</v>
      </c>
      <c r="P196" s="2" t="s">
        <v>1840</v>
      </c>
      <c r="Q196" s="2" t="s">
        <v>1840</v>
      </c>
      <c r="R196" s="2" t="s">
        <v>1840</v>
      </c>
      <c r="S196" s="24" t="b">
        <f t="shared" si="7"/>
        <v>1</v>
      </c>
    </row>
    <row r="197" spans="1:19" ht="60" x14ac:dyDescent="0.25">
      <c r="A197" s="2" t="str">
        <f t="shared" si="6"/>
        <v>Done</v>
      </c>
      <c r="B197" s="2" t="s">
        <v>320</v>
      </c>
      <c r="C197" s="2">
        <v>5</v>
      </c>
      <c r="D197" s="2" t="s">
        <v>1836</v>
      </c>
      <c r="E197" s="2" t="s">
        <v>1838</v>
      </c>
      <c r="F197" s="2" t="s">
        <v>91</v>
      </c>
      <c r="G197" s="2" t="s">
        <v>402</v>
      </c>
      <c r="H197" s="2" t="s">
        <v>679</v>
      </c>
      <c r="I197" s="2" t="s">
        <v>327</v>
      </c>
      <c r="J197" s="2">
        <v>3</v>
      </c>
      <c r="K197" s="2" t="s">
        <v>328</v>
      </c>
      <c r="L197" s="2" t="str" cm="1">
        <f t="array" ref="L197">_xlfn.REGEXEXTRACT(B197,"(?&lt;=//)[^/]+")</f>
        <v>www.eporner.com</v>
      </c>
      <c r="M197" s="2" t="s">
        <v>747</v>
      </c>
      <c r="N197" s="2" t="s">
        <v>1840</v>
      </c>
      <c r="O197" s="2" t="str" cm="1">
        <f t="array" ref="O197">IF(N197&lt;&gt;"NotApplicable",_xlfn.REGEXEXTRACT(N197,"\d+(?=p)"),"NotApplicable")</f>
        <v>NotApplicable</v>
      </c>
      <c r="P197" s="2" t="s">
        <v>1840</v>
      </c>
      <c r="Q197" s="2" t="s">
        <v>1840</v>
      </c>
      <c r="R197" s="2" t="s">
        <v>1840</v>
      </c>
      <c r="S197" s="24" t="b">
        <f t="shared" si="7"/>
        <v>0</v>
      </c>
    </row>
    <row r="198" spans="1:19" ht="45" x14ac:dyDescent="0.25">
      <c r="A198" s="2" t="str">
        <f t="shared" si="6"/>
        <v>Done</v>
      </c>
      <c r="B198" s="2" t="s">
        <v>291</v>
      </c>
      <c r="C198" s="2">
        <v>106</v>
      </c>
      <c r="D198" s="2" t="s">
        <v>1836</v>
      </c>
      <c r="E198" s="2" t="s">
        <v>1838</v>
      </c>
      <c r="F198" s="2" t="s">
        <v>91</v>
      </c>
      <c r="G198" s="2" t="s">
        <v>721</v>
      </c>
      <c r="H198" s="2" t="s">
        <v>673</v>
      </c>
      <c r="I198" s="2" t="s">
        <v>280</v>
      </c>
      <c r="J198" s="2">
        <v>3</v>
      </c>
      <c r="K198" s="2" t="s">
        <v>600</v>
      </c>
      <c r="L198" s="2" t="str" cm="1">
        <f t="array" ref="L198">_xlfn.REGEXEXTRACT(B198,"(?&lt;=//)[^/]+")</f>
        <v>www.eporner.com</v>
      </c>
      <c r="M198" s="2" t="s">
        <v>747</v>
      </c>
      <c r="N198" s="2" t="s">
        <v>1840</v>
      </c>
      <c r="O198" s="2" t="str" cm="1">
        <f t="array" ref="O198">IF(N198&lt;&gt;"NotApplicable",_xlfn.REGEXEXTRACT(N198,"\d+(?=p)"),"NotApplicable")</f>
        <v>NotApplicable</v>
      </c>
      <c r="P198" s="2" t="s">
        <v>1840</v>
      </c>
      <c r="Q198" s="2" t="s">
        <v>1840</v>
      </c>
      <c r="R198" s="2" t="s">
        <v>1840</v>
      </c>
      <c r="S198" s="24" t="b">
        <f t="shared" si="7"/>
        <v>0</v>
      </c>
    </row>
    <row r="199" spans="1:19" ht="60" x14ac:dyDescent="0.25">
      <c r="A199" s="2" t="str">
        <f t="shared" si="6"/>
        <v>Done</v>
      </c>
      <c r="B199" s="2" t="s">
        <v>137</v>
      </c>
      <c r="C199" s="2">
        <v>64</v>
      </c>
      <c r="D199" s="2" t="s">
        <v>1836</v>
      </c>
      <c r="E199" s="2" t="s">
        <v>262</v>
      </c>
      <c r="F199" s="2" t="s">
        <v>177</v>
      </c>
      <c r="G199" s="2" t="s">
        <v>723</v>
      </c>
      <c r="H199" s="2" t="s">
        <v>661</v>
      </c>
      <c r="I199" s="2" t="s">
        <v>73</v>
      </c>
      <c r="J199" s="2">
        <v>2</v>
      </c>
      <c r="K199" s="2" t="s">
        <v>261</v>
      </c>
      <c r="L199" s="2" t="str" cm="1">
        <f t="array" ref="L199">_xlfn.REGEXEXTRACT(B199,"(?&lt;=//)[^/]+")</f>
        <v>www.peekvids.com</v>
      </c>
      <c r="M199" s="2" t="s">
        <v>747</v>
      </c>
      <c r="N199" s="2" t="s">
        <v>1840</v>
      </c>
      <c r="O199" s="2" t="str" cm="1">
        <f t="array" ref="O199">IF(N199&lt;&gt;"NotApplicable",_xlfn.REGEXEXTRACT(N199,"\d+(?=p)"),"NotApplicable")</f>
        <v>NotApplicable</v>
      </c>
      <c r="P199" s="2" t="s">
        <v>1840</v>
      </c>
      <c r="Q199" s="2" t="s">
        <v>1840</v>
      </c>
      <c r="R199" s="2" t="s">
        <v>1840</v>
      </c>
      <c r="S199" s="24" t="b">
        <f t="shared" si="7"/>
        <v>0</v>
      </c>
    </row>
    <row r="200" spans="1:19" ht="45" x14ac:dyDescent="0.25">
      <c r="A200" s="2" t="str">
        <f t="shared" si="6"/>
        <v>Done</v>
      </c>
      <c r="B200" s="2" t="s">
        <v>151</v>
      </c>
      <c r="C200" s="2">
        <v>57</v>
      </c>
      <c r="D200" s="2" t="s">
        <v>910</v>
      </c>
      <c r="E200" s="2" t="s">
        <v>382</v>
      </c>
      <c r="F200" s="2" t="s">
        <v>80</v>
      </c>
      <c r="G200" s="2" t="s">
        <v>1782</v>
      </c>
      <c r="H200" s="2" t="s">
        <v>457</v>
      </c>
      <c r="I200" s="2" t="s">
        <v>73</v>
      </c>
      <c r="J200" s="2">
        <v>2</v>
      </c>
      <c r="K200" s="2" t="s">
        <v>257</v>
      </c>
      <c r="L200" s="2" t="str" cm="1">
        <f t="array" ref="L200">_xlfn.REGEXEXTRACT(B200,"(?&lt;=//)[^/]+")</f>
        <v>www.omg.xxx</v>
      </c>
      <c r="M200" s="2" t="s">
        <v>747</v>
      </c>
      <c r="N200" s="2" t="s">
        <v>1840</v>
      </c>
      <c r="O200" s="2" t="str" cm="1">
        <f t="array" ref="O200">IF(N200&lt;&gt;"NotApplicable",_xlfn.REGEXEXTRACT(N200,"\d+(?=p)"),"NotApplicable")</f>
        <v>NotApplicable</v>
      </c>
      <c r="P200" s="2" t="s">
        <v>1840</v>
      </c>
      <c r="Q200" s="2" t="s">
        <v>1840</v>
      </c>
      <c r="R200" s="2" t="s">
        <v>1840</v>
      </c>
      <c r="S200" s="24" t="b">
        <f t="shared" si="7"/>
        <v>1</v>
      </c>
    </row>
    <row r="201" spans="1:19" ht="45" x14ac:dyDescent="0.25">
      <c r="A201" s="2" t="str">
        <f t="shared" si="6"/>
        <v>Done</v>
      </c>
      <c r="B201" s="2" t="s">
        <v>131</v>
      </c>
      <c r="C201" s="2">
        <v>47</v>
      </c>
      <c r="D201" s="2" t="s">
        <v>919</v>
      </c>
      <c r="E201" s="2" t="s">
        <v>383</v>
      </c>
      <c r="F201" s="2" t="s">
        <v>80</v>
      </c>
      <c r="G201" s="2" t="s">
        <v>1803</v>
      </c>
      <c r="H201" s="2" t="s">
        <v>779</v>
      </c>
      <c r="I201" s="2" t="s">
        <v>73</v>
      </c>
      <c r="J201" s="2">
        <v>2</v>
      </c>
      <c r="K201" s="2" t="s">
        <v>235</v>
      </c>
      <c r="L201" s="2" t="str" cm="1">
        <f t="array" ref="L201">_xlfn.REGEXEXTRACT(B201,"(?&lt;=//)[^/]+")</f>
        <v>m.hqporner.com</v>
      </c>
      <c r="M201" s="2" t="s">
        <v>747</v>
      </c>
      <c r="N201" s="2" t="s">
        <v>1840</v>
      </c>
      <c r="O201" s="2" t="str" cm="1">
        <f t="array" ref="O201">IF(N201&lt;&gt;"NotApplicable",_xlfn.REGEXEXTRACT(N201,"\d+(?=p)"),"NotApplicable")</f>
        <v>NotApplicable</v>
      </c>
      <c r="P201" s="2" t="s">
        <v>1840</v>
      </c>
      <c r="Q201" s="2" t="s">
        <v>1840</v>
      </c>
      <c r="R201" s="2" t="s">
        <v>1840</v>
      </c>
      <c r="S201" s="24" t="b">
        <f t="shared" si="7"/>
        <v>1</v>
      </c>
    </row>
    <row r="202" spans="1:19" ht="30" x14ac:dyDescent="0.25">
      <c r="A202" s="2" t="str">
        <f t="shared" si="6"/>
        <v>Done</v>
      </c>
      <c r="B202" s="2" t="s">
        <v>121</v>
      </c>
      <c r="C202" s="2">
        <v>14</v>
      </c>
      <c r="D202" s="2" t="s">
        <v>122</v>
      </c>
      <c r="E202" s="2" t="s">
        <v>123</v>
      </c>
      <c r="F202" s="2" t="s">
        <v>91</v>
      </c>
      <c r="G202" s="2" t="s">
        <v>598</v>
      </c>
      <c r="H202" s="2" t="s">
        <v>89</v>
      </c>
      <c r="I202" s="2" t="s">
        <v>73</v>
      </c>
      <c r="J202" s="2">
        <v>2</v>
      </c>
      <c r="K202" s="2" t="s">
        <v>309</v>
      </c>
      <c r="L202" s="2" t="str" cm="1">
        <f t="array" ref="L202">_xlfn.REGEXEXTRACT(B202,"(?&lt;=//)[^/]+")</f>
        <v>heavyfetish.com</v>
      </c>
      <c r="M202" s="2" t="s">
        <v>747</v>
      </c>
      <c r="N202" s="2" t="s">
        <v>1840</v>
      </c>
      <c r="O202" s="2" t="str" cm="1">
        <f t="array" ref="O202">IF(N202&lt;&gt;"NotApplicable",_xlfn.REGEXEXTRACT(N202,"\d+(?=p)"),"NotApplicable")</f>
        <v>NotApplicable</v>
      </c>
      <c r="P202" s="2" t="s">
        <v>1840</v>
      </c>
      <c r="Q202" s="2" t="s">
        <v>1840</v>
      </c>
      <c r="R202" s="2" t="s">
        <v>1840</v>
      </c>
      <c r="S202" s="24" t="b">
        <f t="shared" si="7"/>
        <v>0</v>
      </c>
    </row>
    <row r="203" spans="1:19" ht="45" x14ac:dyDescent="0.25">
      <c r="A203" s="2" t="str">
        <f t="shared" si="6"/>
        <v>Done</v>
      </c>
      <c r="B203" s="2" t="s">
        <v>60</v>
      </c>
      <c r="C203" s="2">
        <v>57</v>
      </c>
      <c r="D203" s="2" t="s">
        <v>914</v>
      </c>
      <c r="E203" s="2" t="s">
        <v>255</v>
      </c>
      <c r="F203" s="2" t="s">
        <v>79</v>
      </c>
      <c r="G203" s="2" t="s">
        <v>543</v>
      </c>
      <c r="H203" s="2" t="s">
        <v>692</v>
      </c>
      <c r="I203" s="2" t="s">
        <v>73</v>
      </c>
      <c r="J203" s="2">
        <v>2</v>
      </c>
      <c r="K203" s="2" t="s">
        <v>256</v>
      </c>
      <c r="L203" s="2" t="str" cm="1">
        <f t="array" ref="L203">_xlfn.REGEXEXTRACT(B203,"(?&lt;=//)[^/]+")</f>
        <v>heavyfetish.com</v>
      </c>
      <c r="M203" s="2" t="s">
        <v>747</v>
      </c>
      <c r="N203" s="2" t="s">
        <v>1840</v>
      </c>
      <c r="O203" s="2" t="str" cm="1">
        <f t="array" ref="O203">IF(N203&lt;&gt;"NotApplicable",_xlfn.REGEXEXTRACT(N203,"\d+(?=p)"),"NotApplicable")</f>
        <v>NotApplicable</v>
      </c>
      <c r="P203" s="2" t="s">
        <v>1840</v>
      </c>
      <c r="Q203" s="2" t="s">
        <v>1840</v>
      </c>
      <c r="R203" s="2" t="s">
        <v>1840</v>
      </c>
      <c r="S203" s="24" t="b">
        <f t="shared" si="7"/>
        <v>0</v>
      </c>
    </row>
    <row r="204" spans="1:19" ht="30" x14ac:dyDescent="0.25">
      <c r="A204" s="2" t="str">
        <f t="shared" si="6"/>
        <v>Done</v>
      </c>
      <c r="B204" s="2" t="s">
        <v>42</v>
      </c>
      <c r="C204" s="2">
        <v>45</v>
      </c>
      <c r="D204" s="2" t="s">
        <v>84</v>
      </c>
      <c r="E204" s="2" t="s">
        <v>96</v>
      </c>
      <c r="F204" s="2" t="s">
        <v>80</v>
      </c>
      <c r="G204" s="2" t="s">
        <v>403</v>
      </c>
      <c r="H204" s="2" t="s">
        <v>1574</v>
      </c>
      <c r="I204" s="2" t="s">
        <v>73</v>
      </c>
      <c r="J204" s="2">
        <v>2</v>
      </c>
      <c r="K204" s="2" t="s">
        <v>225</v>
      </c>
      <c r="L204" s="2" t="str" cm="1">
        <f t="array" ref="L204">_xlfn.REGEXEXTRACT(B204,"(?&lt;=//)[^/]+")</f>
        <v>heavyfetish.com</v>
      </c>
      <c r="M204" s="2" t="s">
        <v>747</v>
      </c>
      <c r="N204" s="2" t="s">
        <v>1840</v>
      </c>
      <c r="O204" s="2" t="str" cm="1">
        <f t="array" ref="O204">IF(N204&lt;&gt;"NotApplicable",_xlfn.REGEXEXTRACT(N204,"\d+(?=p)"),"NotApplicable")</f>
        <v>NotApplicable</v>
      </c>
      <c r="P204" s="2" t="s">
        <v>1840</v>
      </c>
      <c r="Q204" s="2" t="s">
        <v>1840</v>
      </c>
      <c r="R204" s="2" t="s">
        <v>1840</v>
      </c>
      <c r="S204" s="24" t="b">
        <f t="shared" si="7"/>
        <v>0</v>
      </c>
    </row>
    <row r="205" spans="1:19" ht="30" x14ac:dyDescent="0.25">
      <c r="A205" s="2" t="str">
        <f t="shared" si="6"/>
        <v>Done</v>
      </c>
      <c r="B205" s="2" t="s">
        <v>145</v>
      </c>
      <c r="C205" s="2">
        <v>32</v>
      </c>
      <c r="D205" s="2" t="s">
        <v>921</v>
      </c>
      <c r="E205" s="2" t="s">
        <v>193</v>
      </c>
      <c r="F205" s="2" t="s">
        <v>79</v>
      </c>
      <c r="G205" s="2" t="s">
        <v>537</v>
      </c>
      <c r="H205" s="2" t="s">
        <v>251</v>
      </c>
      <c r="I205" s="2" t="s">
        <v>73</v>
      </c>
      <c r="J205" s="2">
        <v>2</v>
      </c>
      <c r="K205" s="2" t="s">
        <v>194</v>
      </c>
      <c r="L205" s="2" t="str" cm="1">
        <f t="array" ref="L205">_xlfn.REGEXEXTRACT(B205,"(?&lt;=//)[^/]+")</f>
        <v>heavyfetish.com</v>
      </c>
      <c r="M205" s="2" t="s">
        <v>747</v>
      </c>
      <c r="N205" s="2" t="s">
        <v>1840</v>
      </c>
      <c r="O205" s="2" t="str" cm="1">
        <f t="array" ref="O205">IF(N205&lt;&gt;"NotApplicable",_xlfn.REGEXEXTRACT(N205,"\d+(?=p)"),"NotApplicable")</f>
        <v>NotApplicable</v>
      </c>
      <c r="P205" s="2" t="s">
        <v>1840</v>
      </c>
      <c r="Q205" s="2" t="s">
        <v>1840</v>
      </c>
      <c r="R205" s="2" t="s">
        <v>1840</v>
      </c>
      <c r="S205" s="24" t="b">
        <f t="shared" si="7"/>
        <v>0</v>
      </c>
    </row>
    <row r="206" spans="1:19" ht="45" x14ac:dyDescent="0.25">
      <c r="A206" s="2" t="str">
        <f t="shared" si="6"/>
        <v>Done</v>
      </c>
      <c r="B206" s="2" t="s">
        <v>1820</v>
      </c>
      <c r="C206" s="2">
        <v>18</v>
      </c>
      <c r="D206" s="2" t="s">
        <v>1836</v>
      </c>
      <c r="E206" s="2" t="s">
        <v>385</v>
      </c>
      <c r="F206" s="2" t="s">
        <v>78</v>
      </c>
      <c r="G206" s="2" t="s">
        <v>1821</v>
      </c>
      <c r="H206" s="2" t="s">
        <v>458</v>
      </c>
      <c r="I206" s="2" t="s">
        <v>73</v>
      </c>
      <c r="J206" s="2">
        <v>2</v>
      </c>
      <c r="K206" s="2" t="s">
        <v>310</v>
      </c>
      <c r="L206" s="2" t="str" cm="1">
        <f t="array" ref="L206">_xlfn.REGEXEXTRACT(B206,"(?&lt;=//)[^/]+")</f>
        <v>hcbdsm.com</v>
      </c>
      <c r="M206" s="2" t="s">
        <v>747</v>
      </c>
      <c r="N206" s="2" t="s">
        <v>1840</v>
      </c>
      <c r="O206" s="2" t="str" cm="1">
        <f t="array" ref="O206">IF(N206&lt;&gt;"NotApplicable",_xlfn.REGEXEXTRACT(N206,"\d+(?=p)"),"NotApplicable")</f>
        <v>NotApplicable</v>
      </c>
      <c r="P206" s="2" t="s">
        <v>1840</v>
      </c>
      <c r="Q206" s="2" t="s">
        <v>1840</v>
      </c>
      <c r="R206" s="2" t="s">
        <v>1840</v>
      </c>
      <c r="S206" s="24" t="b">
        <f t="shared" si="7"/>
        <v>1</v>
      </c>
    </row>
    <row r="207" spans="1:19" ht="30" x14ac:dyDescent="0.25">
      <c r="A207" s="2" t="str">
        <f t="shared" si="6"/>
        <v>Done</v>
      </c>
      <c r="B207" s="2" t="s">
        <v>3</v>
      </c>
      <c r="C207" s="2">
        <v>11</v>
      </c>
      <c r="D207" s="2" t="s">
        <v>1836</v>
      </c>
      <c r="E207" s="2" t="s">
        <v>87</v>
      </c>
      <c r="F207" s="2" t="s">
        <v>177</v>
      </c>
      <c r="G207" s="2" t="s">
        <v>618</v>
      </c>
      <c r="H207" s="2" t="s">
        <v>656</v>
      </c>
      <c r="I207" s="2" t="s">
        <v>73</v>
      </c>
      <c r="J207" s="2">
        <v>1</v>
      </c>
      <c r="K207" s="2" t="s">
        <v>621</v>
      </c>
      <c r="L207" s="2" t="str" cm="1">
        <f t="array" ref="L207">_xlfn.REGEXEXTRACT(B207,"(?&lt;=//)[^/]+")</f>
        <v>www.pornhub.com</v>
      </c>
      <c r="M207" s="2" t="s">
        <v>747</v>
      </c>
      <c r="N207" s="2" t="s">
        <v>1840</v>
      </c>
      <c r="O207" s="2" t="str" cm="1">
        <f t="array" ref="O207">IF(N207&lt;&gt;"NotApplicable",_xlfn.REGEXEXTRACT(N207,"\d+(?=p)"),"NotApplicable")</f>
        <v>NotApplicable</v>
      </c>
      <c r="P207" s="2" t="s">
        <v>1840</v>
      </c>
      <c r="Q207" s="2" t="s">
        <v>1840</v>
      </c>
      <c r="R207" s="2" t="s">
        <v>1840</v>
      </c>
      <c r="S207" s="24" t="b">
        <f t="shared" si="7"/>
        <v>0</v>
      </c>
    </row>
    <row r="208" spans="1:19" ht="30" x14ac:dyDescent="0.25">
      <c r="A208" s="2" t="str">
        <f t="shared" si="6"/>
        <v>Done</v>
      </c>
      <c r="B208" s="2" t="s">
        <v>101</v>
      </c>
      <c r="C208" s="2">
        <v>34</v>
      </c>
      <c r="D208" s="2" t="s">
        <v>104</v>
      </c>
      <c r="E208" s="2" t="s">
        <v>381</v>
      </c>
      <c r="F208" s="2" t="s">
        <v>80</v>
      </c>
      <c r="G208" s="2" t="s">
        <v>1793</v>
      </c>
      <c r="H208" s="2" t="s">
        <v>105</v>
      </c>
      <c r="I208" s="2" t="s">
        <v>73</v>
      </c>
      <c r="J208" s="2">
        <v>1</v>
      </c>
      <c r="K208" s="2" t="s">
        <v>106</v>
      </c>
      <c r="L208" s="2" t="str" cm="1">
        <f t="array" ref="L208">_xlfn.REGEXEXTRACT(B208,"(?&lt;=//)[^/]+")</f>
        <v>heavyfetish.com</v>
      </c>
      <c r="M208" s="2" t="s">
        <v>747</v>
      </c>
      <c r="N208" s="2" t="s">
        <v>1840</v>
      </c>
      <c r="O208" s="2" t="str" cm="1">
        <f t="array" ref="O208">IF(N208&lt;&gt;"NotApplicable",_xlfn.REGEXEXTRACT(N208,"\d+(?=p)"),"NotApplicable")</f>
        <v>NotApplicable</v>
      </c>
      <c r="P208" s="2" t="s">
        <v>1840</v>
      </c>
      <c r="Q208" s="2" t="s">
        <v>1840</v>
      </c>
      <c r="R208" s="2" t="s">
        <v>1840</v>
      </c>
      <c r="S208" s="24" t="b">
        <f t="shared" si="7"/>
        <v>1</v>
      </c>
    </row>
    <row r="209" spans="1:19" ht="45" x14ac:dyDescent="0.25">
      <c r="A209" s="2" t="str">
        <f t="shared" si="6"/>
        <v>Done</v>
      </c>
      <c r="B209" s="2" t="s">
        <v>125</v>
      </c>
      <c r="C209" s="2">
        <v>48</v>
      </c>
      <c r="D209" s="2" t="s">
        <v>104</v>
      </c>
      <c r="E209" s="2" t="s">
        <v>104</v>
      </c>
      <c r="F209" s="2" t="s">
        <v>80</v>
      </c>
      <c r="G209" s="2" t="s">
        <v>233</v>
      </c>
      <c r="H209" s="2" t="s">
        <v>459</v>
      </c>
      <c r="I209" s="2" t="s">
        <v>73</v>
      </c>
      <c r="J209" s="2">
        <v>1</v>
      </c>
      <c r="K209" s="2" t="s">
        <v>236</v>
      </c>
      <c r="L209" s="2" t="str" cm="1">
        <f t="array" ref="L209">_xlfn.REGEXEXTRACT(B209,"(?&lt;=//)[^/]+")</f>
        <v>heavyfetish.com</v>
      </c>
      <c r="M209" s="2" t="s">
        <v>747</v>
      </c>
      <c r="N209" s="2" t="s">
        <v>1840</v>
      </c>
      <c r="O209" s="2" t="str" cm="1">
        <f t="array" ref="O209">IF(N209&lt;&gt;"NotApplicable",_xlfn.REGEXEXTRACT(N209,"\d+(?=p)"),"NotApplicable")</f>
        <v>NotApplicable</v>
      </c>
      <c r="P209" s="2" t="s">
        <v>1840</v>
      </c>
      <c r="Q209" s="2" t="s">
        <v>1840</v>
      </c>
      <c r="R209" s="2" t="s">
        <v>1840</v>
      </c>
      <c r="S209" s="24" t="b">
        <f t="shared" si="7"/>
        <v>0</v>
      </c>
    </row>
    <row r="210" spans="1:19" ht="60" x14ac:dyDescent="0.25">
      <c r="A210" s="2" t="str">
        <f t="shared" ref="A210:A257" si="8">IF(ISBLANK(I210)=TRUE,"Pending","Done")</f>
        <v>Pending</v>
      </c>
      <c r="B210" s="2" t="s">
        <v>1548</v>
      </c>
      <c r="C210" s="2">
        <v>91</v>
      </c>
      <c r="D210" s="2" t="s">
        <v>915</v>
      </c>
      <c r="E210" s="2" t="s">
        <v>1543</v>
      </c>
      <c r="F210" s="2" t="s">
        <v>80</v>
      </c>
      <c r="G210" s="2" t="s">
        <v>1777</v>
      </c>
      <c r="H210" s="2"/>
      <c r="I210" s="2"/>
      <c r="J210" s="2"/>
      <c r="K210" s="2"/>
      <c r="L210" s="2" t="str" cm="1">
        <f t="array" ref="L210">_xlfn.REGEXEXTRACT(B210,"(?&lt;=//)[^/]+")</f>
        <v>bdsmmansion.com</v>
      </c>
      <c r="M210" s="2" t="s">
        <v>747</v>
      </c>
      <c r="N210" s="2" t="s">
        <v>1840</v>
      </c>
      <c r="O210" s="2" t="str" cm="1">
        <f t="array" ref="O210">IF(N210&lt;&gt;"NotApplicable",_xlfn.REGEXEXTRACT(N210,"\d+(?=p)"),"NotApplicable")</f>
        <v>NotApplicable</v>
      </c>
      <c r="P210" s="2" t="s">
        <v>1840</v>
      </c>
      <c r="Q210" s="2" t="s">
        <v>1840</v>
      </c>
      <c r="R210" s="2" t="s">
        <v>1840</v>
      </c>
      <c r="S210" s="24" t="b">
        <f t="shared" ref="S210:S257" si="9">ISNUMBER(SEARCH(",",E210))</f>
        <v>1</v>
      </c>
    </row>
    <row r="211" spans="1:19" ht="45" x14ac:dyDescent="0.25">
      <c r="A211" s="2" t="str">
        <f t="shared" si="8"/>
        <v>Pending</v>
      </c>
      <c r="B211" s="2" t="s">
        <v>1637</v>
      </c>
      <c r="C211" s="2">
        <v>63</v>
      </c>
      <c r="D211" s="2" t="s">
        <v>915</v>
      </c>
      <c r="E211" s="2" t="s">
        <v>1663</v>
      </c>
      <c r="F211" s="2" t="s">
        <v>80</v>
      </c>
      <c r="G211" s="2" t="s">
        <v>1777</v>
      </c>
      <c r="H211" s="2"/>
      <c r="I211" s="2"/>
      <c r="J211" s="2"/>
      <c r="K211" s="2" t="s">
        <v>1531</v>
      </c>
      <c r="L211" s="2" t="str" cm="1">
        <f t="array" ref="L211">_xlfn.REGEXEXTRACT(B211,"(?&lt;=//)[^/]+")</f>
        <v>heavyfetish.com</v>
      </c>
      <c r="M211" s="2" t="s">
        <v>747</v>
      </c>
      <c r="N211" s="2" t="s">
        <v>1840</v>
      </c>
      <c r="O211" s="2" t="str" cm="1">
        <f t="array" ref="O211">IF(N211&lt;&gt;"NotApplicable",_xlfn.REGEXEXTRACT(N211,"\d+(?=p)"),"NotApplicable")</f>
        <v>NotApplicable</v>
      </c>
      <c r="P211" s="2" t="s">
        <v>1840</v>
      </c>
      <c r="Q211" s="2" t="s">
        <v>1840</v>
      </c>
      <c r="R211" s="2" t="s">
        <v>1840</v>
      </c>
      <c r="S211" s="24" t="b">
        <f t="shared" si="9"/>
        <v>1</v>
      </c>
    </row>
    <row r="212" spans="1:19" ht="45" x14ac:dyDescent="0.25">
      <c r="A212" s="2" t="str">
        <f t="shared" si="8"/>
        <v>Pending</v>
      </c>
      <c r="B212" s="2" t="s">
        <v>1610</v>
      </c>
      <c r="C212" s="2">
        <v>153</v>
      </c>
      <c r="D212" s="2" t="s">
        <v>921</v>
      </c>
      <c r="E212" s="2" t="s">
        <v>1611</v>
      </c>
      <c r="F212" s="2" t="s">
        <v>79</v>
      </c>
      <c r="G212" s="2" t="s">
        <v>1763</v>
      </c>
      <c r="H212" s="2"/>
      <c r="I212" s="2"/>
      <c r="J212" s="2"/>
      <c r="K212" s="2" t="s">
        <v>1761</v>
      </c>
      <c r="L212" s="2" t="str" cm="1">
        <f t="array" ref="L212">_xlfn.REGEXEXTRACT(B212,"(?&lt;=//)[^/]+")</f>
        <v>bdsmstreak.com</v>
      </c>
      <c r="M212" s="2" t="s">
        <v>747</v>
      </c>
      <c r="N212" s="2" t="s">
        <v>1840</v>
      </c>
      <c r="O212" s="2" t="str" cm="1">
        <f t="array" ref="O212">IF(N212&lt;&gt;"NotApplicable",_xlfn.REGEXEXTRACT(N212,"\d+(?=p)"),"NotApplicable")</f>
        <v>NotApplicable</v>
      </c>
      <c r="P212" s="2" t="s">
        <v>1840</v>
      </c>
      <c r="Q212" s="2" t="s">
        <v>1840</v>
      </c>
      <c r="R212" s="2" t="s">
        <v>1840</v>
      </c>
      <c r="S212" s="24" t="b">
        <f t="shared" si="9"/>
        <v>1</v>
      </c>
    </row>
    <row r="213" spans="1:19" ht="45" x14ac:dyDescent="0.25">
      <c r="A213" s="2" t="str">
        <f t="shared" si="8"/>
        <v>Pending</v>
      </c>
      <c r="B213" s="2" t="s">
        <v>1621</v>
      </c>
      <c r="C213" s="2">
        <v>40</v>
      </c>
      <c r="D213" s="2" t="s">
        <v>921</v>
      </c>
      <c r="E213" s="2" t="s">
        <v>1653</v>
      </c>
      <c r="F213" s="2" t="s">
        <v>80</v>
      </c>
      <c r="G213" s="2" t="s">
        <v>1778</v>
      </c>
      <c r="H213" s="2"/>
      <c r="I213" s="2"/>
      <c r="J213" s="2"/>
      <c r="K213" s="2" t="s">
        <v>1762</v>
      </c>
      <c r="L213" s="2" t="str" cm="1">
        <f t="array" ref="L213">_xlfn.REGEXEXTRACT(B213,"(?&lt;=//)[^/]+")</f>
        <v>bdsmstreak.com</v>
      </c>
      <c r="M213" s="2" t="s">
        <v>747</v>
      </c>
      <c r="N213" s="2" t="s">
        <v>1840</v>
      </c>
      <c r="O213" s="2" t="str" cm="1">
        <f t="array" ref="O213">IF(N213&lt;&gt;"NotApplicable",_xlfn.REGEXEXTRACT(N213,"\d+(?=p)"),"NotApplicable")</f>
        <v>NotApplicable</v>
      </c>
      <c r="P213" s="2" t="s">
        <v>1840</v>
      </c>
      <c r="Q213" s="2" t="s">
        <v>1840</v>
      </c>
      <c r="R213" s="2" t="s">
        <v>1840</v>
      </c>
      <c r="S213" s="24" t="b">
        <f t="shared" si="9"/>
        <v>1</v>
      </c>
    </row>
    <row r="214" spans="1:19" ht="60" x14ac:dyDescent="0.25">
      <c r="A214" s="2" t="str">
        <f t="shared" si="8"/>
        <v>Pending</v>
      </c>
      <c r="B214" s="2" t="s">
        <v>1632</v>
      </c>
      <c r="C214" s="2">
        <v>51</v>
      </c>
      <c r="D214" s="2" t="s">
        <v>921</v>
      </c>
      <c r="E214" s="2" t="s">
        <v>1660</v>
      </c>
      <c r="F214" s="2" t="s">
        <v>80</v>
      </c>
      <c r="G214" s="2" t="s">
        <v>1778</v>
      </c>
      <c r="H214" s="2"/>
      <c r="I214" s="2"/>
      <c r="J214" s="2"/>
      <c r="K214" s="2" t="s">
        <v>1682</v>
      </c>
      <c r="L214" s="2" t="str" cm="1">
        <f t="array" ref="L214">_xlfn.REGEXEXTRACT(B214,"(?&lt;=//)[^/]+")</f>
        <v>v3.bdsmstreak.com</v>
      </c>
      <c r="M214" s="2" t="s">
        <v>747</v>
      </c>
      <c r="N214" s="2" t="s">
        <v>1840</v>
      </c>
      <c r="O214" s="2" t="str" cm="1">
        <f t="array" ref="O214">IF(N214&lt;&gt;"NotApplicable",_xlfn.REGEXEXTRACT(N214,"\d+(?=p)"),"NotApplicable")</f>
        <v>NotApplicable</v>
      </c>
      <c r="P214" s="2" t="s">
        <v>1840</v>
      </c>
      <c r="Q214" s="2" t="s">
        <v>1840</v>
      </c>
      <c r="R214" s="2" t="s">
        <v>1840</v>
      </c>
      <c r="S214" s="24" t="b">
        <f t="shared" si="9"/>
        <v>1</v>
      </c>
    </row>
    <row r="215" spans="1:19" ht="30" x14ac:dyDescent="0.25">
      <c r="A215" s="2" t="str">
        <f t="shared" si="8"/>
        <v>Pending</v>
      </c>
      <c r="B215" s="2" t="s">
        <v>1703</v>
      </c>
      <c r="C215" s="2">
        <v>77</v>
      </c>
      <c r="D215" s="2" t="s">
        <v>1518</v>
      </c>
      <c r="E215" s="2" t="s">
        <v>1719</v>
      </c>
      <c r="F215" s="2" t="s">
        <v>80</v>
      </c>
      <c r="G215" s="2" t="s">
        <v>1777</v>
      </c>
      <c r="H215" s="2"/>
      <c r="I215" s="2"/>
      <c r="J215" s="2"/>
      <c r="K215" s="2"/>
      <c r="L215" s="2" t="str" cm="1">
        <f t="array" ref="L215">_xlfn.REGEXEXTRACT(B215,"(?&lt;=//)[^/]+")</f>
        <v>bdsmstreak.com</v>
      </c>
      <c r="M215" s="2" t="s">
        <v>747</v>
      </c>
      <c r="N215" s="2" t="s">
        <v>1840</v>
      </c>
      <c r="O215" s="2" t="str" cm="1">
        <f t="array" ref="O215">IF(N215&lt;&gt;"NotApplicable",_xlfn.REGEXEXTRACT(N215,"\d+(?=p)"),"NotApplicable")</f>
        <v>NotApplicable</v>
      </c>
      <c r="P215" s="2" t="s">
        <v>1840</v>
      </c>
      <c r="Q215" s="2" t="s">
        <v>1840</v>
      </c>
      <c r="R215" s="2" t="s">
        <v>1840</v>
      </c>
      <c r="S215" s="24" t="b">
        <f t="shared" si="9"/>
        <v>1</v>
      </c>
    </row>
    <row r="216" spans="1:19" ht="90" x14ac:dyDescent="0.25">
      <c r="A216" s="2" t="str">
        <f t="shared" si="8"/>
        <v>Pending</v>
      </c>
      <c r="B216" s="2" t="s">
        <v>1757</v>
      </c>
      <c r="C216" s="2">
        <v>37</v>
      </c>
      <c r="D216" s="2" t="s">
        <v>921</v>
      </c>
      <c r="E216" s="2" t="s">
        <v>1753</v>
      </c>
      <c r="F216" s="2" t="s">
        <v>80</v>
      </c>
      <c r="G216" s="2" t="s">
        <v>1766</v>
      </c>
      <c r="H216" s="2"/>
      <c r="I216" s="2"/>
      <c r="J216" s="2"/>
      <c r="K216" s="2" t="s">
        <v>1758</v>
      </c>
      <c r="L216" s="2" t="str" cm="1">
        <f t="array" ref="L216">_xlfn.REGEXEXTRACT(B216,"(?&lt;=//)[^/]+")</f>
        <v>bdsmstreak.com</v>
      </c>
      <c r="M216" s="2" t="s">
        <v>1754</v>
      </c>
      <c r="N216" s="2" t="s">
        <v>1759</v>
      </c>
      <c r="O216" s="2" t="e" cm="1" vm="1">
        <f t="array" ref="O216">IF(N216&lt;&gt;"NotApplicable",_xlfn.REGEXEXTRACT(N216,"\d+(?=p)"),"NotApplicable")</f>
        <v>#N/A</v>
      </c>
      <c r="P216" s="2" t="s">
        <v>1840</v>
      </c>
      <c r="Q216" s="2" t="s">
        <v>1840</v>
      </c>
      <c r="R216" s="2" t="s">
        <v>1840</v>
      </c>
      <c r="S216" s="24" t="b">
        <f t="shared" si="9"/>
        <v>1</v>
      </c>
    </row>
    <row r="217" spans="1:19" ht="60" x14ac:dyDescent="0.25">
      <c r="A217" s="2" t="str">
        <f t="shared" si="8"/>
        <v>Pending</v>
      </c>
      <c r="B217" s="2" t="s">
        <v>1795</v>
      </c>
      <c r="C217" s="2">
        <v>46</v>
      </c>
      <c r="D217" s="2" t="s">
        <v>921</v>
      </c>
      <c r="E217" s="2" t="s">
        <v>1753</v>
      </c>
      <c r="F217" s="2" t="s">
        <v>80</v>
      </c>
      <c r="G217" s="2" t="s">
        <v>1763</v>
      </c>
      <c r="H217" s="2"/>
      <c r="I217" s="2"/>
      <c r="J217" s="2"/>
      <c r="K217" s="2" t="s">
        <v>1756</v>
      </c>
      <c r="L217" s="2" t="str" cm="1">
        <f t="array" ref="L217">_xlfn.REGEXEXTRACT(B217,"(?&lt;=//)[^/]+")</f>
        <v>bdsmstreak.com</v>
      </c>
      <c r="M217" s="2" t="s">
        <v>1754</v>
      </c>
      <c r="N217" s="2" t="s">
        <v>1755</v>
      </c>
      <c r="O217" s="2" t="e" cm="1" vm="1">
        <f t="array" ref="O217">IF(N217&lt;&gt;"NotApplicable",_xlfn.REGEXEXTRACT(N217,"\d+(?=p)"),"NotApplicable")</f>
        <v>#N/A</v>
      </c>
      <c r="P217" s="2" t="s">
        <v>1840</v>
      </c>
      <c r="Q217" s="2" t="s">
        <v>1840</v>
      </c>
      <c r="R217" s="2" t="s">
        <v>1840</v>
      </c>
      <c r="S217" s="24" t="b">
        <f t="shared" si="9"/>
        <v>1</v>
      </c>
    </row>
    <row r="218" spans="1:19" ht="60" x14ac:dyDescent="0.25">
      <c r="A218" s="2" t="str">
        <f t="shared" si="8"/>
        <v>Pending</v>
      </c>
      <c r="B218" s="2" t="s">
        <v>1775</v>
      </c>
      <c r="C218" s="2">
        <v>97</v>
      </c>
      <c r="D218" s="2" t="s">
        <v>921</v>
      </c>
      <c r="E218" s="2" t="s">
        <v>1675</v>
      </c>
      <c r="F218" s="2" t="s">
        <v>80</v>
      </c>
      <c r="G218" s="2" t="s">
        <v>1776</v>
      </c>
      <c r="H218" s="2"/>
      <c r="I218" s="2"/>
      <c r="J218" s="2"/>
      <c r="K218" s="2"/>
      <c r="L218" s="2" t="str" cm="1">
        <f t="array" ref="L218">_xlfn.REGEXEXTRACT(B218,"(?&lt;=//)[^/]+")</f>
        <v>bdsmstreak.com</v>
      </c>
      <c r="M218" s="2" t="s">
        <v>747</v>
      </c>
      <c r="N218" s="2" t="s">
        <v>1840</v>
      </c>
      <c r="O218" s="2" t="str" cm="1">
        <f t="array" ref="O218">IF(N218&lt;&gt;"NotApplicable",_xlfn.REGEXEXTRACT(N218,"\d+(?=p)"),"NotApplicable")</f>
        <v>NotApplicable</v>
      </c>
      <c r="P218" s="2" t="s">
        <v>1840</v>
      </c>
      <c r="Q218" s="2" t="s">
        <v>1840</v>
      </c>
      <c r="R218" s="2" t="s">
        <v>1840</v>
      </c>
      <c r="S218" s="24" t="b">
        <f t="shared" si="9"/>
        <v>1</v>
      </c>
    </row>
    <row r="219" spans="1:19" ht="45" x14ac:dyDescent="0.25">
      <c r="A219" s="2" t="str">
        <f t="shared" si="8"/>
        <v>Pending</v>
      </c>
      <c r="B219" s="2" t="s">
        <v>1644</v>
      </c>
      <c r="C219" s="2">
        <v>90</v>
      </c>
      <c r="D219" s="2" t="s">
        <v>919</v>
      </c>
      <c r="E219" s="2" t="s">
        <v>1672</v>
      </c>
      <c r="F219" s="2" t="s">
        <v>80</v>
      </c>
      <c r="G219" s="2" t="s">
        <v>1777</v>
      </c>
      <c r="H219" s="2"/>
      <c r="I219" s="2"/>
      <c r="J219" s="2"/>
      <c r="K219" s="2" t="s">
        <v>1678</v>
      </c>
      <c r="L219" s="2" t="str" cm="1">
        <f t="array" ref="L219">_xlfn.REGEXEXTRACT(B219,"(?&lt;=//)[^/]+")</f>
        <v>hcbdsm.com</v>
      </c>
      <c r="M219" s="2" t="s">
        <v>747</v>
      </c>
      <c r="N219" s="2" t="s">
        <v>1840</v>
      </c>
      <c r="O219" s="2" t="str" cm="1">
        <f t="array" ref="O219">IF(N219&lt;&gt;"NotApplicable",_xlfn.REGEXEXTRACT(N219,"\d+(?=p)"),"NotApplicable")</f>
        <v>NotApplicable</v>
      </c>
      <c r="P219" s="2" t="s">
        <v>1840</v>
      </c>
      <c r="Q219" s="2" t="s">
        <v>1840</v>
      </c>
      <c r="R219" s="2" t="s">
        <v>1840</v>
      </c>
      <c r="S219" s="24" t="b">
        <f t="shared" si="9"/>
        <v>1</v>
      </c>
    </row>
    <row r="220" spans="1:19" ht="45" x14ac:dyDescent="0.25">
      <c r="A220" s="2" t="str">
        <f t="shared" si="8"/>
        <v>Pending</v>
      </c>
      <c r="B220" s="2" t="s">
        <v>1640</v>
      </c>
      <c r="C220" s="2">
        <v>76</v>
      </c>
      <c r="D220" s="2" t="s">
        <v>919</v>
      </c>
      <c r="E220" s="2" t="s">
        <v>1666</v>
      </c>
      <c r="F220" s="2" t="s">
        <v>223</v>
      </c>
      <c r="G220" s="2" t="s">
        <v>1777</v>
      </c>
      <c r="H220" s="2"/>
      <c r="I220" s="2"/>
      <c r="J220" s="2"/>
      <c r="K220" s="2" t="s">
        <v>1686</v>
      </c>
      <c r="L220" s="2" t="str" cm="1">
        <f t="array" ref="L220">_xlfn.REGEXEXTRACT(B220,"(?&lt;=//)[^/]+")</f>
        <v>bdsmstreak.com</v>
      </c>
      <c r="M220" s="2" t="s">
        <v>747</v>
      </c>
      <c r="N220" s="2" t="s">
        <v>1840</v>
      </c>
      <c r="O220" s="2" t="str" cm="1">
        <f t="array" ref="O220">IF(N220&lt;&gt;"NotApplicable",_xlfn.REGEXEXTRACT(N220,"\d+(?=p)"),"NotApplicable")</f>
        <v>NotApplicable</v>
      </c>
      <c r="P220" s="2" t="s">
        <v>1840</v>
      </c>
      <c r="Q220" s="2" t="s">
        <v>1840</v>
      </c>
      <c r="R220" s="2" t="s">
        <v>1840</v>
      </c>
      <c r="S220" s="24" t="b">
        <f t="shared" si="9"/>
        <v>1</v>
      </c>
    </row>
    <row r="221" spans="1:19" ht="45" x14ac:dyDescent="0.25">
      <c r="A221" s="2" t="str">
        <f t="shared" si="8"/>
        <v>Pending</v>
      </c>
      <c r="B221" s="2" t="s">
        <v>1645</v>
      </c>
      <c r="C221" s="2">
        <v>93</v>
      </c>
      <c r="D221" s="2" t="s">
        <v>1649</v>
      </c>
      <c r="E221" s="2" t="s">
        <v>1673</v>
      </c>
      <c r="F221" s="2" t="s">
        <v>79</v>
      </c>
      <c r="G221" s="2" t="s">
        <v>1763</v>
      </c>
      <c r="H221" s="2"/>
      <c r="I221" s="2"/>
      <c r="J221" s="2"/>
      <c r="K221" s="2"/>
      <c r="L221" s="2" t="str" cm="1">
        <f t="array" ref="L221">_xlfn.REGEXEXTRACT(B221,"(?&lt;=//)[^/]+")</f>
        <v>www.kink.com</v>
      </c>
      <c r="M221" s="2" t="s">
        <v>747</v>
      </c>
      <c r="N221" s="2" t="s">
        <v>1840</v>
      </c>
      <c r="O221" s="2" t="str" cm="1">
        <f t="array" ref="O221">IF(N221&lt;&gt;"NotApplicable",_xlfn.REGEXEXTRACT(N221,"\d+(?=p)"),"NotApplicable")</f>
        <v>NotApplicable</v>
      </c>
      <c r="P221" s="2" t="s">
        <v>1840</v>
      </c>
      <c r="Q221" s="2" t="s">
        <v>1840</v>
      </c>
      <c r="R221" s="2" t="s">
        <v>1840</v>
      </c>
      <c r="S221" s="24" t="b">
        <f t="shared" si="9"/>
        <v>1</v>
      </c>
    </row>
    <row r="222" spans="1:19" ht="45" x14ac:dyDescent="0.25">
      <c r="A222" s="2" t="str">
        <f t="shared" si="8"/>
        <v>Pending</v>
      </c>
      <c r="B222" s="2" t="s">
        <v>1702</v>
      </c>
      <c r="C222" s="2">
        <v>74</v>
      </c>
      <c r="D222" s="2" t="s">
        <v>1649</v>
      </c>
      <c r="E222" s="2" t="s">
        <v>1718</v>
      </c>
      <c r="F222" s="2" t="s">
        <v>78</v>
      </c>
      <c r="G222" s="2" t="s">
        <v>1763</v>
      </c>
      <c r="H222" s="2"/>
      <c r="I222" s="2"/>
      <c r="J222" s="2"/>
      <c r="K222" s="2"/>
      <c r="L222" s="2" t="str" cm="1">
        <f t="array" ref="L222">_xlfn.REGEXEXTRACT(B222,"(?&lt;=//)[^/]+")</f>
        <v>heavyfetish.com</v>
      </c>
      <c r="M222" s="2" t="s">
        <v>747</v>
      </c>
      <c r="N222" s="2" t="s">
        <v>1840</v>
      </c>
      <c r="O222" s="2" t="str" cm="1">
        <f t="array" ref="O222">IF(N222&lt;&gt;"NotApplicable",_xlfn.REGEXEXTRACT(N222,"\d+(?=p)"),"NotApplicable")</f>
        <v>NotApplicable</v>
      </c>
      <c r="P222" s="2" t="s">
        <v>1840</v>
      </c>
      <c r="Q222" s="2" t="s">
        <v>1840</v>
      </c>
      <c r="R222" s="2" t="s">
        <v>1840</v>
      </c>
      <c r="S222" s="24" t="b">
        <f t="shared" si="9"/>
        <v>1</v>
      </c>
    </row>
    <row r="223" spans="1:19" ht="45" x14ac:dyDescent="0.25">
      <c r="A223" s="2" t="str">
        <f t="shared" si="8"/>
        <v>Pending</v>
      </c>
      <c r="B223" s="2" t="s">
        <v>1646</v>
      </c>
      <c r="C223" s="2">
        <v>94</v>
      </c>
      <c r="D223" s="2" t="s">
        <v>919</v>
      </c>
      <c r="E223" s="2" t="s">
        <v>1674</v>
      </c>
      <c r="F223" s="2" t="s">
        <v>80</v>
      </c>
      <c r="G223" s="2" t="s">
        <v>1777</v>
      </c>
      <c r="H223" s="2"/>
      <c r="I223" s="2"/>
      <c r="J223" s="2"/>
      <c r="K223" s="2" t="s">
        <v>1686</v>
      </c>
      <c r="L223" s="2" t="str" cm="1">
        <f t="array" ref="L223">_xlfn.REGEXEXTRACT(B223,"(?&lt;=//)[^/]+")</f>
        <v>bdsmstreak.com</v>
      </c>
      <c r="M223" s="2" t="s">
        <v>747</v>
      </c>
      <c r="N223" s="2" t="s">
        <v>1840</v>
      </c>
      <c r="O223" s="2" t="str" cm="1">
        <f t="array" ref="O223">IF(N223&lt;&gt;"NotApplicable",_xlfn.REGEXEXTRACT(N223,"\d+(?=p)"),"NotApplicable")</f>
        <v>NotApplicable</v>
      </c>
      <c r="P223" s="2" t="s">
        <v>1840</v>
      </c>
      <c r="Q223" s="2" t="s">
        <v>1840</v>
      </c>
      <c r="R223" s="2" t="s">
        <v>1840</v>
      </c>
      <c r="S223" s="24" t="b">
        <f t="shared" si="9"/>
        <v>1</v>
      </c>
    </row>
    <row r="224" spans="1:19" ht="45" x14ac:dyDescent="0.25">
      <c r="A224" s="2" t="str">
        <f t="shared" si="8"/>
        <v>Pending</v>
      </c>
      <c r="B224" s="2" t="s">
        <v>1704</v>
      </c>
      <c r="C224" s="2">
        <v>56</v>
      </c>
      <c r="D224" s="2" t="s">
        <v>915</v>
      </c>
      <c r="E224" s="2" t="s">
        <v>1720</v>
      </c>
      <c r="F224" s="2" t="s">
        <v>80</v>
      </c>
      <c r="G224" s="2" t="s">
        <v>1777</v>
      </c>
      <c r="H224" s="2"/>
      <c r="I224" s="2"/>
      <c r="J224" s="2"/>
      <c r="K224" s="2"/>
      <c r="L224" s="2" t="str" cm="1">
        <f t="array" ref="L224">_xlfn.REGEXEXTRACT(B224,"(?&lt;=//)[^/]+")</f>
        <v>bdsmstreak.com</v>
      </c>
      <c r="M224" s="2" t="s">
        <v>747</v>
      </c>
      <c r="N224" s="2" t="s">
        <v>1840</v>
      </c>
      <c r="O224" s="2" t="str" cm="1">
        <f t="array" ref="O224">IF(N224&lt;&gt;"NotApplicable",_xlfn.REGEXEXTRACT(N224,"\d+(?=p)"),"NotApplicable")</f>
        <v>NotApplicable</v>
      </c>
      <c r="P224" s="2" t="s">
        <v>1840</v>
      </c>
      <c r="Q224" s="2" t="s">
        <v>1840</v>
      </c>
      <c r="R224" s="2" t="s">
        <v>1840</v>
      </c>
      <c r="S224" s="24" t="b">
        <f t="shared" si="9"/>
        <v>1</v>
      </c>
    </row>
    <row r="225" spans="1:19" ht="45" x14ac:dyDescent="0.25">
      <c r="A225" s="2" t="str">
        <f t="shared" si="8"/>
        <v>Pending</v>
      </c>
      <c r="B225" s="2" t="s">
        <v>1785</v>
      </c>
      <c r="C225" s="2">
        <v>104</v>
      </c>
      <c r="D225" s="2" t="s">
        <v>919</v>
      </c>
      <c r="E225" s="2" t="s">
        <v>1676</v>
      </c>
      <c r="F225" s="2" t="s">
        <v>80</v>
      </c>
      <c r="G225" s="2" t="s">
        <v>1777</v>
      </c>
      <c r="H225" s="2"/>
      <c r="I225" s="2"/>
      <c r="J225" s="2"/>
      <c r="K225" s="2" t="s">
        <v>1686</v>
      </c>
      <c r="L225" s="2" t="str" cm="1">
        <f t="array" ref="L225">_xlfn.REGEXEXTRACT(B225,"(?&lt;=//)[^/]+")</f>
        <v>bdsmstreak.com</v>
      </c>
      <c r="M225" s="2" t="s">
        <v>747</v>
      </c>
      <c r="N225" s="2" t="s">
        <v>1840</v>
      </c>
      <c r="O225" s="2" t="str" cm="1">
        <f t="array" ref="O225">IF(N225&lt;&gt;"NotApplicable",_xlfn.REGEXEXTRACT(N225,"\d+(?=p)"),"NotApplicable")</f>
        <v>NotApplicable</v>
      </c>
      <c r="P225" s="2" t="s">
        <v>1840</v>
      </c>
      <c r="Q225" s="2" t="s">
        <v>1840</v>
      </c>
      <c r="R225" s="2" t="s">
        <v>1840</v>
      </c>
      <c r="S225" s="24" t="b">
        <f t="shared" si="9"/>
        <v>1</v>
      </c>
    </row>
    <row r="226" spans="1:19" ht="60" x14ac:dyDescent="0.25">
      <c r="A226" s="2" t="str">
        <f t="shared" si="8"/>
        <v>Pending</v>
      </c>
      <c r="B226" s="2" t="s">
        <v>1700</v>
      </c>
      <c r="C226" s="2">
        <v>58</v>
      </c>
      <c r="D226" s="2" t="s">
        <v>912</v>
      </c>
      <c r="E226" s="2" t="s">
        <v>1716</v>
      </c>
      <c r="F226" s="2" t="s">
        <v>79</v>
      </c>
      <c r="G226" s="2" t="s">
        <v>1772</v>
      </c>
      <c r="H226" s="2"/>
      <c r="I226" s="2"/>
      <c r="J226" s="2"/>
      <c r="K226" s="2"/>
      <c r="L226" s="2" t="str" cm="1">
        <f t="array" ref="L226">_xlfn.REGEXEXTRACT(B226,"(?&lt;=//)[^/]+")</f>
        <v>bdsmstreak.com</v>
      </c>
      <c r="M226" s="2" t="s">
        <v>747</v>
      </c>
      <c r="N226" s="2" t="s">
        <v>1840</v>
      </c>
      <c r="O226" s="2" t="str" cm="1">
        <f t="array" ref="O226">IF(N226&lt;&gt;"NotApplicable",_xlfn.REGEXEXTRACT(N226,"\d+(?=p)"),"NotApplicable")</f>
        <v>NotApplicable</v>
      </c>
      <c r="P226" s="2" t="s">
        <v>1840</v>
      </c>
      <c r="Q226" s="2" t="s">
        <v>1840</v>
      </c>
      <c r="R226" s="2" t="s">
        <v>1840</v>
      </c>
      <c r="S226" s="24" t="b">
        <f t="shared" si="9"/>
        <v>1</v>
      </c>
    </row>
    <row r="227" spans="1:19" ht="45" x14ac:dyDescent="0.25">
      <c r="A227" s="2" t="str">
        <f t="shared" si="8"/>
        <v>Pending</v>
      </c>
      <c r="B227" s="2" t="s">
        <v>1547</v>
      </c>
      <c r="C227" s="2">
        <v>74</v>
      </c>
      <c r="D227" s="2" t="s">
        <v>915</v>
      </c>
      <c r="E227" s="2" t="s">
        <v>1544</v>
      </c>
      <c r="F227" s="2" t="s">
        <v>80</v>
      </c>
      <c r="G227" s="2" t="s">
        <v>1777</v>
      </c>
      <c r="H227" s="2"/>
      <c r="I227" s="2"/>
      <c r="J227" s="2"/>
      <c r="K227" s="2" t="s">
        <v>800</v>
      </c>
      <c r="L227" s="2" t="str" cm="1">
        <f t="array" ref="L227">_xlfn.REGEXEXTRACT(B227,"(?&lt;=//)[^/]+")</f>
        <v>bdsmmansion.com</v>
      </c>
      <c r="M227" s="2" t="s">
        <v>747</v>
      </c>
      <c r="N227" s="2" t="s">
        <v>1840</v>
      </c>
      <c r="O227" s="2" t="str" cm="1">
        <f t="array" ref="O227">IF(N227&lt;&gt;"NotApplicable",_xlfn.REGEXEXTRACT(N227,"\d+(?=p)"),"NotApplicable")</f>
        <v>NotApplicable</v>
      </c>
      <c r="P227" s="2" t="s">
        <v>1840</v>
      </c>
      <c r="Q227" s="2" t="s">
        <v>1840</v>
      </c>
      <c r="R227" s="2" t="s">
        <v>1840</v>
      </c>
      <c r="S227" s="24" t="b">
        <f t="shared" si="9"/>
        <v>1</v>
      </c>
    </row>
    <row r="228" spans="1:19" ht="45" x14ac:dyDescent="0.25">
      <c r="A228" s="2" t="str">
        <f t="shared" si="8"/>
        <v>Pending</v>
      </c>
      <c r="B228" s="2" t="s">
        <v>1709</v>
      </c>
      <c r="C228" s="2">
        <v>71</v>
      </c>
      <c r="D228" s="2" t="s">
        <v>915</v>
      </c>
      <c r="E228" s="2" t="s">
        <v>1724</v>
      </c>
      <c r="F228" s="2" t="s">
        <v>80</v>
      </c>
      <c r="G228" s="2" t="s">
        <v>1788</v>
      </c>
      <c r="H228" s="2"/>
      <c r="I228" s="2"/>
      <c r="J228" s="2"/>
      <c r="K228" s="2"/>
      <c r="L228" s="2" t="str" cm="1">
        <f t="array" ref="L228">_xlfn.REGEXEXTRACT(B228,"(?&lt;=//)[^/]+")</f>
        <v>hcbdsm.com</v>
      </c>
      <c r="M228" s="2" t="s">
        <v>747</v>
      </c>
      <c r="N228" s="2" t="s">
        <v>1840</v>
      </c>
      <c r="O228" s="2" t="str" cm="1">
        <f t="array" ref="O228">IF(N228&lt;&gt;"NotApplicable",_xlfn.REGEXEXTRACT(N228,"\d+(?=p)"),"NotApplicable")</f>
        <v>NotApplicable</v>
      </c>
      <c r="P228" s="2" t="s">
        <v>1840</v>
      </c>
      <c r="Q228" s="2" t="s">
        <v>1840</v>
      </c>
      <c r="R228" s="2" t="s">
        <v>1840</v>
      </c>
      <c r="S228" s="24" t="b">
        <f t="shared" si="9"/>
        <v>1</v>
      </c>
    </row>
    <row r="229" spans="1:19" ht="75" x14ac:dyDescent="0.25">
      <c r="A229" s="2" t="str">
        <f t="shared" si="8"/>
        <v>Pending</v>
      </c>
      <c r="B229" s="2" t="s">
        <v>1532</v>
      </c>
      <c r="C229" s="2">
        <v>50</v>
      </c>
      <c r="D229" s="2" t="s">
        <v>916</v>
      </c>
      <c r="E229" s="2" t="s">
        <v>1530</v>
      </c>
      <c r="F229" s="2" t="s">
        <v>80</v>
      </c>
      <c r="G229" s="2" t="s">
        <v>1788</v>
      </c>
      <c r="H229" s="2"/>
      <c r="I229" s="2"/>
      <c r="J229" s="2"/>
      <c r="K229" s="2" t="s">
        <v>1531</v>
      </c>
      <c r="L229" s="2" t="str" cm="1">
        <f t="array" ref="L229">_xlfn.REGEXEXTRACT(B229,"(?&lt;=//)[^/]+")</f>
        <v>bdsmstreak.com</v>
      </c>
      <c r="M229" s="2" t="s">
        <v>747</v>
      </c>
      <c r="N229" s="2" t="s">
        <v>1840</v>
      </c>
      <c r="O229" s="2" t="str" cm="1">
        <f t="array" ref="O229">IF(N229&lt;&gt;"NotApplicable",_xlfn.REGEXEXTRACT(N229,"\d+(?=p)"),"NotApplicable")</f>
        <v>NotApplicable</v>
      </c>
      <c r="P229" s="2" t="s">
        <v>1840</v>
      </c>
      <c r="Q229" s="2" t="s">
        <v>1840</v>
      </c>
      <c r="R229" s="2" t="s">
        <v>1840</v>
      </c>
      <c r="S229" s="24" t="b">
        <f t="shared" si="9"/>
        <v>1</v>
      </c>
    </row>
    <row r="230" spans="1:19" ht="60" x14ac:dyDescent="0.25">
      <c r="A230" s="2" t="str">
        <f t="shared" si="8"/>
        <v>Pending</v>
      </c>
      <c r="B230" s="2" t="s">
        <v>1534</v>
      </c>
      <c r="C230" s="2">
        <v>62</v>
      </c>
      <c r="D230" s="2" t="s">
        <v>916</v>
      </c>
      <c r="E230" s="2" t="s">
        <v>1533</v>
      </c>
      <c r="F230" s="2" t="s">
        <v>80</v>
      </c>
      <c r="G230" s="2" t="s">
        <v>1777</v>
      </c>
      <c r="H230" s="2"/>
      <c r="I230" s="2"/>
      <c r="J230" s="2"/>
      <c r="K230" s="2"/>
      <c r="L230" s="2" t="str" cm="1">
        <f t="array" ref="L230">_xlfn.REGEXEXTRACT(B230,"(?&lt;=//)[^/]+")</f>
        <v>bdsmstreak.com</v>
      </c>
      <c r="M230" s="2" t="s">
        <v>747</v>
      </c>
      <c r="N230" s="2" t="s">
        <v>1840</v>
      </c>
      <c r="O230" s="2" t="str" cm="1">
        <f t="array" ref="O230">IF(N230&lt;&gt;"NotApplicable",_xlfn.REGEXEXTRACT(N230,"\d+(?=p)"),"NotApplicable")</f>
        <v>NotApplicable</v>
      </c>
      <c r="P230" s="2" t="s">
        <v>1840</v>
      </c>
      <c r="Q230" s="2" t="s">
        <v>1840</v>
      </c>
      <c r="R230" s="2" t="s">
        <v>1840</v>
      </c>
      <c r="S230" s="24" t="b">
        <f t="shared" si="9"/>
        <v>1</v>
      </c>
    </row>
    <row r="231" spans="1:19" ht="45" x14ac:dyDescent="0.25">
      <c r="A231" s="2" t="str">
        <f t="shared" si="8"/>
        <v>Pending</v>
      </c>
      <c r="B231" s="2" t="s">
        <v>1790</v>
      </c>
      <c r="C231" s="2">
        <v>21</v>
      </c>
      <c r="D231" s="2" t="s">
        <v>1518</v>
      </c>
      <c r="E231" s="2" t="s">
        <v>1519</v>
      </c>
      <c r="F231" s="2" t="s">
        <v>80</v>
      </c>
      <c r="G231" s="2" t="s">
        <v>1777</v>
      </c>
      <c r="H231" s="2"/>
      <c r="I231" s="2"/>
      <c r="J231" s="2"/>
      <c r="K231" s="2"/>
      <c r="L231" s="2" t="str" cm="1">
        <f t="array" ref="L231">_xlfn.REGEXEXTRACT(B231,"(?&lt;=//)[^/]+")</f>
        <v>hcbdsm.com</v>
      </c>
      <c r="M231" s="2" t="s">
        <v>747</v>
      </c>
      <c r="N231" s="2" t="s">
        <v>1840</v>
      </c>
      <c r="O231" s="2" t="str" cm="1">
        <f t="array" ref="O231">IF(N231&lt;&gt;"NotApplicable",_xlfn.REGEXEXTRACT(N231,"\d+(?=p)"),"NotApplicable")</f>
        <v>NotApplicable</v>
      </c>
      <c r="P231" s="2" t="s">
        <v>1840</v>
      </c>
      <c r="Q231" s="2" t="s">
        <v>1840</v>
      </c>
      <c r="R231" s="2" t="s">
        <v>1840</v>
      </c>
      <c r="S231" s="24" t="b">
        <f t="shared" si="9"/>
        <v>1</v>
      </c>
    </row>
    <row r="232" spans="1:19" ht="45" x14ac:dyDescent="0.25">
      <c r="A232" s="2" t="str">
        <f t="shared" si="8"/>
        <v>Pending</v>
      </c>
      <c r="B232" s="2" t="s">
        <v>1791</v>
      </c>
      <c r="C232" s="2">
        <v>90</v>
      </c>
      <c r="D232" s="2" t="s">
        <v>919</v>
      </c>
      <c r="E232" s="2" t="s">
        <v>1671</v>
      </c>
      <c r="F232" s="2" t="s">
        <v>80</v>
      </c>
      <c r="G232" s="2" t="s">
        <v>1788</v>
      </c>
      <c r="H232" s="2"/>
      <c r="I232" s="2"/>
      <c r="J232" s="2"/>
      <c r="K232" s="2" t="s">
        <v>1686</v>
      </c>
      <c r="L232" s="2" t="str" cm="1">
        <f t="array" ref="L232">_xlfn.REGEXEXTRACT(B232,"(?&lt;=//)[^/]+")</f>
        <v>hcbdsm.com</v>
      </c>
      <c r="M232" s="2" t="s">
        <v>747</v>
      </c>
      <c r="N232" s="2" t="s">
        <v>1840</v>
      </c>
      <c r="O232" s="2" t="str" cm="1">
        <f t="array" ref="O232">IF(N232&lt;&gt;"NotApplicable",_xlfn.REGEXEXTRACT(N232,"\d+(?=p)"),"NotApplicable")</f>
        <v>NotApplicable</v>
      </c>
      <c r="P232" s="2" t="s">
        <v>1840</v>
      </c>
      <c r="Q232" s="2" t="s">
        <v>1840</v>
      </c>
      <c r="R232" s="2" t="s">
        <v>1840</v>
      </c>
      <c r="S232" s="24" t="b">
        <f t="shared" si="9"/>
        <v>1</v>
      </c>
    </row>
    <row r="233" spans="1:19" ht="60" x14ac:dyDescent="0.25">
      <c r="A233" s="2" t="str">
        <f t="shared" si="8"/>
        <v>Pending</v>
      </c>
      <c r="B233" s="2" t="s">
        <v>1541</v>
      </c>
      <c r="C233" s="2">
        <v>63</v>
      </c>
      <c r="D233" s="2" t="s">
        <v>915</v>
      </c>
      <c r="E233" s="2" t="s">
        <v>1687</v>
      </c>
      <c r="F233" s="2" t="s">
        <v>80</v>
      </c>
      <c r="G233" s="2" t="s">
        <v>1788</v>
      </c>
      <c r="H233" s="2"/>
      <c r="I233" s="2"/>
      <c r="J233" s="2"/>
      <c r="K233" s="2"/>
      <c r="L233" s="2" t="str" cm="1">
        <f t="array" ref="L233">_xlfn.REGEXEXTRACT(B233,"(?&lt;=//)[^/]+")</f>
        <v>bdsmstreak.com</v>
      </c>
      <c r="M233" s="2" t="s">
        <v>747</v>
      </c>
      <c r="N233" s="2" t="s">
        <v>1840</v>
      </c>
      <c r="O233" s="2" t="str" cm="1">
        <f t="array" ref="O233">IF(N233&lt;&gt;"NotApplicable",_xlfn.REGEXEXTRACT(N233,"\d+(?=p)"),"NotApplicable")</f>
        <v>NotApplicable</v>
      </c>
      <c r="P233" s="2" t="s">
        <v>1840</v>
      </c>
      <c r="Q233" s="2" t="s">
        <v>1840</v>
      </c>
      <c r="R233" s="2" t="s">
        <v>1840</v>
      </c>
      <c r="S233" s="24" t="b">
        <f t="shared" si="9"/>
        <v>1</v>
      </c>
    </row>
    <row r="234" spans="1:19" ht="45" x14ac:dyDescent="0.25">
      <c r="A234" s="2" t="str">
        <f t="shared" si="8"/>
        <v>Pending</v>
      </c>
      <c r="B234" s="2" t="s">
        <v>1509</v>
      </c>
      <c r="C234" s="2">
        <v>65</v>
      </c>
      <c r="D234" s="2" t="s">
        <v>915</v>
      </c>
      <c r="E234" s="2" t="s">
        <v>1508</v>
      </c>
      <c r="F234" s="2" t="s">
        <v>80</v>
      </c>
      <c r="G234" s="2" t="s">
        <v>1777</v>
      </c>
      <c r="H234" s="2"/>
      <c r="I234" s="2"/>
      <c r="J234" s="2"/>
      <c r="K234" s="2"/>
      <c r="L234" s="2" t="str" cm="1">
        <f t="array" ref="L234">_xlfn.REGEXEXTRACT(B234,"(?&lt;=//)[^/]+")</f>
        <v>bdsmmansion.com</v>
      </c>
      <c r="M234" s="2" t="s">
        <v>747</v>
      </c>
      <c r="N234" s="2" t="s">
        <v>1840</v>
      </c>
      <c r="O234" s="2" t="str" cm="1">
        <f t="array" ref="O234">IF(N234&lt;&gt;"NotApplicable",_xlfn.REGEXEXTRACT(N234,"\d+(?=p)"),"NotApplicable")</f>
        <v>NotApplicable</v>
      </c>
      <c r="P234" s="2" t="s">
        <v>1840</v>
      </c>
      <c r="Q234" s="2" t="s">
        <v>1840</v>
      </c>
      <c r="R234" s="2" t="s">
        <v>1840</v>
      </c>
      <c r="S234" s="24" t="b">
        <f t="shared" si="9"/>
        <v>1</v>
      </c>
    </row>
    <row r="235" spans="1:19" ht="45" x14ac:dyDescent="0.25">
      <c r="A235" s="2" t="str">
        <f t="shared" si="8"/>
        <v>Pending</v>
      </c>
      <c r="B235" s="2" t="s">
        <v>1813</v>
      </c>
      <c r="C235" s="2">
        <v>36</v>
      </c>
      <c r="D235" s="2" t="s">
        <v>921</v>
      </c>
      <c r="E235" s="2" t="s">
        <v>1698</v>
      </c>
      <c r="F235" s="2" t="s">
        <v>79</v>
      </c>
      <c r="G235" s="2" t="s">
        <v>1763</v>
      </c>
      <c r="H235" s="2"/>
      <c r="I235" s="2"/>
      <c r="J235" s="2"/>
      <c r="K235" s="2" t="s">
        <v>1699</v>
      </c>
      <c r="L235" s="2" t="str" cm="1">
        <f t="array" ref="L235">_xlfn.REGEXEXTRACT(B235,"(?&lt;=//)[^/]+")</f>
        <v>bdsmstreak.com</v>
      </c>
      <c r="M235" s="2" t="s">
        <v>747</v>
      </c>
      <c r="N235" s="2" t="s">
        <v>1840</v>
      </c>
      <c r="O235" s="2" t="str" cm="1">
        <f t="array" ref="O235">IF(N235&lt;&gt;"NotApplicable",_xlfn.REGEXEXTRACT(N235,"\d+(?=p)"),"NotApplicable")</f>
        <v>NotApplicable</v>
      </c>
      <c r="P235" s="2" t="s">
        <v>1840</v>
      </c>
      <c r="Q235" s="2" t="s">
        <v>1840</v>
      </c>
      <c r="R235" s="2" t="s">
        <v>1840</v>
      </c>
      <c r="S235" s="24" t="b">
        <f t="shared" si="9"/>
        <v>1</v>
      </c>
    </row>
    <row r="236" spans="1:19" ht="60" x14ac:dyDescent="0.25">
      <c r="A236" s="2" t="str">
        <f t="shared" si="8"/>
        <v>Pending</v>
      </c>
      <c r="B236" s="2" t="s">
        <v>1798</v>
      </c>
      <c r="C236" s="2">
        <v>85</v>
      </c>
      <c r="D236" s="2" t="s">
        <v>919</v>
      </c>
      <c r="E236" s="2" t="s">
        <v>1670</v>
      </c>
      <c r="F236" s="2" t="s">
        <v>80</v>
      </c>
      <c r="G236" s="2" t="s">
        <v>1776</v>
      </c>
      <c r="H236" s="2"/>
      <c r="I236" s="2"/>
      <c r="J236" s="2"/>
      <c r="K236" s="2" t="s">
        <v>1686</v>
      </c>
      <c r="L236" s="2" t="str" cm="1">
        <f t="array" ref="L236">_xlfn.REGEXEXTRACT(B236,"(?&lt;=//)[^/]+")</f>
        <v>bdsmstreak.com</v>
      </c>
      <c r="M236" s="2" t="s">
        <v>747</v>
      </c>
      <c r="N236" s="2" t="s">
        <v>1840</v>
      </c>
      <c r="O236" s="2" t="str" cm="1">
        <f t="array" ref="O236">IF(N236&lt;&gt;"NotApplicable",_xlfn.REGEXEXTRACT(N236,"\d+(?=p)"),"NotApplicable")</f>
        <v>NotApplicable</v>
      </c>
      <c r="P236" s="2" t="s">
        <v>1840</v>
      </c>
      <c r="Q236" s="2" t="s">
        <v>1840</v>
      </c>
      <c r="R236" s="2" t="s">
        <v>1840</v>
      </c>
      <c r="S236" s="24" t="b">
        <f t="shared" si="9"/>
        <v>1</v>
      </c>
    </row>
    <row r="237" spans="1:19" ht="45" x14ac:dyDescent="0.25">
      <c r="A237" s="2" t="str">
        <f t="shared" si="8"/>
        <v>Pending</v>
      </c>
      <c r="B237" s="2" t="s">
        <v>1633</v>
      </c>
      <c r="C237" s="2">
        <v>53</v>
      </c>
      <c r="D237" s="2" t="s">
        <v>1648</v>
      </c>
      <c r="E237" s="2" t="s">
        <v>1661</v>
      </c>
      <c r="F237" s="2" t="s">
        <v>79</v>
      </c>
      <c r="G237" s="2" t="s">
        <v>1814</v>
      </c>
      <c r="H237" s="2"/>
      <c r="I237" s="2"/>
      <c r="J237" s="2"/>
      <c r="K237" s="2"/>
      <c r="L237" s="2" t="str" cm="1">
        <f t="array" ref="L237">_xlfn.REGEXEXTRACT(B237,"(?&lt;=//)[^/]+")</f>
        <v>www.kink.com</v>
      </c>
      <c r="M237" s="2" t="s">
        <v>747</v>
      </c>
      <c r="N237" s="2" t="s">
        <v>1840</v>
      </c>
      <c r="O237" s="2" t="str" cm="1">
        <f t="array" ref="O237">IF(N237&lt;&gt;"NotApplicable",_xlfn.REGEXEXTRACT(N237,"\d+(?=p)"),"NotApplicable")</f>
        <v>NotApplicable</v>
      </c>
      <c r="P237" s="2" t="s">
        <v>1840</v>
      </c>
      <c r="Q237" s="2" t="s">
        <v>1840</v>
      </c>
      <c r="R237" s="2" t="s">
        <v>1840</v>
      </c>
      <c r="S237" s="24" t="b">
        <f t="shared" si="9"/>
        <v>1</v>
      </c>
    </row>
    <row r="238" spans="1:19" ht="60" x14ac:dyDescent="0.25">
      <c r="A238" s="2" t="str">
        <f t="shared" si="8"/>
        <v>Pending</v>
      </c>
      <c r="B238" s="2" t="s">
        <v>1714</v>
      </c>
      <c r="C238" s="2">
        <v>12</v>
      </c>
      <c r="D238" s="2" t="s">
        <v>917</v>
      </c>
      <c r="E238" s="2" t="s">
        <v>1727</v>
      </c>
      <c r="F238" s="2" t="s">
        <v>80</v>
      </c>
      <c r="G238" s="2" t="s">
        <v>1802</v>
      </c>
      <c r="H238" s="2"/>
      <c r="I238" s="2"/>
      <c r="J238" s="2"/>
      <c r="K238" s="2" t="s">
        <v>1732</v>
      </c>
      <c r="L238" s="2" t="str" cm="1">
        <f t="array" ref="L238">_xlfn.REGEXEXTRACT(B238,"(?&lt;=//)[^/]+")</f>
        <v>hcbdsm.com</v>
      </c>
      <c r="M238" s="2" t="s">
        <v>747</v>
      </c>
      <c r="N238" s="2" t="s">
        <v>1840</v>
      </c>
      <c r="O238" s="2" t="str" cm="1">
        <f t="array" ref="O238">IF(N238&lt;&gt;"NotApplicable",_xlfn.REGEXEXTRACT(N238,"\d+(?=p)"),"NotApplicable")</f>
        <v>NotApplicable</v>
      </c>
      <c r="P238" s="2" t="s">
        <v>1840</v>
      </c>
      <c r="Q238" s="2" t="s">
        <v>1840</v>
      </c>
      <c r="R238" s="2" t="s">
        <v>1840</v>
      </c>
      <c r="S238" s="24" t="b">
        <f t="shared" si="9"/>
        <v>1</v>
      </c>
    </row>
    <row r="239" spans="1:19" ht="45" x14ac:dyDescent="0.25">
      <c r="A239" s="2" t="str">
        <f t="shared" si="8"/>
        <v>Pending</v>
      </c>
      <c r="B239" s="2" t="s">
        <v>1627</v>
      </c>
      <c r="C239" s="2">
        <v>48</v>
      </c>
      <c r="D239" s="2" t="s">
        <v>916</v>
      </c>
      <c r="E239" s="2" t="s">
        <v>1658</v>
      </c>
      <c r="F239" s="2" t="s">
        <v>80</v>
      </c>
      <c r="G239" s="2" t="s">
        <v>1777</v>
      </c>
      <c r="H239" s="2"/>
      <c r="I239" s="2"/>
      <c r="J239" s="2"/>
      <c r="K239" s="2" t="s">
        <v>1680</v>
      </c>
      <c r="L239" s="2" t="str" cm="1">
        <f t="array" ref="L239">_xlfn.REGEXEXTRACT(B239,"(?&lt;=//)[^/]+")</f>
        <v>hcbdsm.com</v>
      </c>
      <c r="M239" s="2" t="s">
        <v>747</v>
      </c>
      <c r="N239" s="2" t="s">
        <v>1840</v>
      </c>
      <c r="O239" s="2" t="str" cm="1">
        <f t="array" ref="O239">IF(N239&lt;&gt;"NotApplicable",_xlfn.REGEXEXTRACT(N239,"\d+(?=p)"),"NotApplicable")</f>
        <v>NotApplicable</v>
      </c>
      <c r="P239" s="2" t="s">
        <v>1840</v>
      </c>
      <c r="Q239" s="2" t="s">
        <v>1840</v>
      </c>
      <c r="R239" s="2" t="s">
        <v>1840</v>
      </c>
      <c r="S239" s="24" t="b">
        <f t="shared" si="9"/>
        <v>1</v>
      </c>
    </row>
    <row r="240" spans="1:19" ht="45" x14ac:dyDescent="0.25">
      <c r="A240" s="2" t="str">
        <f t="shared" si="8"/>
        <v>Pending</v>
      </c>
      <c r="B240" s="2" t="s">
        <v>1639</v>
      </c>
      <c r="C240" s="2">
        <v>75</v>
      </c>
      <c r="D240" s="2" t="s">
        <v>916</v>
      </c>
      <c r="E240" s="2" t="s">
        <v>1665</v>
      </c>
      <c r="F240" s="2" t="s">
        <v>80</v>
      </c>
      <c r="G240" s="2" t="s">
        <v>1777</v>
      </c>
      <c r="H240" s="2"/>
      <c r="I240" s="2"/>
      <c r="J240" s="2"/>
      <c r="K240" s="2" t="s">
        <v>1212</v>
      </c>
      <c r="L240" s="2" t="str" cm="1">
        <f t="array" ref="L240">_xlfn.REGEXEXTRACT(B240,"(?&lt;=//)[^/]+")</f>
        <v>www.porntry.com</v>
      </c>
      <c r="M240" s="2" t="s">
        <v>747</v>
      </c>
      <c r="N240" s="2" t="s">
        <v>1840</v>
      </c>
      <c r="O240" s="2" t="str" cm="1">
        <f t="array" ref="O240">IF(N240&lt;&gt;"NotApplicable",_xlfn.REGEXEXTRACT(N240,"\d+(?=p)"),"NotApplicable")</f>
        <v>NotApplicable</v>
      </c>
      <c r="P240" s="2" t="s">
        <v>1840</v>
      </c>
      <c r="Q240" s="2" t="s">
        <v>1840</v>
      </c>
      <c r="R240" s="2" t="s">
        <v>1840</v>
      </c>
      <c r="S240" s="24" t="b">
        <f t="shared" si="9"/>
        <v>1</v>
      </c>
    </row>
    <row r="241" spans="1:19" ht="30" x14ac:dyDescent="0.25">
      <c r="A241" s="2" t="str">
        <f t="shared" si="8"/>
        <v>Pending</v>
      </c>
      <c r="B241" s="2" t="s">
        <v>1715</v>
      </c>
      <c r="C241" s="2">
        <v>44</v>
      </c>
      <c r="D241" s="2" t="s">
        <v>921</v>
      </c>
      <c r="E241" s="2" t="s">
        <v>1728</v>
      </c>
      <c r="F241" s="2" t="s">
        <v>80</v>
      </c>
      <c r="G241" s="2" t="s">
        <v>1777</v>
      </c>
      <c r="H241" s="2"/>
      <c r="I241" s="2"/>
      <c r="J241" s="2"/>
      <c r="K241" s="2" t="s">
        <v>1679</v>
      </c>
      <c r="L241" s="2" t="str" cm="1">
        <f t="array" ref="L241">_xlfn.REGEXEXTRACT(B241,"(?&lt;=//)[^/]+")</f>
        <v>hcbdsm.com</v>
      </c>
      <c r="M241" s="2" t="s">
        <v>747</v>
      </c>
      <c r="N241" s="2" t="s">
        <v>1840</v>
      </c>
      <c r="O241" s="2" t="str" cm="1">
        <f t="array" ref="O241">IF(N241&lt;&gt;"NotApplicable",_xlfn.REGEXEXTRACT(N241,"\d+(?=p)"),"NotApplicable")</f>
        <v>NotApplicable</v>
      </c>
      <c r="P241" s="2" t="s">
        <v>1840</v>
      </c>
      <c r="Q241" s="2" t="s">
        <v>1840</v>
      </c>
      <c r="R241" s="2" t="s">
        <v>1840</v>
      </c>
      <c r="S241" s="24" t="b">
        <f t="shared" si="9"/>
        <v>1</v>
      </c>
    </row>
    <row r="242" spans="1:19" ht="75" x14ac:dyDescent="0.25">
      <c r="A242" s="2" t="str">
        <f t="shared" si="8"/>
        <v>Pending</v>
      </c>
      <c r="B242" s="2" t="s">
        <v>1641</v>
      </c>
      <c r="C242" s="2">
        <v>77</v>
      </c>
      <c r="D242" s="2" t="s">
        <v>919</v>
      </c>
      <c r="E242" s="2" t="s">
        <v>1667</v>
      </c>
      <c r="F242" s="2" t="s">
        <v>80</v>
      </c>
      <c r="G242" s="2" t="s">
        <v>1776</v>
      </c>
      <c r="H242" s="2"/>
      <c r="I242" s="2"/>
      <c r="J242" s="2"/>
      <c r="K242" s="2" t="s">
        <v>1679</v>
      </c>
      <c r="L242" s="2" t="str" cm="1">
        <f t="array" ref="L242">_xlfn.REGEXEXTRACT(B242,"(?&lt;=//)[^/]+")</f>
        <v>hcbdsm.com</v>
      </c>
      <c r="M242" s="2" t="s">
        <v>747</v>
      </c>
      <c r="N242" s="2" t="s">
        <v>1840</v>
      </c>
      <c r="O242" s="2" t="str" cm="1">
        <f t="array" ref="O242">IF(N242&lt;&gt;"NotApplicable",_xlfn.REGEXEXTRACT(N242,"\d+(?=p)"),"NotApplicable")</f>
        <v>NotApplicable</v>
      </c>
      <c r="P242" s="2" t="s">
        <v>1840</v>
      </c>
      <c r="Q242" s="2" t="s">
        <v>1840</v>
      </c>
      <c r="R242" s="2" t="s">
        <v>1840</v>
      </c>
      <c r="S242" s="24" t="b">
        <f t="shared" si="9"/>
        <v>1</v>
      </c>
    </row>
    <row r="243" spans="1:19" ht="60" x14ac:dyDescent="0.25">
      <c r="A243" s="2" t="str">
        <f t="shared" si="8"/>
        <v>Pending</v>
      </c>
      <c r="B243" s="2" t="s">
        <v>1805</v>
      </c>
      <c r="C243" s="2">
        <v>80</v>
      </c>
      <c r="D243" s="2" t="s">
        <v>915</v>
      </c>
      <c r="E243" s="2" t="s">
        <v>1669</v>
      </c>
      <c r="F243" s="2" t="s">
        <v>80</v>
      </c>
      <c r="G243" s="2" t="s">
        <v>1788</v>
      </c>
      <c r="H243" s="2"/>
      <c r="I243" s="2"/>
      <c r="J243" s="2"/>
      <c r="K243" s="2"/>
      <c r="L243" s="2" t="str" cm="1">
        <f t="array" ref="L243">_xlfn.REGEXEXTRACT(B243,"(?&lt;=//)[^/]+")</f>
        <v>bdsmmansion.com</v>
      </c>
      <c r="M243" s="2" t="s">
        <v>747</v>
      </c>
      <c r="N243" s="2" t="s">
        <v>1840</v>
      </c>
      <c r="O243" s="2" t="str" cm="1">
        <f t="array" ref="O243">IF(N243&lt;&gt;"NotApplicable",_xlfn.REGEXEXTRACT(N243,"\d+(?=p)"),"NotApplicable")</f>
        <v>NotApplicable</v>
      </c>
      <c r="P243" s="2" t="s">
        <v>1840</v>
      </c>
      <c r="Q243" s="2" t="s">
        <v>1840</v>
      </c>
      <c r="R243" s="2" t="s">
        <v>1840</v>
      </c>
      <c r="S243" s="24" t="b">
        <f t="shared" si="9"/>
        <v>1</v>
      </c>
    </row>
    <row r="244" spans="1:19" ht="30" x14ac:dyDescent="0.25">
      <c r="A244" s="2" t="str">
        <f t="shared" si="8"/>
        <v>Pending</v>
      </c>
      <c r="B244" s="2" t="s">
        <v>1507</v>
      </c>
      <c r="C244" s="2">
        <v>64</v>
      </c>
      <c r="D244" s="2" t="s">
        <v>917</v>
      </c>
      <c r="E244" s="2" t="s">
        <v>1506</v>
      </c>
      <c r="F244" s="2" t="s">
        <v>79</v>
      </c>
      <c r="G244" s="2"/>
      <c r="H244" s="2"/>
      <c r="I244" s="2"/>
      <c r="J244" s="2"/>
      <c r="K244" s="2"/>
      <c r="L244" s="2" t="str" cm="1">
        <f t="array" ref="L244">_xlfn.REGEXEXTRACT(B244,"(?&lt;=//)[^/]+")</f>
        <v>bdsmlust.com</v>
      </c>
      <c r="M244" s="2" t="s">
        <v>747</v>
      </c>
      <c r="N244" s="2" t="s">
        <v>1840</v>
      </c>
      <c r="O244" s="2" t="str" cm="1">
        <f t="array" ref="O244">IF(N244&lt;&gt;"NotApplicable",_xlfn.REGEXEXTRACT(N244,"\d+(?=p)"),"NotApplicable")</f>
        <v>NotApplicable</v>
      </c>
      <c r="P244" s="2" t="s">
        <v>1840</v>
      </c>
      <c r="Q244" s="2" t="s">
        <v>1840</v>
      </c>
      <c r="R244" s="2" t="s">
        <v>1840</v>
      </c>
      <c r="S244" s="24" t="b">
        <f t="shared" si="9"/>
        <v>0</v>
      </c>
    </row>
    <row r="245" spans="1:19" ht="30" x14ac:dyDescent="0.25">
      <c r="A245" s="2" t="str">
        <f t="shared" si="8"/>
        <v>Pending</v>
      </c>
      <c r="B245" s="2" t="s">
        <v>1609</v>
      </c>
      <c r="C245" s="2">
        <v>42</v>
      </c>
      <c r="D245" s="2" t="s">
        <v>913</v>
      </c>
      <c r="E245" s="2" t="s">
        <v>790</v>
      </c>
      <c r="F245" s="2" t="s">
        <v>78</v>
      </c>
      <c r="G245" s="2"/>
      <c r="H245" s="2"/>
      <c r="I245" s="2"/>
      <c r="J245" s="2"/>
      <c r="K245" s="2"/>
      <c r="L245" s="2" t="str" cm="1">
        <f t="array" ref="L245">_xlfn.REGEXEXTRACT(B245,"(?&lt;=//)[^/]+")</f>
        <v>bdsmmansion.com</v>
      </c>
      <c r="M245" s="2" t="s">
        <v>747</v>
      </c>
      <c r="N245" s="2" t="s">
        <v>1840</v>
      </c>
      <c r="O245" s="2" t="str" cm="1">
        <f t="array" ref="O245">IF(N245&lt;&gt;"NotApplicable",_xlfn.REGEXEXTRACT(N245,"\d+(?=p)"),"NotApplicable")</f>
        <v>NotApplicable</v>
      </c>
      <c r="P245" s="2" t="s">
        <v>1840</v>
      </c>
      <c r="Q245" s="2" t="s">
        <v>1840</v>
      </c>
      <c r="R245" s="2" t="s">
        <v>1840</v>
      </c>
      <c r="S245" s="24" t="b">
        <f t="shared" si="9"/>
        <v>0</v>
      </c>
    </row>
    <row r="246" spans="1:19" ht="30" x14ac:dyDescent="0.25">
      <c r="A246" s="2" t="str">
        <f t="shared" si="8"/>
        <v>Pending</v>
      </c>
      <c r="B246" s="2" t="s">
        <v>1504</v>
      </c>
      <c r="C246" s="2">
        <v>41</v>
      </c>
      <c r="D246" s="2" t="s">
        <v>108</v>
      </c>
      <c r="E246" s="2" t="s">
        <v>1505</v>
      </c>
      <c r="F246" s="2" t="s">
        <v>79</v>
      </c>
      <c r="G246" s="2"/>
      <c r="H246" s="2"/>
      <c r="I246" s="2"/>
      <c r="J246" s="2"/>
      <c r="K246" s="2"/>
      <c r="L246" s="2" t="str" cm="1">
        <f t="array" ref="L246">_xlfn.REGEXEXTRACT(B246,"(?&lt;=//)[^/]+")</f>
        <v>bdsmstreak.com</v>
      </c>
      <c r="M246" s="2" t="s">
        <v>747</v>
      </c>
      <c r="N246" s="2" t="s">
        <v>1840</v>
      </c>
      <c r="O246" s="2" t="str" cm="1">
        <f t="array" ref="O246">IF(N246&lt;&gt;"NotApplicable",_xlfn.REGEXEXTRACT(N246,"\d+(?=p)"),"NotApplicable")</f>
        <v>NotApplicable</v>
      </c>
      <c r="P246" s="2" t="s">
        <v>1840</v>
      </c>
      <c r="Q246" s="2" t="s">
        <v>1840</v>
      </c>
      <c r="R246" s="2" t="s">
        <v>1840</v>
      </c>
      <c r="S246" s="24" t="b">
        <f t="shared" si="9"/>
        <v>0</v>
      </c>
    </row>
    <row r="247" spans="1:19" ht="30" x14ac:dyDescent="0.25">
      <c r="A247" s="2" t="str">
        <f t="shared" si="8"/>
        <v>Pending</v>
      </c>
      <c r="B247" s="2" t="s">
        <v>1746</v>
      </c>
      <c r="C247" s="2">
        <v>44</v>
      </c>
      <c r="D247" s="2" t="s">
        <v>1747</v>
      </c>
      <c r="E247" s="2" t="s">
        <v>1748</v>
      </c>
      <c r="F247" s="2" t="s">
        <v>78</v>
      </c>
      <c r="G247" s="2"/>
      <c r="H247" s="2"/>
      <c r="I247" s="2"/>
      <c r="J247" s="2"/>
      <c r="K247" s="2" t="s">
        <v>1749</v>
      </c>
      <c r="L247" s="2" t="str" cm="1">
        <f t="array" ref="L247">_xlfn.REGEXEXTRACT(B247,"(?&lt;=//)[^/]+")</f>
        <v>www.twistedfactory.com</v>
      </c>
      <c r="M247" s="2" t="s">
        <v>747</v>
      </c>
      <c r="N247" s="2" t="s">
        <v>1840</v>
      </c>
      <c r="O247" s="2" t="str" cm="1">
        <f t="array" ref="O247">IF(N247&lt;&gt;"NotApplicable",_xlfn.REGEXEXTRACT(N247,"\d+(?=p)"),"NotApplicable")</f>
        <v>NotApplicable</v>
      </c>
      <c r="P247" s="2" t="s">
        <v>1840</v>
      </c>
      <c r="Q247" s="2" t="s">
        <v>1840</v>
      </c>
      <c r="R247" s="2" t="s">
        <v>1840</v>
      </c>
      <c r="S247" s="24" t="b">
        <f t="shared" si="9"/>
        <v>0</v>
      </c>
    </row>
    <row r="248" spans="1:19" ht="45" x14ac:dyDescent="0.25">
      <c r="A248" s="2" t="str">
        <f t="shared" si="8"/>
        <v>Pending</v>
      </c>
      <c r="B248" s="2" t="s">
        <v>1512</v>
      </c>
      <c r="C248" s="2">
        <v>43</v>
      </c>
      <c r="D248" s="2" t="s">
        <v>921</v>
      </c>
      <c r="E248" s="2" t="s">
        <v>258</v>
      </c>
      <c r="F248" s="2" t="s">
        <v>79</v>
      </c>
      <c r="G248" s="2"/>
      <c r="H248" s="2"/>
      <c r="I248" s="2"/>
      <c r="J248" s="2"/>
      <c r="K248" s="2" t="s">
        <v>1515</v>
      </c>
      <c r="L248" s="2" t="str" cm="1">
        <f t="array" ref="L248">_xlfn.REGEXEXTRACT(B248,"(?&lt;=//)[^/]+")</f>
        <v>bdsmstreak.com</v>
      </c>
      <c r="M248" s="2" t="s">
        <v>747</v>
      </c>
      <c r="N248" s="2" t="s">
        <v>1840</v>
      </c>
      <c r="O248" s="2" t="str" cm="1">
        <f t="array" ref="O248">IF(N248&lt;&gt;"NotApplicable",_xlfn.REGEXEXTRACT(N248,"\d+(?=p)"),"NotApplicable")</f>
        <v>NotApplicable</v>
      </c>
      <c r="P248" s="2" t="s">
        <v>1840</v>
      </c>
      <c r="Q248" s="2" t="s">
        <v>1840</v>
      </c>
      <c r="R248" s="2" t="s">
        <v>1840</v>
      </c>
      <c r="S248" s="24" t="b">
        <f t="shared" si="9"/>
        <v>0</v>
      </c>
    </row>
    <row r="249" spans="1:19" ht="30" x14ac:dyDescent="0.25">
      <c r="A249" s="2" t="str">
        <f t="shared" si="8"/>
        <v>Pending</v>
      </c>
      <c r="B249" s="2" t="s">
        <v>1706</v>
      </c>
      <c r="C249" s="2">
        <v>62</v>
      </c>
      <c r="D249" s="2" t="s">
        <v>917</v>
      </c>
      <c r="E249" s="2" t="s">
        <v>232</v>
      </c>
      <c r="F249" s="2" t="s">
        <v>79</v>
      </c>
      <c r="G249" s="2"/>
      <c r="H249" s="2"/>
      <c r="I249" s="2"/>
      <c r="J249" s="2"/>
      <c r="K249" s="2" t="s">
        <v>1680</v>
      </c>
      <c r="L249" s="2" t="str" cm="1">
        <f t="array" ref="L249">_xlfn.REGEXEXTRACT(B249,"(?&lt;=//)[^/]+")</f>
        <v>bdsmstreak.com</v>
      </c>
      <c r="M249" s="2" t="s">
        <v>747</v>
      </c>
      <c r="N249" s="2" t="s">
        <v>1840</v>
      </c>
      <c r="O249" s="2" t="str" cm="1">
        <f t="array" ref="O249">IF(N249&lt;&gt;"NotApplicable",_xlfn.REGEXEXTRACT(N249,"\d+(?=p)"),"NotApplicable")</f>
        <v>NotApplicable</v>
      </c>
      <c r="P249" s="2" t="s">
        <v>1840</v>
      </c>
      <c r="Q249" s="2" t="s">
        <v>1840</v>
      </c>
      <c r="R249" s="2" t="s">
        <v>1840</v>
      </c>
      <c r="S249" s="24" t="b">
        <f t="shared" si="9"/>
        <v>0</v>
      </c>
    </row>
    <row r="250" spans="1:19" ht="30" x14ac:dyDescent="0.25">
      <c r="A250" s="2" t="str">
        <f t="shared" si="8"/>
        <v>Pending</v>
      </c>
      <c r="B250" s="2" t="s">
        <v>1705</v>
      </c>
      <c r="C250" s="2">
        <v>59</v>
      </c>
      <c r="D250" s="2" t="s">
        <v>917</v>
      </c>
      <c r="E250" s="2" t="s">
        <v>1721</v>
      </c>
      <c r="F250" s="2" t="s">
        <v>79</v>
      </c>
      <c r="G250" s="2"/>
      <c r="H250" s="2"/>
      <c r="I250" s="2"/>
      <c r="J250" s="2"/>
      <c r="K250" s="2"/>
      <c r="L250" s="2" t="str" cm="1">
        <f t="array" ref="L250">_xlfn.REGEXEXTRACT(B250,"(?&lt;=//)[^/]+")</f>
        <v>bdsmstreak.com</v>
      </c>
      <c r="M250" s="2" t="s">
        <v>747</v>
      </c>
      <c r="N250" s="2" t="s">
        <v>1840</v>
      </c>
      <c r="O250" s="2" t="str" cm="1">
        <f t="array" ref="O250">IF(N250&lt;&gt;"NotApplicable",_xlfn.REGEXEXTRACT(N250,"\d+(?=p)"),"NotApplicable")</f>
        <v>NotApplicable</v>
      </c>
      <c r="P250" s="2" t="s">
        <v>1840</v>
      </c>
      <c r="Q250" s="2" t="s">
        <v>1840</v>
      </c>
      <c r="R250" s="2" t="s">
        <v>1840</v>
      </c>
      <c r="S250" s="24" t="b">
        <f t="shared" si="9"/>
        <v>0</v>
      </c>
    </row>
    <row r="251" spans="1:19" ht="30" x14ac:dyDescent="0.25">
      <c r="A251" s="2" t="str">
        <f t="shared" si="8"/>
        <v>Pending</v>
      </c>
      <c r="B251" s="2" t="s">
        <v>1635</v>
      </c>
      <c r="C251" s="2">
        <v>56</v>
      </c>
      <c r="D251" s="2" t="s">
        <v>921</v>
      </c>
      <c r="E251" s="2" t="s">
        <v>248</v>
      </c>
      <c r="F251" s="2" t="s">
        <v>79</v>
      </c>
      <c r="G251" s="2"/>
      <c r="H251" s="2"/>
      <c r="I251" s="2"/>
      <c r="J251" s="2"/>
      <c r="K251" s="2"/>
      <c r="L251" s="2" t="str" cm="1">
        <f t="array" ref="L251">_xlfn.REGEXEXTRACT(B251,"(?&lt;=//)[^/]+")</f>
        <v>bdsmstreak.com</v>
      </c>
      <c r="M251" s="2" t="s">
        <v>747</v>
      </c>
      <c r="N251" s="2" t="s">
        <v>1840</v>
      </c>
      <c r="O251" s="2" t="str" cm="1">
        <f t="array" ref="O251">IF(N251&lt;&gt;"NotApplicable",_xlfn.REGEXEXTRACT(N251,"\d+(?=p)"),"NotApplicable")</f>
        <v>NotApplicable</v>
      </c>
      <c r="P251" s="2" t="s">
        <v>1840</v>
      </c>
      <c r="Q251" s="2" t="s">
        <v>1840</v>
      </c>
      <c r="R251" s="2" t="s">
        <v>1840</v>
      </c>
      <c r="S251" s="24" t="b">
        <f t="shared" si="9"/>
        <v>0</v>
      </c>
    </row>
    <row r="252" spans="1:19" ht="30" x14ac:dyDescent="0.25">
      <c r="A252" s="2" t="str">
        <f t="shared" si="8"/>
        <v>Pending</v>
      </c>
      <c r="B252" s="2" t="s">
        <v>1622</v>
      </c>
      <c r="C252" s="2">
        <v>43</v>
      </c>
      <c r="D252" s="2" t="s">
        <v>921</v>
      </c>
      <c r="E252" s="2" t="s">
        <v>1654</v>
      </c>
      <c r="F252" s="2" t="s">
        <v>79</v>
      </c>
      <c r="G252" s="2"/>
      <c r="H252" s="2"/>
      <c r="I252" s="2"/>
      <c r="J252" s="2"/>
      <c r="K252" s="2"/>
      <c r="L252" s="2" t="str" cm="1">
        <f t="array" ref="L252">_xlfn.REGEXEXTRACT(B252,"(?&lt;=//)[^/]+")</f>
        <v>bdsmstreak.com</v>
      </c>
      <c r="M252" s="2" t="s">
        <v>747</v>
      </c>
      <c r="N252" s="2" t="s">
        <v>1840</v>
      </c>
      <c r="O252" s="2" t="str" cm="1">
        <f t="array" ref="O252">IF(N252&lt;&gt;"NotApplicable",_xlfn.REGEXEXTRACT(N252,"\d+(?=p)"),"NotApplicable")</f>
        <v>NotApplicable</v>
      </c>
      <c r="P252" s="2" t="s">
        <v>1840</v>
      </c>
      <c r="Q252" s="2" t="s">
        <v>1840</v>
      </c>
      <c r="R252" s="2" t="s">
        <v>1840</v>
      </c>
      <c r="S252" s="24" t="b">
        <f t="shared" si="9"/>
        <v>0</v>
      </c>
    </row>
    <row r="253" spans="1:19" ht="45" x14ac:dyDescent="0.25">
      <c r="A253" s="2" t="str">
        <f t="shared" si="8"/>
        <v>Pending</v>
      </c>
      <c r="B253" s="2" t="s">
        <v>1631</v>
      </c>
      <c r="C253" s="2">
        <v>50</v>
      </c>
      <c r="D253" s="2" t="s">
        <v>921</v>
      </c>
      <c r="E253" s="2" t="s">
        <v>210</v>
      </c>
      <c r="F253" s="2" t="s">
        <v>79</v>
      </c>
      <c r="G253" s="2"/>
      <c r="H253" s="2"/>
      <c r="I253" s="2"/>
      <c r="J253" s="2"/>
      <c r="K253" s="2"/>
      <c r="L253" s="2" t="str" cm="1">
        <f t="array" ref="L253">_xlfn.REGEXEXTRACT(B253,"(?&lt;=//)[^/]+")</f>
        <v>bdsmstreak.com</v>
      </c>
      <c r="M253" s="2" t="s">
        <v>747</v>
      </c>
      <c r="N253" s="2" t="s">
        <v>1840</v>
      </c>
      <c r="O253" s="2" t="str" cm="1">
        <f t="array" ref="O253">IF(N253&lt;&gt;"NotApplicable",_xlfn.REGEXEXTRACT(N253,"\d+(?=p)"),"NotApplicable")</f>
        <v>NotApplicable</v>
      </c>
      <c r="P253" s="2" t="s">
        <v>1840</v>
      </c>
      <c r="Q253" s="2" t="s">
        <v>1840</v>
      </c>
      <c r="R253" s="2" t="s">
        <v>1840</v>
      </c>
      <c r="S253" s="24" t="b">
        <f t="shared" si="9"/>
        <v>0</v>
      </c>
    </row>
    <row r="254" spans="1:19" ht="30" x14ac:dyDescent="0.25">
      <c r="A254" s="2" t="str">
        <f t="shared" si="8"/>
        <v>Pending</v>
      </c>
      <c r="B254" s="2" t="s">
        <v>1607</v>
      </c>
      <c r="C254" s="2">
        <v>53</v>
      </c>
      <c r="D254" s="2" t="s">
        <v>921</v>
      </c>
      <c r="E254" s="2" t="s">
        <v>1608</v>
      </c>
      <c r="F254" s="2" t="s">
        <v>79</v>
      </c>
      <c r="G254" s="2"/>
      <c r="H254" s="2"/>
      <c r="I254" s="2"/>
      <c r="J254" s="2"/>
      <c r="K254" s="2"/>
      <c r="L254" s="2" t="str" cm="1">
        <f t="array" ref="L254">_xlfn.REGEXEXTRACT(B254,"(?&lt;=//)[^/]+")</f>
        <v>bdsmstreak.com</v>
      </c>
      <c r="M254" s="2" t="s">
        <v>747</v>
      </c>
      <c r="N254" s="2" t="s">
        <v>1840</v>
      </c>
      <c r="O254" s="2" t="str" cm="1">
        <f t="array" ref="O254">IF(N254&lt;&gt;"NotApplicable",_xlfn.REGEXEXTRACT(N254,"\d+(?=p)"),"NotApplicable")</f>
        <v>NotApplicable</v>
      </c>
      <c r="P254" s="2" t="s">
        <v>1840</v>
      </c>
      <c r="Q254" s="2" t="s">
        <v>1840</v>
      </c>
      <c r="R254" s="2" t="s">
        <v>1840</v>
      </c>
      <c r="S254" s="24" t="b">
        <f t="shared" si="9"/>
        <v>0</v>
      </c>
    </row>
    <row r="255" spans="1:19" ht="30" x14ac:dyDescent="0.25">
      <c r="A255" s="2" t="str">
        <f t="shared" si="8"/>
        <v>Pending</v>
      </c>
      <c r="B255" s="2" t="s">
        <v>1707</v>
      </c>
      <c r="C255" s="2">
        <v>64</v>
      </c>
      <c r="D255" s="2" t="s">
        <v>921</v>
      </c>
      <c r="E255" s="2" t="s">
        <v>1722</v>
      </c>
      <c r="F255" s="2" t="s">
        <v>79</v>
      </c>
      <c r="G255" s="2"/>
      <c r="H255" s="2"/>
      <c r="I255" s="2"/>
      <c r="J255" s="2"/>
      <c r="K255" s="2"/>
      <c r="L255" s="2" t="str" cm="1">
        <f t="array" ref="L255">_xlfn.REGEXEXTRACT(B255,"(?&lt;=//)[^/]+")</f>
        <v>bdsmstreak.com</v>
      </c>
      <c r="M255" s="2" t="s">
        <v>747</v>
      </c>
      <c r="N255" s="2" t="s">
        <v>1840</v>
      </c>
      <c r="O255" s="2" t="str" cm="1">
        <f t="array" ref="O255">IF(N255&lt;&gt;"NotApplicable",_xlfn.REGEXEXTRACT(N255,"\d+(?=p)"),"NotApplicable")</f>
        <v>NotApplicable</v>
      </c>
      <c r="P255" s="2" t="s">
        <v>1840</v>
      </c>
      <c r="Q255" s="2" t="s">
        <v>1840</v>
      </c>
      <c r="R255" s="2" t="s">
        <v>1840</v>
      </c>
      <c r="S255" s="24" t="b">
        <f t="shared" si="9"/>
        <v>0</v>
      </c>
    </row>
    <row r="256" spans="1:19" ht="45" x14ac:dyDescent="0.25">
      <c r="A256" s="2" t="str">
        <f t="shared" si="8"/>
        <v>Pending</v>
      </c>
      <c r="B256" s="2" t="s">
        <v>1624</v>
      </c>
      <c r="C256" s="2">
        <v>47</v>
      </c>
      <c r="D256" s="2" t="s">
        <v>1647</v>
      </c>
      <c r="E256" s="2" t="s">
        <v>1655</v>
      </c>
      <c r="F256" s="2" t="s">
        <v>79</v>
      </c>
      <c r="G256" s="2"/>
      <c r="H256" s="2"/>
      <c r="I256" s="2"/>
      <c r="J256" s="2"/>
      <c r="K256" s="2"/>
      <c r="L256" s="2" t="str" cm="1">
        <f t="array" ref="L256">_xlfn.REGEXEXTRACT(B256,"(?&lt;=//)[^/]+")</f>
        <v>bdsmstreak.com</v>
      </c>
      <c r="M256" s="2" t="s">
        <v>747</v>
      </c>
      <c r="N256" s="2" t="s">
        <v>1840</v>
      </c>
      <c r="O256" s="2" t="str" cm="1">
        <f t="array" ref="O256">IF(N256&lt;&gt;"NotApplicable",_xlfn.REGEXEXTRACT(N256,"\d+(?=p)"),"NotApplicable")</f>
        <v>NotApplicable</v>
      </c>
      <c r="P256" s="2" t="s">
        <v>1840</v>
      </c>
      <c r="Q256" s="2" t="s">
        <v>1840</v>
      </c>
      <c r="R256" s="2" t="s">
        <v>1840</v>
      </c>
      <c r="S256" s="24" t="b">
        <f t="shared" si="9"/>
        <v>0</v>
      </c>
    </row>
    <row r="257" spans="1:19" ht="45" x14ac:dyDescent="0.25">
      <c r="A257" s="2" t="str">
        <f t="shared" si="8"/>
        <v>Pending</v>
      </c>
      <c r="B257" s="2" t="s">
        <v>1711</v>
      </c>
      <c r="C257" s="2">
        <v>62</v>
      </c>
      <c r="D257" s="2" t="s">
        <v>917</v>
      </c>
      <c r="E257" s="2" t="s">
        <v>1725</v>
      </c>
      <c r="F257" s="2" t="s">
        <v>79</v>
      </c>
      <c r="G257" s="2"/>
      <c r="H257" s="2"/>
      <c r="I257" s="2"/>
      <c r="J257" s="2"/>
      <c r="K257" s="2" t="s">
        <v>1731</v>
      </c>
      <c r="L257" s="2" t="str" cm="1">
        <f t="array" ref="L257">_xlfn.REGEXEXTRACT(B257,"(?&lt;=//)[^/]+")</f>
        <v>bdsmstreak.com</v>
      </c>
      <c r="M257" s="2" t="s">
        <v>747</v>
      </c>
      <c r="N257" s="2" t="s">
        <v>1840</v>
      </c>
      <c r="O257" s="2" t="str" cm="1">
        <f t="array" ref="O257">IF(N257&lt;&gt;"NotApplicable",_xlfn.REGEXEXTRACT(N257,"\d+(?=p)"),"NotApplicable")</f>
        <v>NotApplicable</v>
      </c>
      <c r="P257" s="2" t="s">
        <v>1840</v>
      </c>
      <c r="Q257" s="2" t="s">
        <v>1840</v>
      </c>
      <c r="R257" s="2" t="s">
        <v>1840</v>
      </c>
      <c r="S257" s="24" t="b">
        <f t="shared" si="9"/>
        <v>0</v>
      </c>
    </row>
    <row r="258" spans="1:19" ht="30" x14ac:dyDescent="0.25">
      <c r="A258" s="2" t="str">
        <f t="shared" ref="A258:A298" si="10">IF(ISBLANK(I258)=TRUE,"Pending","Done")</f>
        <v>Pending</v>
      </c>
      <c r="B258" s="2" t="s">
        <v>1619</v>
      </c>
      <c r="C258" s="2">
        <v>29</v>
      </c>
      <c r="D258" s="2" t="s">
        <v>917</v>
      </c>
      <c r="E258" s="2" t="s">
        <v>248</v>
      </c>
      <c r="F258" s="2" t="s">
        <v>79</v>
      </c>
      <c r="G258" s="2"/>
      <c r="H258" s="2"/>
      <c r="I258" s="2"/>
      <c r="J258" s="2"/>
      <c r="K258" s="2" t="s">
        <v>1212</v>
      </c>
      <c r="L258" s="2" t="str" cm="1">
        <f t="array" ref="L258">_xlfn.REGEXEXTRACT(B258,"(?&lt;=//)[^/]+")</f>
        <v>bdsmstreak.com</v>
      </c>
      <c r="M258" s="2" t="s">
        <v>747</v>
      </c>
      <c r="N258" s="2" t="s">
        <v>1840</v>
      </c>
      <c r="O258" s="2" t="str" cm="1">
        <f t="array" ref="O258">IF(N258&lt;&gt;"NotApplicable",_xlfn.REGEXEXTRACT(N258,"\d+(?=p)"),"NotApplicable")</f>
        <v>NotApplicable</v>
      </c>
      <c r="P258" s="2" t="s">
        <v>1840</v>
      </c>
      <c r="Q258" s="2" t="s">
        <v>1840</v>
      </c>
      <c r="R258" s="2" t="s">
        <v>1840</v>
      </c>
      <c r="S258" s="24" t="b">
        <f t="shared" ref="S258:S299" si="11">ISNUMBER(SEARCH(",",E258))</f>
        <v>0</v>
      </c>
    </row>
    <row r="259" spans="1:19" ht="30" x14ac:dyDescent="0.25">
      <c r="A259" s="2" t="str">
        <f t="shared" si="10"/>
        <v>Pending</v>
      </c>
      <c r="B259" s="2" t="s">
        <v>1614</v>
      </c>
      <c r="C259" s="2">
        <v>12</v>
      </c>
      <c r="D259" s="2" t="s">
        <v>921</v>
      </c>
      <c r="E259" s="2" t="s">
        <v>1650</v>
      </c>
      <c r="F259" s="2" t="s">
        <v>79</v>
      </c>
      <c r="G259" s="2"/>
      <c r="H259" s="2"/>
      <c r="I259" s="2"/>
      <c r="J259" s="2"/>
      <c r="K259" s="2" t="s">
        <v>1735</v>
      </c>
      <c r="L259" s="2" t="str" cm="1">
        <f t="array" ref="L259">_xlfn.REGEXEXTRACT(B259,"(?&lt;=//)[^/]+")</f>
        <v>bdsmstreak.com</v>
      </c>
      <c r="M259" s="2" t="s">
        <v>747</v>
      </c>
      <c r="N259" s="2" t="s">
        <v>1840</v>
      </c>
      <c r="O259" s="2" t="str" cm="1">
        <f t="array" ref="O259">IF(N259&lt;&gt;"NotApplicable",_xlfn.REGEXEXTRACT(N259,"\d+(?=p)"),"NotApplicable")</f>
        <v>NotApplicable</v>
      </c>
      <c r="P259" s="2" t="s">
        <v>1840</v>
      </c>
      <c r="Q259" s="2" t="s">
        <v>1840</v>
      </c>
      <c r="R259" s="2" t="s">
        <v>1840</v>
      </c>
      <c r="S259" s="24" t="b">
        <f t="shared" si="11"/>
        <v>0</v>
      </c>
    </row>
    <row r="260" spans="1:19" ht="45" x14ac:dyDescent="0.25">
      <c r="A260" s="2" t="str">
        <f t="shared" si="10"/>
        <v>Pending</v>
      </c>
      <c r="B260" s="2" t="s">
        <v>1526</v>
      </c>
      <c r="C260" s="2">
        <v>49</v>
      </c>
      <c r="D260" s="2" t="s">
        <v>913</v>
      </c>
      <c r="E260" s="2" t="s">
        <v>1528</v>
      </c>
      <c r="F260" s="2" t="s">
        <v>78</v>
      </c>
      <c r="G260" s="2"/>
      <c r="H260" s="2"/>
      <c r="I260" s="2"/>
      <c r="J260" s="2"/>
      <c r="K260" s="2" t="s">
        <v>1529</v>
      </c>
      <c r="L260" s="2" t="str" cm="1">
        <f t="array" ref="L260">_xlfn.REGEXEXTRACT(B260,"(?&lt;=//)[^/]+")</f>
        <v>bdsmstreak.com</v>
      </c>
      <c r="M260" s="2" t="s">
        <v>747</v>
      </c>
      <c r="N260" s="2" t="s">
        <v>1840</v>
      </c>
      <c r="O260" s="2" t="str" cm="1">
        <f t="array" ref="O260">IF(N260&lt;&gt;"NotApplicable",_xlfn.REGEXEXTRACT(N260,"\d+(?=p)"),"NotApplicable")</f>
        <v>NotApplicable</v>
      </c>
      <c r="P260" s="2" t="s">
        <v>1840</v>
      </c>
      <c r="Q260" s="2" t="s">
        <v>1840</v>
      </c>
      <c r="R260" s="2" t="s">
        <v>1840</v>
      </c>
      <c r="S260" s="24" t="b">
        <f t="shared" si="11"/>
        <v>0</v>
      </c>
    </row>
    <row r="261" spans="1:19" ht="30" x14ac:dyDescent="0.25">
      <c r="A261" s="2" t="str">
        <f t="shared" si="10"/>
        <v>Pending</v>
      </c>
      <c r="B261" s="2" t="s">
        <v>1511</v>
      </c>
      <c r="C261" s="2">
        <v>37</v>
      </c>
      <c r="D261" s="2" t="s">
        <v>921</v>
      </c>
      <c r="E261" s="2" t="s">
        <v>1510</v>
      </c>
      <c r="F261" s="2" t="s">
        <v>79</v>
      </c>
      <c r="G261" s="2"/>
      <c r="H261" s="2"/>
      <c r="I261" s="2"/>
      <c r="J261" s="2"/>
      <c r="K261" s="2" t="s">
        <v>1514</v>
      </c>
      <c r="L261" s="2" t="str" cm="1">
        <f t="array" ref="L261">_xlfn.REGEXEXTRACT(B261,"(?&lt;=//)[^/]+")</f>
        <v>bdsmstreak.com</v>
      </c>
      <c r="M261" s="2" t="s">
        <v>747</v>
      </c>
      <c r="N261" s="2" t="s">
        <v>1840</v>
      </c>
      <c r="O261" s="2" t="str" cm="1">
        <f t="array" ref="O261">IF(N261&lt;&gt;"NotApplicable",_xlfn.REGEXEXTRACT(N261,"\d+(?=p)"),"NotApplicable")</f>
        <v>NotApplicable</v>
      </c>
      <c r="P261" s="2" t="s">
        <v>1840</v>
      </c>
      <c r="Q261" s="2" t="s">
        <v>1840</v>
      </c>
      <c r="R261" s="2" t="s">
        <v>1840</v>
      </c>
      <c r="S261" s="24" t="b">
        <f t="shared" si="11"/>
        <v>0</v>
      </c>
    </row>
    <row r="262" spans="1:19" ht="45" x14ac:dyDescent="0.25">
      <c r="A262" s="2" t="str">
        <f t="shared" si="10"/>
        <v>Pending</v>
      </c>
      <c r="B262" s="2" t="s">
        <v>1521</v>
      </c>
      <c r="C262" s="2">
        <v>54</v>
      </c>
      <c r="D262" s="2" t="s">
        <v>921</v>
      </c>
      <c r="E262" s="2" t="s">
        <v>1522</v>
      </c>
      <c r="F262" s="2" t="s">
        <v>79</v>
      </c>
      <c r="G262" s="2"/>
      <c r="H262" s="2"/>
      <c r="I262" s="2"/>
      <c r="J262" s="2"/>
      <c r="K262" s="2"/>
      <c r="L262" s="2" t="str" cm="1">
        <f t="array" ref="L262">_xlfn.REGEXEXTRACT(B262,"(?&lt;=//)[^/]+")</f>
        <v>bdsmstreak.com</v>
      </c>
      <c r="M262" s="2" t="s">
        <v>747</v>
      </c>
      <c r="N262" s="2" t="s">
        <v>1840</v>
      </c>
      <c r="O262" s="2" t="str" cm="1">
        <f t="array" ref="O262">IF(N262&lt;&gt;"NotApplicable",_xlfn.REGEXEXTRACT(N262,"\d+(?=p)"),"NotApplicable")</f>
        <v>NotApplicable</v>
      </c>
      <c r="P262" s="2" t="s">
        <v>1840</v>
      </c>
      <c r="Q262" s="2" t="s">
        <v>1840</v>
      </c>
      <c r="R262" s="2" t="s">
        <v>1840</v>
      </c>
      <c r="S262" s="24" t="b">
        <f t="shared" si="11"/>
        <v>0</v>
      </c>
    </row>
    <row r="263" spans="1:19" ht="45" x14ac:dyDescent="0.25">
      <c r="A263" s="2" t="str">
        <f t="shared" si="10"/>
        <v>Pending</v>
      </c>
      <c r="B263" s="2" t="s">
        <v>1688</v>
      </c>
      <c r="C263" s="2">
        <v>25</v>
      </c>
      <c r="D263" s="2" t="s">
        <v>921</v>
      </c>
      <c r="E263" s="2" t="s">
        <v>260</v>
      </c>
      <c r="F263" s="2" t="s">
        <v>79</v>
      </c>
      <c r="G263" s="2"/>
      <c r="H263" s="2"/>
      <c r="I263" s="2"/>
      <c r="J263" s="2"/>
      <c r="K263" s="2" t="s">
        <v>1734</v>
      </c>
      <c r="L263" s="2" t="str" cm="1">
        <f t="array" ref="L263">_xlfn.REGEXEXTRACT(B263,"(?&lt;=//)[^/]+")</f>
        <v>bdsmstreak.com</v>
      </c>
      <c r="M263" s="2" t="s">
        <v>747</v>
      </c>
      <c r="N263" s="2" t="s">
        <v>1840</v>
      </c>
      <c r="O263" s="2" t="str" cm="1">
        <f t="array" ref="O263">IF(N263&lt;&gt;"NotApplicable",_xlfn.REGEXEXTRACT(N263,"\d+(?=p)"),"NotApplicable")</f>
        <v>NotApplicable</v>
      </c>
      <c r="P263" s="2" t="s">
        <v>1840</v>
      </c>
      <c r="Q263" s="2" t="s">
        <v>1840</v>
      </c>
      <c r="R263" s="2" t="s">
        <v>1840</v>
      </c>
      <c r="S263" s="24" t="b">
        <f t="shared" si="11"/>
        <v>0</v>
      </c>
    </row>
    <row r="264" spans="1:19" ht="45" x14ac:dyDescent="0.25">
      <c r="A264" s="2" t="str">
        <f t="shared" si="10"/>
        <v>Pending</v>
      </c>
      <c r="B264" s="2" t="s">
        <v>1710</v>
      </c>
      <c r="C264" s="2">
        <v>51</v>
      </c>
      <c r="D264" s="2" t="s">
        <v>917</v>
      </c>
      <c r="E264" s="2" t="s">
        <v>210</v>
      </c>
      <c r="F264" s="2" t="s">
        <v>79</v>
      </c>
      <c r="G264" s="2"/>
      <c r="H264" s="2"/>
      <c r="I264" s="2"/>
      <c r="J264" s="2"/>
      <c r="K264" s="2" t="s">
        <v>1212</v>
      </c>
      <c r="L264" s="2" t="str" cm="1">
        <f t="array" ref="L264">_xlfn.REGEXEXTRACT(B264,"(?&lt;=//)[^/]+")</f>
        <v>bdsmstreak.com</v>
      </c>
      <c r="M264" s="2" t="s">
        <v>747</v>
      </c>
      <c r="N264" s="2" t="s">
        <v>1840</v>
      </c>
      <c r="O264" s="2" t="str" cm="1">
        <f t="array" ref="O264">IF(N264&lt;&gt;"NotApplicable",_xlfn.REGEXEXTRACT(N264,"\d+(?=p)"),"NotApplicable")</f>
        <v>NotApplicable</v>
      </c>
      <c r="P264" s="2" t="s">
        <v>1840</v>
      </c>
      <c r="Q264" s="2" t="s">
        <v>1840</v>
      </c>
      <c r="R264" s="2" t="s">
        <v>1840</v>
      </c>
      <c r="S264" s="24" t="b">
        <f t="shared" si="11"/>
        <v>0</v>
      </c>
    </row>
    <row r="265" spans="1:19" ht="45" x14ac:dyDescent="0.25">
      <c r="A265" s="2" t="str">
        <f t="shared" si="10"/>
        <v>Pending</v>
      </c>
      <c r="B265" s="2" t="s">
        <v>1634</v>
      </c>
      <c r="C265" s="2">
        <v>55</v>
      </c>
      <c r="D265" s="2" t="s">
        <v>917</v>
      </c>
      <c r="E265" s="2" t="s">
        <v>1652</v>
      </c>
      <c r="F265" s="2" t="s">
        <v>79</v>
      </c>
      <c r="G265" s="2"/>
      <c r="H265" s="2"/>
      <c r="I265" s="2"/>
      <c r="J265" s="2"/>
      <c r="K265" s="2" t="s">
        <v>1683</v>
      </c>
      <c r="L265" s="2" t="str" cm="1">
        <f t="array" ref="L265">_xlfn.REGEXEXTRACT(B265,"(?&lt;=//)[^/]+")</f>
        <v>bdsmstreak.com</v>
      </c>
      <c r="M265" s="2" t="s">
        <v>747</v>
      </c>
      <c r="N265" s="2" t="s">
        <v>1840</v>
      </c>
      <c r="O265" s="2" t="str" cm="1">
        <f t="array" ref="O265">IF(N265&lt;&gt;"NotApplicable",_xlfn.REGEXEXTRACT(N265,"\d+(?=p)"),"NotApplicable")</f>
        <v>NotApplicable</v>
      </c>
      <c r="P265" s="2" t="s">
        <v>1840</v>
      </c>
      <c r="Q265" s="2" t="s">
        <v>1840</v>
      </c>
      <c r="R265" s="2" t="s">
        <v>1840</v>
      </c>
      <c r="S265" s="24" t="b">
        <f t="shared" si="11"/>
        <v>0</v>
      </c>
    </row>
    <row r="266" spans="1:19" ht="30" x14ac:dyDescent="0.25">
      <c r="A266" s="2" t="str">
        <f t="shared" si="10"/>
        <v>Pending</v>
      </c>
      <c r="B266" s="2" t="s">
        <v>1628</v>
      </c>
      <c r="C266" s="2">
        <v>49</v>
      </c>
      <c r="D266" s="2" t="s">
        <v>921</v>
      </c>
      <c r="E266" s="2" t="s">
        <v>1659</v>
      </c>
      <c r="F266" s="2" t="s">
        <v>79</v>
      </c>
      <c r="G266" s="2"/>
      <c r="H266" s="2"/>
      <c r="I266" s="2"/>
      <c r="J266" s="2"/>
      <c r="K266" s="2"/>
      <c r="L266" s="2" t="str" cm="1">
        <f t="array" ref="L266">_xlfn.REGEXEXTRACT(B266,"(?&lt;=//)[^/]+")</f>
        <v>bdsmstreak.com</v>
      </c>
      <c r="M266" s="2" t="s">
        <v>747</v>
      </c>
      <c r="N266" s="2" t="s">
        <v>1840</v>
      </c>
      <c r="O266" s="2" t="str" cm="1">
        <f t="array" ref="O266">IF(N266&lt;&gt;"NotApplicable",_xlfn.REGEXEXTRACT(N266,"\d+(?=p)"),"NotApplicable")</f>
        <v>NotApplicable</v>
      </c>
      <c r="P266" s="2" t="s">
        <v>1840</v>
      </c>
      <c r="Q266" s="2" t="s">
        <v>1840</v>
      </c>
      <c r="R266" s="2" t="s">
        <v>1840</v>
      </c>
      <c r="S266" s="24" t="b">
        <f t="shared" si="11"/>
        <v>0</v>
      </c>
    </row>
    <row r="267" spans="1:19" ht="45" x14ac:dyDescent="0.25">
      <c r="A267" s="2" t="str">
        <f t="shared" si="10"/>
        <v>Pending</v>
      </c>
      <c r="B267" s="2" t="s">
        <v>1523</v>
      </c>
      <c r="C267" s="2">
        <v>48</v>
      </c>
      <c r="D267" s="2" t="s">
        <v>921</v>
      </c>
      <c r="E267" s="2" t="s">
        <v>1524</v>
      </c>
      <c r="F267" s="2" t="s">
        <v>79</v>
      </c>
      <c r="G267" s="2"/>
      <c r="H267" s="2"/>
      <c r="I267" s="2"/>
      <c r="J267" s="2"/>
      <c r="K267" s="2" t="s">
        <v>1525</v>
      </c>
      <c r="L267" s="2" t="str" cm="1">
        <f t="array" ref="L267">_xlfn.REGEXEXTRACT(B267,"(?&lt;=//)[^/]+")</f>
        <v>bdsmstreak.com</v>
      </c>
      <c r="M267" s="2" t="s">
        <v>747</v>
      </c>
      <c r="N267" s="2" t="s">
        <v>1840</v>
      </c>
      <c r="O267" s="2" t="str" cm="1">
        <f t="array" ref="O267">IF(N267&lt;&gt;"NotApplicable",_xlfn.REGEXEXTRACT(N267,"\d+(?=p)"),"NotApplicable")</f>
        <v>NotApplicable</v>
      </c>
      <c r="P267" s="2" t="s">
        <v>1840</v>
      </c>
      <c r="Q267" s="2" t="s">
        <v>1840</v>
      </c>
      <c r="R267" s="2" t="s">
        <v>1840</v>
      </c>
      <c r="S267" s="24" t="b">
        <f t="shared" si="11"/>
        <v>0</v>
      </c>
    </row>
    <row r="268" spans="1:19" ht="45" x14ac:dyDescent="0.25">
      <c r="A268" s="2" t="str">
        <f t="shared" si="10"/>
        <v>Pending</v>
      </c>
      <c r="B268" s="2" t="s">
        <v>1636</v>
      </c>
      <c r="C268" s="2">
        <v>60</v>
      </c>
      <c r="D268" s="2" t="s">
        <v>917</v>
      </c>
      <c r="E268" s="2" t="s">
        <v>1662</v>
      </c>
      <c r="F268" s="2" t="s">
        <v>79</v>
      </c>
      <c r="G268" s="2"/>
      <c r="H268" s="2"/>
      <c r="I268" s="2"/>
      <c r="J268" s="2"/>
      <c r="K268" s="2" t="s">
        <v>1684</v>
      </c>
      <c r="L268" s="2" t="str" cm="1">
        <f t="array" ref="L268">_xlfn.REGEXEXTRACT(B268,"(?&lt;=//)[^/]+")</f>
        <v>bdsmstreak.com</v>
      </c>
      <c r="M268" s="2" t="s">
        <v>747</v>
      </c>
      <c r="N268" s="2" t="s">
        <v>1840</v>
      </c>
      <c r="O268" s="2" t="str" cm="1">
        <f t="array" ref="O268">IF(N268&lt;&gt;"NotApplicable",_xlfn.REGEXEXTRACT(N268,"\d+(?=p)"),"NotApplicable")</f>
        <v>NotApplicable</v>
      </c>
      <c r="P268" s="2" t="s">
        <v>1840</v>
      </c>
      <c r="Q268" s="2" t="s">
        <v>1840</v>
      </c>
      <c r="R268" s="2" t="s">
        <v>1840</v>
      </c>
      <c r="S268" s="24" t="b">
        <f t="shared" si="11"/>
        <v>0</v>
      </c>
    </row>
    <row r="269" spans="1:19" ht="30" x14ac:dyDescent="0.25">
      <c r="A269" s="2" t="str">
        <f t="shared" si="10"/>
        <v>Pending</v>
      </c>
      <c r="B269" s="2" t="s">
        <v>1643</v>
      </c>
      <c r="C269" s="2">
        <v>90</v>
      </c>
      <c r="D269" s="2" t="s">
        <v>917</v>
      </c>
      <c r="E269" s="2" t="s">
        <v>1652</v>
      </c>
      <c r="F269" s="2" t="s">
        <v>79</v>
      </c>
      <c r="G269" s="2"/>
      <c r="H269" s="2"/>
      <c r="I269" s="2"/>
      <c r="J269" s="2"/>
      <c r="K269" s="2" t="s">
        <v>1677</v>
      </c>
      <c r="L269" s="2" t="str" cm="1">
        <f t="array" ref="L269">_xlfn.REGEXEXTRACT(B269,"(?&lt;=//)[^/]+")</f>
        <v>bdsmstreak.com</v>
      </c>
      <c r="M269" s="2" t="s">
        <v>747</v>
      </c>
      <c r="N269" s="2" t="s">
        <v>1840</v>
      </c>
      <c r="O269" s="2" t="str" cm="1">
        <f t="array" ref="O269">IF(N269&lt;&gt;"NotApplicable",_xlfn.REGEXEXTRACT(N269,"\d+(?=p)"),"NotApplicable")</f>
        <v>NotApplicable</v>
      </c>
      <c r="P269" s="2" t="s">
        <v>1840</v>
      </c>
      <c r="Q269" s="2" t="s">
        <v>1840</v>
      </c>
      <c r="R269" s="2" t="s">
        <v>1840</v>
      </c>
      <c r="S269" s="24" t="b">
        <f t="shared" si="11"/>
        <v>0</v>
      </c>
    </row>
    <row r="270" spans="1:19" ht="45" x14ac:dyDescent="0.25">
      <c r="A270" s="2" t="str">
        <f t="shared" si="10"/>
        <v>Pending</v>
      </c>
      <c r="B270" s="2" t="s">
        <v>1618</v>
      </c>
      <c r="C270" s="2">
        <v>26</v>
      </c>
      <c r="D270" s="2" t="s">
        <v>917</v>
      </c>
      <c r="E270" s="2" t="s">
        <v>248</v>
      </c>
      <c r="F270" s="2" t="s">
        <v>79</v>
      </c>
      <c r="G270" s="2"/>
      <c r="H270" s="2"/>
      <c r="I270" s="2"/>
      <c r="J270" s="2"/>
      <c r="K270" s="2"/>
      <c r="L270" s="2" t="str" cm="1">
        <f t="array" ref="L270">_xlfn.REGEXEXTRACT(B270,"(?&lt;=//)[^/]+")</f>
        <v>bdsmstreak.com</v>
      </c>
      <c r="M270" s="2" t="s">
        <v>747</v>
      </c>
      <c r="N270" s="2" t="s">
        <v>1840</v>
      </c>
      <c r="O270" s="2" t="str" cm="1">
        <f t="array" ref="O270">IF(N270&lt;&gt;"NotApplicable",_xlfn.REGEXEXTRACT(N270,"\d+(?=p)"),"NotApplicable")</f>
        <v>NotApplicable</v>
      </c>
      <c r="P270" s="2" t="s">
        <v>1840</v>
      </c>
      <c r="Q270" s="2" t="s">
        <v>1840</v>
      </c>
      <c r="R270" s="2" t="s">
        <v>1840</v>
      </c>
      <c r="S270" s="24" t="b">
        <f t="shared" si="11"/>
        <v>0</v>
      </c>
    </row>
    <row r="271" spans="1:19" ht="30" x14ac:dyDescent="0.25">
      <c r="A271" s="2" t="str">
        <f t="shared" si="10"/>
        <v>Pending</v>
      </c>
      <c r="B271" s="2" t="s">
        <v>1712</v>
      </c>
      <c r="C271" s="2">
        <v>54</v>
      </c>
      <c r="D271" s="2" t="s">
        <v>917</v>
      </c>
      <c r="E271" s="2" t="s">
        <v>1301</v>
      </c>
      <c r="F271" s="2" t="s">
        <v>79</v>
      </c>
      <c r="G271" s="2"/>
      <c r="H271" s="2"/>
      <c r="I271" s="2"/>
      <c r="J271" s="2"/>
      <c r="K271" s="2" t="s">
        <v>1680</v>
      </c>
      <c r="L271" s="2" t="str" cm="1">
        <f t="array" ref="L271">_xlfn.REGEXEXTRACT(B271,"(?&lt;=//)[^/]+")</f>
        <v>bdsmstreak.com</v>
      </c>
      <c r="M271" s="2" t="s">
        <v>747</v>
      </c>
      <c r="N271" s="2" t="s">
        <v>1840</v>
      </c>
      <c r="O271" s="2" t="str" cm="1">
        <f t="array" ref="O271">IF(N271&lt;&gt;"NotApplicable",_xlfn.REGEXEXTRACT(N271,"\d+(?=p)"),"NotApplicable")</f>
        <v>NotApplicable</v>
      </c>
      <c r="P271" s="2" t="s">
        <v>1840</v>
      </c>
      <c r="Q271" s="2" t="s">
        <v>1840</v>
      </c>
      <c r="R271" s="2" t="s">
        <v>1840</v>
      </c>
      <c r="S271" s="24" t="b">
        <f t="shared" si="11"/>
        <v>0</v>
      </c>
    </row>
    <row r="272" spans="1:19" ht="30" x14ac:dyDescent="0.25">
      <c r="A272" s="2" t="str">
        <f t="shared" si="10"/>
        <v>Pending</v>
      </c>
      <c r="B272" s="2" t="s">
        <v>1642</v>
      </c>
      <c r="C272" s="2">
        <v>78</v>
      </c>
      <c r="D272" s="2" t="s">
        <v>917</v>
      </c>
      <c r="E272" s="2" t="s">
        <v>1668</v>
      </c>
      <c r="F272" s="2" t="s">
        <v>79</v>
      </c>
      <c r="G272" s="2"/>
      <c r="H272" s="2"/>
      <c r="I272" s="2"/>
      <c r="J272" s="2"/>
      <c r="K272" s="2"/>
      <c r="L272" s="2" t="str" cm="1">
        <f t="array" ref="L272">_xlfn.REGEXEXTRACT(B272,"(?&lt;=//)[^/]+")</f>
        <v>bdsmstreak.com</v>
      </c>
      <c r="M272" s="2" t="s">
        <v>747</v>
      </c>
      <c r="N272" s="2" t="s">
        <v>1840</v>
      </c>
      <c r="O272" s="2" t="str" cm="1">
        <f t="array" ref="O272">IF(N272&lt;&gt;"NotApplicable",_xlfn.REGEXEXTRACT(N272,"\d+(?=p)"),"NotApplicable")</f>
        <v>NotApplicable</v>
      </c>
      <c r="P272" s="2" t="s">
        <v>1840</v>
      </c>
      <c r="Q272" s="2" t="s">
        <v>1840</v>
      </c>
      <c r="R272" s="2" t="s">
        <v>1840</v>
      </c>
      <c r="S272" s="24" t="b">
        <f t="shared" si="11"/>
        <v>0</v>
      </c>
    </row>
    <row r="273" spans="1:19" ht="45" x14ac:dyDescent="0.25">
      <c r="A273" s="2" t="str">
        <f t="shared" si="10"/>
        <v>Pending</v>
      </c>
      <c r="B273" s="2" t="s">
        <v>1629</v>
      </c>
      <c r="C273" s="2">
        <v>49</v>
      </c>
      <c r="D273" s="2" t="s">
        <v>921</v>
      </c>
      <c r="E273" s="2" t="s">
        <v>1652</v>
      </c>
      <c r="F273" s="2" t="s">
        <v>79</v>
      </c>
      <c r="G273" s="2"/>
      <c r="H273" s="2"/>
      <c r="I273" s="2"/>
      <c r="J273" s="2"/>
      <c r="K273" s="2"/>
      <c r="L273" s="2" t="str" cm="1">
        <f t="array" ref="L273">_xlfn.REGEXEXTRACT(B273,"(?&lt;=//)[^/]+")</f>
        <v>hcbdsm.com</v>
      </c>
      <c r="M273" s="2" t="s">
        <v>747</v>
      </c>
      <c r="N273" s="2" t="s">
        <v>1840</v>
      </c>
      <c r="O273" s="2" t="str" cm="1">
        <f t="array" ref="O273">IF(N273&lt;&gt;"NotApplicable",_xlfn.REGEXEXTRACT(N273,"\d+(?=p)"),"NotApplicable")</f>
        <v>NotApplicable</v>
      </c>
      <c r="P273" s="2" t="s">
        <v>1840</v>
      </c>
      <c r="Q273" s="2" t="s">
        <v>1840</v>
      </c>
      <c r="R273" s="2" t="s">
        <v>1840</v>
      </c>
      <c r="S273" s="24" t="b">
        <f t="shared" si="11"/>
        <v>0</v>
      </c>
    </row>
    <row r="274" spans="1:19" ht="45" x14ac:dyDescent="0.25">
      <c r="A274" s="2" t="str">
        <f t="shared" si="10"/>
        <v>Pending</v>
      </c>
      <c r="B274" s="2" t="s">
        <v>1625</v>
      </c>
      <c r="C274" s="2">
        <v>47</v>
      </c>
      <c r="D274" s="2" t="s">
        <v>917</v>
      </c>
      <c r="E274" s="2" t="s">
        <v>1656</v>
      </c>
      <c r="F274" s="2" t="s">
        <v>79</v>
      </c>
      <c r="G274" s="2"/>
      <c r="H274" s="2"/>
      <c r="I274" s="2"/>
      <c r="J274" s="2"/>
      <c r="K274" s="2" t="s">
        <v>1680</v>
      </c>
      <c r="L274" s="2" t="str" cm="1">
        <f t="array" ref="L274">_xlfn.REGEXEXTRACT(B274,"(?&lt;=//)[^/]+")</f>
        <v>hcbdsm.com</v>
      </c>
      <c r="M274" s="2" t="s">
        <v>747</v>
      </c>
      <c r="N274" s="2" t="s">
        <v>1840</v>
      </c>
      <c r="O274" s="2" t="str" cm="1">
        <f t="array" ref="O274">IF(N274&lt;&gt;"NotApplicable",_xlfn.REGEXEXTRACT(N274,"\d+(?=p)"),"NotApplicable")</f>
        <v>NotApplicable</v>
      </c>
      <c r="P274" s="2" t="s">
        <v>1840</v>
      </c>
      <c r="Q274" s="2" t="s">
        <v>1840</v>
      </c>
      <c r="R274" s="2" t="s">
        <v>1840</v>
      </c>
      <c r="S274" s="24" t="b">
        <f t="shared" si="11"/>
        <v>0</v>
      </c>
    </row>
    <row r="275" spans="1:19" ht="45" x14ac:dyDescent="0.25">
      <c r="A275" s="2" t="str">
        <f t="shared" si="10"/>
        <v>Pending</v>
      </c>
      <c r="B275" s="2" t="s">
        <v>1626</v>
      </c>
      <c r="C275" s="2">
        <v>47</v>
      </c>
      <c r="D275" s="2" t="s">
        <v>917</v>
      </c>
      <c r="E275" s="2" t="s">
        <v>1657</v>
      </c>
      <c r="F275" s="2" t="s">
        <v>79</v>
      </c>
      <c r="G275" s="2"/>
      <c r="H275" s="2"/>
      <c r="I275" s="2"/>
      <c r="J275" s="2"/>
      <c r="K275" s="2" t="s">
        <v>1212</v>
      </c>
      <c r="L275" s="2" t="str" cm="1">
        <f t="array" ref="L275">_xlfn.REGEXEXTRACT(B275,"(?&lt;=//)[^/]+")</f>
        <v>hcbdsm.com</v>
      </c>
      <c r="M275" s="2" t="s">
        <v>747</v>
      </c>
      <c r="N275" s="2" t="s">
        <v>1840</v>
      </c>
      <c r="O275" s="2" t="str" cm="1">
        <f t="array" ref="O275">IF(N275&lt;&gt;"NotApplicable",_xlfn.REGEXEXTRACT(N275,"\d+(?=p)"),"NotApplicable")</f>
        <v>NotApplicable</v>
      </c>
      <c r="P275" s="2" t="s">
        <v>1840</v>
      </c>
      <c r="Q275" s="2" t="s">
        <v>1840</v>
      </c>
      <c r="R275" s="2" t="s">
        <v>1840</v>
      </c>
      <c r="S275" s="24" t="b">
        <f t="shared" si="11"/>
        <v>0</v>
      </c>
    </row>
    <row r="276" spans="1:19" ht="45" x14ac:dyDescent="0.25">
      <c r="A276" s="2" t="str">
        <f t="shared" si="10"/>
        <v>Pending</v>
      </c>
      <c r="B276" s="2" t="s">
        <v>1630</v>
      </c>
      <c r="C276" s="2">
        <v>49</v>
      </c>
      <c r="D276" s="2" t="s">
        <v>917</v>
      </c>
      <c r="E276" s="2" t="s">
        <v>90</v>
      </c>
      <c r="F276" s="2" t="s">
        <v>79</v>
      </c>
      <c r="G276" s="2"/>
      <c r="H276" s="2"/>
      <c r="I276" s="2"/>
      <c r="J276" s="2"/>
      <c r="K276" s="2" t="s">
        <v>1681</v>
      </c>
      <c r="L276" s="2" t="str" cm="1">
        <f t="array" ref="L276">_xlfn.REGEXEXTRACT(B276,"(?&lt;=//)[^/]+")</f>
        <v>hcbdsm.com</v>
      </c>
      <c r="M276" s="2" t="s">
        <v>747</v>
      </c>
      <c r="N276" s="2" t="s">
        <v>1840</v>
      </c>
      <c r="O276" s="2" t="str" cm="1">
        <f t="array" ref="O276">IF(N276&lt;&gt;"NotApplicable",_xlfn.REGEXEXTRACT(N276,"\d+(?=p)"),"NotApplicable")</f>
        <v>NotApplicable</v>
      </c>
      <c r="P276" s="2" t="s">
        <v>1840</v>
      </c>
      <c r="Q276" s="2" t="s">
        <v>1840</v>
      </c>
      <c r="R276" s="2" t="s">
        <v>1840</v>
      </c>
      <c r="S276" s="24" t="b">
        <f t="shared" si="11"/>
        <v>0</v>
      </c>
    </row>
    <row r="277" spans="1:19" ht="30" x14ac:dyDescent="0.25">
      <c r="A277" s="2" t="str">
        <f t="shared" si="10"/>
        <v>Pending</v>
      </c>
      <c r="B277" s="2" t="s">
        <v>1617</v>
      </c>
      <c r="C277" s="2">
        <v>19</v>
      </c>
      <c r="D277" s="2" t="s">
        <v>921</v>
      </c>
      <c r="E277" s="2" t="s">
        <v>253</v>
      </c>
      <c r="F277" s="2" t="s">
        <v>79</v>
      </c>
      <c r="G277" s="2"/>
      <c r="H277" s="2"/>
      <c r="I277" s="2"/>
      <c r="J277" s="2"/>
      <c r="K277" s="2" t="s">
        <v>1679</v>
      </c>
      <c r="L277" s="2" t="str" cm="1">
        <f t="array" ref="L277">_xlfn.REGEXEXTRACT(B277,"(?&lt;=//)[^/]+")</f>
        <v>hcbdsm.com</v>
      </c>
      <c r="M277" s="2" t="s">
        <v>747</v>
      </c>
      <c r="N277" s="2" t="s">
        <v>1840</v>
      </c>
      <c r="O277" s="2" t="str" cm="1">
        <f t="array" ref="O277">IF(N277&lt;&gt;"NotApplicable",_xlfn.REGEXEXTRACT(N277,"\d+(?=p)"),"NotApplicable")</f>
        <v>NotApplicable</v>
      </c>
      <c r="P277" s="2" t="s">
        <v>1840</v>
      </c>
      <c r="Q277" s="2" t="s">
        <v>1840</v>
      </c>
      <c r="R277" s="2" t="s">
        <v>1840</v>
      </c>
      <c r="S277" s="24" t="b">
        <f t="shared" si="11"/>
        <v>0</v>
      </c>
    </row>
    <row r="278" spans="1:19" ht="45" x14ac:dyDescent="0.25">
      <c r="A278" s="2" t="str">
        <f t="shared" si="10"/>
        <v>Pending</v>
      </c>
      <c r="B278" s="2" t="s">
        <v>1537</v>
      </c>
      <c r="C278" s="2">
        <v>26</v>
      </c>
      <c r="D278" s="2" t="s">
        <v>917</v>
      </c>
      <c r="E278" s="2" t="s">
        <v>1538</v>
      </c>
      <c r="F278" s="2" t="s">
        <v>78</v>
      </c>
      <c r="G278" s="2"/>
      <c r="H278" s="2"/>
      <c r="I278" s="2"/>
      <c r="J278" s="2"/>
      <c r="K278" s="2" t="s">
        <v>1212</v>
      </c>
      <c r="L278" s="2" t="str" cm="1">
        <f t="array" ref="L278">_xlfn.REGEXEXTRACT(B278,"(?&lt;=//)[^/]+")</f>
        <v>hcbdsm.com</v>
      </c>
      <c r="M278" s="2" t="s">
        <v>747</v>
      </c>
      <c r="N278" s="2" t="s">
        <v>1840</v>
      </c>
      <c r="O278" s="2" t="str" cm="1">
        <f t="array" ref="O278">IF(N278&lt;&gt;"NotApplicable",_xlfn.REGEXEXTRACT(N278,"\d+(?=p)"),"NotApplicable")</f>
        <v>NotApplicable</v>
      </c>
      <c r="P278" s="2" t="s">
        <v>1840</v>
      </c>
      <c r="Q278" s="2" t="s">
        <v>1840</v>
      </c>
      <c r="R278" s="2" t="s">
        <v>1840</v>
      </c>
      <c r="S278" s="24" t="b">
        <f t="shared" si="11"/>
        <v>0</v>
      </c>
    </row>
    <row r="279" spans="1:19" ht="60" x14ac:dyDescent="0.25">
      <c r="A279" s="2" t="str">
        <f t="shared" si="10"/>
        <v>Pending</v>
      </c>
      <c r="B279" s="2" t="s">
        <v>1616</v>
      </c>
      <c r="C279" s="2">
        <v>15</v>
      </c>
      <c r="D279" s="2" t="s">
        <v>917</v>
      </c>
      <c r="E279" s="2" t="s">
        <v>477</v>
      </c>
      <c r="F279" s="2" t="s">
        <v>79</v>
      </c>
      <c r="G279" s="2"/>
      <c r="H279" s="2"/>
      <c r="I279" s="2"/>
      <c r="J279" s="2"/>
      <c r="K279" s="2"/>
      <c r="L279" s="2" t="str" cm="1">
        <f t="array" ref="L279">_xlfn.REGEXEXTRACT(B279,"(?&lt;=//)[^/]+")</f>
        <v>hcbdsm.com</v>
      </c>
      <c r="M279" s="2" t="s">
        <v>747</v>
      </c>
      <c r="N279" s="2" t="s">
        <v>1840</v>
      </c>
      <c r="O279" s="2" t="str" cm="1">
        <f t="array" ref="O279">IF(N279&lt;&gt;"NotApplicable",_xlfn.REGEXEXTRACT(N279,"\d+(?=p)"),"NotApplicable")</f>
        <v>NotApplicable</v>
      </c>
      <c r="P279" s="2" t="s">
        <v>1840</v>
      </c>
      <c r="Q279" s="2" t="s">
        <v>1840</v>
      </c>
      <c r="R279" s="2" t="s">
        <v>1840</v>
      </c>
      <c r="S279" s="24" t="b">
        <f t="shared" si="11"/>
        <v>0</v>
      </c>
    </row>
    <row r="280" spans="1:19" ht="45" x14ac:dyDescent="0.25">
      <c r="A280" s="2" t="str">
        <f t="shared" si="10"/>
        <v>Pending</v>
      </c>
      <c r="B280" s="2" t="s">
        <v>1701</v>
      </c>
      <c r="C280" s="2">
        <v>59</v>
      </c>
      <c r="D280" s="2" t="s">
        <v>917</v>
      </c>
      <c r="E280" s="2" t="s">
        <v>1717</v>
      </c>
      <c r="F280" s="2" t="s">
        <v>79</v>
      </c>
      <c r="G280" s="2"/>
      <c r="H280" s="2"/>
      <c r="I280" s="2"/>
      <c r="J280" s="2"/>
      <c r="K280" s="2" t="s">
        <v>1729</v>
      </c>
      <c r="L280" s="2" t="str" cm="1">
        <f t="array" ref="L280">_xlfn.REGEXEXTRACT(B280,"(?&lt;=//)[^/]+")</f>
        <v>hcbdsm.com</v>
      </c>
      <c r="M280" s="2" t="s">
        <v>747</v>
      </c>
      <c r="N280" s="2" t="s">
        <v>1840</v>
      </c>
      <c r="O280" s="2" t="str" cm="1">
        <f t="array" ref="O280">IF(N280&lt;&gt;"NotApplicable",_xlfn.REGEXEXTRACT(N280,"\d+(?=p)"),"NotApplicable")</f>
        <v>NotApplicable</v>
      </c>
      <c r="P280" s="2" t="s">
        <v>1840</v>
      </c>
      <c r="Q280" s="2" t="s">
        <v>1840</v>
      </c>
      <c r="R280" s="2" t="s">
        <v>1840</v>
      </c>
      <c r="S280" s="24" t="b">
        <f t="shared" si="11"/>
        <v>0</v>
      </c>
    </row>
    <row r="281" spans="1:19" ht="30" x14ac:dyDescent="0.25">
      <c r="A281" s="2" t="str">
        <f t="shared" si="10"/>
        <v>Pending</v>
      </c>
      <c r="B281" s="2" t="s">
        <v>1623</v>
      </c>
      <c r="C281" s="2">
        <v>45</v>
      </c>
      <c r="D281" s="2" t="s">
        <v>921</v>
      </c>
      <c r="E281" s="2" t="s">
        <v>1650</v>
      </c>
      <c r="F281" s="2" t="s">
        <v>79</v>
      </c>
      <c r="G281" s="2"/>
      <c r="H281" s="2"/>
      <c r="I281" s="2"/>
      <c r="J281" s="2"/>
      <c r="K281" s="2" t="s">
        <v>1679</v>
      </c>
      <c r="L281" s="2" t="str" cm="1">
        <f t="array" ref="L281">_xlfn.REGEXEXTRACT(B281,"(?&lt;=//)[^/]+")</f>
        <v>hcbdsm.com</v>
      </c>
      <c r="M281" s="2" t="s">
        <v>747</v>
      </c>
      <c r="N281" s="2" t="s">
        <v>1840</v>
      </c>
      <c r="O281" s="2" t="str" cm="1">
        <f t="array" ref="O281">IF(N281&lt;&gt;"NotApplicable",_xlfn.REGEXEXTRACT(N281,"\d+(?=p)"),"NotApplicable")</f>
        <v>NotApplicable</v>
      </c>
      <c r="P281" s="2" t="s">
        <v>1840</v>
      </c>
      <c r="Q281" s="2" t="s">
        <v>1840</v>
      </c>
      <c r="R281" s="2" t="s">
        <v>1840</v>
      </c>
      <c r="S281" s="24" t="b">
        <f t="shared" si="11"/>
        <v>0</v>
      </c>
    </row>
    <row r="282" spans="1:19" ht="30" x14ac:dyDescent="0.25">
      <c r="A282" s="2" t="str">
        <f t="shared" si="10"/>
        <v>Pending</v>
      </c>
      <c r="B282" s="2" t="s">
        <v>1713</v>
      </c>
      <c r="C282" s="2">
        <v>61</v>
      </c>
      <c r="D282" s="2" t="s">
        <v>917</v>
      </c>
      <c r="E282" s="2" t="s">
        <v>1726</v>
      </c>
      <c r="F282" s="2" t="s">
        <v>79</v>
      </c>
      <c r="G282" s="2"/>
      <c r="H282" s="2"/>
      <c r="I282" s="2"/>
      <c r="J282" s="2"/>
      <c r="K282" s="2" t="s">
        <v>1680</v>
      </c>
      <c r="L282" s="2" t="str" cm="1">
        <f t="array" ref="L282">_xlfn.REGEXEXTRACT(B282,"(?&lt;=//)[^/]+")</f>
        <v>hcbdsm.com</v>
      </c>
      <c r="M282" s="2" t="s">
        <v>747</v>
      </c>
      <c r="N282" s="2" t="s">
        <v>1840</v>
      </c>
      <c r="O282" s="2" t="str" cm="1">
        <f t="array" ref="O282">IF(N282&lt;&gt;"NotApplicable",_xlfn.REGEXEXTRACT(N282,"\d+(?=p)"),"NotApplicable")</f>
        <v>NotApplicable</v>
      </c>
      <c r="P282" s="2" t="s">
        <v>1840</v>
      </c>
      <c r="Q282" s="2" t="s">
        <v>1840</v>
      </c>
      <c r="R282" s="2" t="s">
        <v>1840</v>
      </c>
      <c r="S282" s="24" t="b">
        <f t="shared" si="11"/>
        <v>0</v>
      </c>
    </row>
    <row r="283" spans="1:19" ht="30" x14ac:dyDescent="0.25">
      <c r="A283" s="2" t="str">
        <f t="shared" si="10"/>
        <v>Pending</v>
      </c>
      <c r="B283" s="2" t="s">
        <v>1692</v>
      </c>
      <c r="C283" s="2">
        <v>13</v>
      </c>
      <c r="D283" s="2" t="s">
        <v>212</v>
      </c>
      <c r="E283" s="2" t="s">
        <v>1506</v>
      </c>
      <c r="F283" s="2" t="s">
        <v>178</v>
      </c>
      <c r="G283" s="2"/>
      <c r="H283" s="2"/>
      <c r="I283" s="2"/>
      <c r="J283" s="2"/>
      <c r="K283" s="2" t="s">
        <v>1696</v>
      </c>
      <c r="L283" s="2" t="str" cm="1">
        <f t="array" ref="L283">_xlfn.REGEXEXTRACT(B283,"(?&lt;=//)[^/]+")</f>
        <v>porndoe.com</v>
      </c>
      <c r="M283" s="2" t="s">
        <v>747</v>
      </c>
      <c r="N283" s="2" t="s">
        <v>1840</v>
      </c>
      <c r="O283" s="2" t="str" cm="1">
        <f t="array" ref="O283">IF(N283&lt;&gt;"NotApplicable",_xlfn.REGEXEXTRACT(N283,"\d+(?=p)"),"NotApplicable")</f>
        <v>NotApplicable</v>
      </c>
      <c r="P283" s="2" t="s">
        <v>1840</v>
      </c>
      <c r="Q283" s="2" t="s">
        <v>1840</v>
      </c>
      <c r="R283" s="2" t="s">
        <v>1840</v>
      </c>
      <c r="S283" s="24" t="b">
        <f t="shared" si="11"/>
        <v>0</v>
      </c>
    </row>
    <row r="284" spans="1:19" ht="30" x14ac:dyDescent="0.25">
      <c r="A284" s="2" t="str">
        <f t="shared" si="10"/>
        <v>Pending</v>
      </c>
      <c r="B284" s="2" t="s">
        <v>1516</v>
      </c>
      <c r="C284" s="2">
        <v>24</v>
      </c>
      <c r="D284" s="2" t="s">
        <v>104</v>
      </c>
      <c r="E284" s="2" t="s">
        <v>1517</v>
      </c>
      <c r="F284" s="2" t="s">
        <v>80</v>
      </c>
      <c r="G284" s="2"/>
      <c r="H284" s="2"/>
      <c r="I284" s="2"/>
      <c r="J284" s="2"/>
      <c r="K284" s="2"/>
      <c r="L284" s="2" t="str" cm="1">
        <f t="array" ref="L284">_xlfn.REGEXEXTRACT(B284,"(?&lt;=//)[^/]+")</f>
        <v>queensnake.com</v>
      </c>
      <c r="M284" s="2" t="s">
        <v>747</v>
      </c>
      <c r="N284" s="2" t="s">
        <v>1840</v>
      </c>
      <c r="O284" s="2" t="str" cm="1">
        <f t="array" ref="O284">IF(N284&lt;&gt;"NotApplicable",_xlfn.REGEXEXTRACT(N284,"\d+(?=p)"),"NotApplicable")</f>
        <v>NotApplicable</v>
      </c>
      <c r="P284" s="2" t="s">
        <v>1840</v>
      </c>
      <c r="Q284" s="2" t="s">
        <v>1840</v>
      </c>
      <c r="R284" s="2" t="s">
        <v>1840</v>
      </c>
      <c r="S284" s="24" t="b">
        <f t="shared" si="11"/>
        <v>0</v>
      </c>
    </row>
    <row r="285" spans="1:19" ht="45" x14ac:dyDescent="0.25">
      <c r="A285" s="2" t="str">
        <f t="shared" si="10"/>
        <v>Pending</v>
      </c>
      <c r="B285" s="2" t="s">
        <v>1620</v>
      </c>
      <c r="C285" s="2">
        <v>34</v>
      </c>
      <c r="D285" s="2" t="s">
        <v>1836</v>
      </c>
      <c r="E285" s="2" t="s">
        <v>1652</v>
      </c>
      <c r="F285" s="2" t="s">
        <v>79</v>
      </c>
      <c r="G285" s="2"/>
      <c r="H285" s="2"/>
      <c r="I285" s="2"/>
      <c r="J285" s="2"/>
      <c r="K285" s="2" t="s">
        <v>1680</v>
      </c>
      <c r="L285" s="2" t="str" cm="1">
        <f t="array" ref="L285">_xlfn.REGEXEXTRACT(B285,"(?&lt;=//)[^/]+")</f>
        <v>www.eporner.com</v>
      </c>
      <c r="M285" s="2" t="s">
        <v>747</v>
      </c>
      <c r="N285" s="2" t="s">
        <v>1840</v>
      </c>
      <c r="O285" s="2" t="str" cm="1">
        <f t="array" ref="O285">IF(N285&lt;&gt;"NotApplicable",_xlfn.REGEXEXTRACT(N285,"\d+(?=p)"),"NotApplicable")</f>
        <v>NotApplicable</v>
      </c>
      <c r="P285" s="2" t="s">
        <v>1840</v>
      </c>
      <c r="Q285" s="2" t="s">
        <v>1840</v>
      </c>
      <c r="R285" s="2" t="s">
        <v>1840</v>
      </c>
      <c r="S285" s="24" t="b">
        <f t="shared" si="11"/>
        <v>0</v>
      </c>
    </row>
    <row r="286" spans="1:19" ht="30" x14ac:dyDescent="0.25">
      <c r="A286" s="2" t="str">
        <f t="shared" si="10"/>
        <v>Pending</v>
      </c>
      <c r="B286" s="2" t="s">
        <v>1539</v>
      </c>
      <c r="C286" s="2">
        <v>20</v>
      </c>
      <c r="D286" s="2" t="s">
        <v>917</v>
      </c>
      <c r="E286" s="2" t="s">
        <v>1540</v>
      </c>
      <c r="F286" s="2" t="s">
        <v>79</v>
      </c>
      <c r="G286" s="2"/>
      <c r="H286" s="2"/>
      <c r="I286" s="2"/>
      <c r="J286" s="2"/>
      <c r="K286" s="2" t="s">
        <v>1212</v>
      </c>
      <c r="L286" s="2" t="str" cm="1">
        <f t="array" ref="L286">_xlfn.REGEXEXTRACT(B286,"(?&lt;=//)[^/]+")</f>
        <v>www.kink.com</v>
      </c>
      <c r="M286" s="2" t="s">
        <v>747</v>
      </c>
      <c r="N286" s="2" t="s">
        <v>1840</v>
      </c>
      <c r="O286" s="2" t="str" cm="1">
        <f t="array" ref="O286">IF(N286&lt;&gt;"NotApplicable",_xlfn.REGEXEXTRACT(N286,"\d+(?=p)"),"NotApplicable")</f>
        <v>NotApplicable</v>
      </c>
      <c r="P286" s="2" t="s">
        <v>1840</v>
      </c>
      <c r="Q286" s="2" t="s">
        <v>1840</v>
      </c>
      <c r="R286" s="2" t="s">
        <v>1840</v>
      </c>
      <c r="S286" s="24" t="b">
        <f t="shared" si="11"/>
        <v>0</v>
      </c>
    </row>
    <row r="287" spans="1:19" x14ac:dyDescent="0.25">
      <c r="A287" s="2" t="str">
        <f t="shared" si="10"/>
        <v>Pending</v>
      </c>
      <c r="B287" s="2" t="s">
        <v>1535</v>
      </c>
      <c r="C287" s="2">
        <v>11</v>
      </c>
      <c r="D287" s="2" t="s">
        <v>917</v>
      </c>
      <c r="E287" s="2" t="s">
        <v>193</v>
      </c>
      <c r="F287" s="2" t="s">
        <v>80</v>
      </c>
      <c r="G287" s="2"/>
      <c r="H287" s="2"/>
      <c r="I287" s="2"/>
      <c r="J287" s="2"/>
      <c r="K287" s="2" t="s">
        <v>1536</v>
      </c>
      <c r="L287" s="2" t="str" cm="1">
        <f t="array" ref="L287">_xlfn.REGEXEXTRACT(B287,"(?&lt;=//)[^/]+")</f>
        <v>www.kink.com</v>
      </c>
      <c r="M287" s="2" t="s">
        <v>747</v>
      </c>
      <c r="N287" s="2" t="s">
        <v>1840</v>
      </c>
      <c r="O287" s="2" t="str" cm="1">
        <f t="array" ref="O287">IF(N287&lt;&gt;"NotApplicable",_xlfn.REGEXEXTRACT(N287,"\d+(?=p)"),"NotApplicable")</f>
        <v>NotApplicable</v>
      </c>
      <c r="P287" s="2" t="s">
        <v>1840</v>
      </c>
      <c r="Q287" s="2" t="s">
        <v>1840</v>
      </c>
      <c r="R287" s="2" t="s">
        <v>1840</v>
      </c>
      <c r="S287" s="24" t="b">
        <f t="shared" si="11"/>
        <v>0</v>
      </c>
    </row>
    <row r="288" spans="1:19" ht="30" x14ac:dyDescent="0.25">
      <c r="A288" s="2" t="str">
        <f t="shared" si="10"/>
        <v>Pending</v>
      </c>
      <c r="B288" s="2" t="s">
        <v>1691</v>
      </c>
      <c r="C288" s="2">
        <v>17</v>
      </c>
      <c r="D288" s="2" t="s">
        <v>917</v>
      </c>
      <c r="E288" s="2" t="s">
        <v>1693</v>
      </c>
      <c r="F288" s="2" t="s">
        <v>79</v>
      </c>
      <c r="G288" s="2"/>
      <c r="H288" s="2"/>
      <c r="I288" s="2"/>
      <c r="J288" s="2"/>
      <c r="K288" s="2" t="s">
        <v>1697</v>
      </c>
      <c r="L288" s="2" t="str" cm="1">
        <f t="array" ref="L288">_xlfn.REGEXEXTRACT(B288,"(?&lt;=//)[^/]+")</f>
        <v>www.kink.com</v>
      </c>
      <c r="M288" s="2" t="s">
        <v>747</v>
      </c>
      <c r="N288" s="2" t="s">
        <v>1840</v>
      </c>
      <c r="O288" s="2" t="str" cm="1">
        <f t="array" ref="O288">IF(N288&lt;&gt;"NotApplicable",_xlfn.REGEXEXTRACT(N288,"\d+(?=p)"),"NotApplicable")</f>
        <v>NotApplicable</v>
      </c>
      <c r="P288" s="2" t="s">
        <v>1840</v>
      </c>
      <c r="Q288" s="2" t="s">
        <v>1840</v>
      </c>
      <c r="R288" s="2" t="s">
        <v>1840</v>
      </c>
      <c r="S288" s="24" t="b">
        <f t="shared" si="11"/>
        <v>0</v>
      </c>
    </row>
    <row r="289" spans="1:19" ht="30" x14ac:dyDescent="0.25">
      <c r="A289" s="2" t="str">
        <f t="shared" si="10"/>
        <v>Pending</v>
      </c>
      <c r="B289" s="2" t="s">
        <v>1613</v>
      </c>
      <c r="C289" s="2">
        <v>20</v>
      </c>
      <c r="D289" s="2" t="s">
        <v>917</v>
      </c>
      <c r="E289" s="2" t="s">
        <v>260</v>
      </c>
      <c r="F289" s="2" t="s">
        <v>79</v>
      </c>
      <c r="G289" s="2"/>
      <c r="H289" s="2"/>
      <c r="I289" s="2"/>
      <c r="J289" s="2"/>
      <c r="K289" s="2" t="s">
        <v>1733</v>
      </c>
      <c r="L289" s="2" t="str" cm="1">
        <f t="array" ref="L289">_xlfn.REGEXEXTRACT(B289,"(?&lt;=//)[^/]+")</f>
        <v>www.kink.com</v>
      </c>
      <c r="M289" s="2" t="s">
        <v>747</v>
      </c>
      <c r="N289" s="2" t="s">
        <v>1840</v>
      </c>
      <c r="O289" s="2" t="str" cm="1">
        <f t="array" ref="O289">IF(N289&lt;&gt;"NotApplicable",_xlfn.REGEXEXTRACT(N289,"\d+(?=p)"),"NotApplicable")</f>
        <v>NotApplicable</v>
      </c>
      <c r="P289" s="2" t="s">
        <v>1840</v>
      </c>
      <c r="Q289" s="2" t="s">
        <v>1840</v>
      </c>
      <c r="R289" s="2" t="s">
        <v>1840</v>
      </c>
      <c r="S289" s="24" t="b">
        <f t="shared" si="11"/>
        <v>0</v>
      </c>
    </row>
    <row r="290" spans="1:19" ht="30" x14ac:dyDescent="0.25">
      <c r="A290" s="2" t="str">
        <f t="shared" si="10"/>
        <v>Pending</v>
      </c>
      <c r="B290" s="2" t="s">
        <v>1690</v>
      </c>
      <c r="C290" s="2">
        <v>53</v>
      </c>
      <c r="D290" s="2" t="s">
        <v>921</v>
      </c>
      <c r="E290" s="2" t="s">
        <v>1693</v>
      </c>
      <c r="F290" s="2" t="s">
        <v>79</v>
      </c>
      <c r="G290" s="2"/>
      <c r="H290" s="2"/>
      <c r="I290" s="2"/>
      <c r="J290" s="2"/>
      <c r="K290" s="2" t="s">
        <v>1694</v>
      </c>
      <c r="L290" s="2" t="str" cm="1">
        <f t="array" ref="L290">_xlfn.REGEXEXTRACT(B290,"(?&lt;=//)[^/]+")</f>
        <v>www.kink.com</v>
      </c>
      <c r="M290" s="2" t="s">
        <v>747</v>
      </c>
      <c r="N290" s="2" t="s">
        <v>1840</v>
      </c>
      <c r="O290" s="2" t="str" cm="1">
        <f t="array" ref="O290">IF(N290&lt;&gt;"NotApplicable",_xlfn.REGEXEXTRACT(N290,"\d+(?=p)"),"NotApplicable")</f>
        <v>NotApplicable</v>
      </c>
      <c r="P290" s="2" t="s">
        <v>1840</v>
      </c>
      <c r="Q290" s="2" t="s">
        <v>1840</v>
      </c>
      <c r="R290" s="2" t="s">
        <v>1840</v>
      </c>
      <c r="S290" s="24" t="b">
        <f t="shared" si="11"/>
        <v>0</v>
      </c>
    </row>
    <row r="291" spans="1:19" ht="30" x14ac:dyDescent="0.25">
      <c r="A291" s="2" t="str">
        <f t="shared" si="10"/>
        <v>Pending</v>
      </c>
      <c r="B291" s="2" t="s">
        <v>1638</v>
      </c>
      <c r="C291" s="2">
        <v>65</v>
      </c>
      <c r="D291" s="2" t="s">
        <v>917</v>
      </c>
      <c r="E291" s="2" t="s">
        <v>1664</v>
      </c>
      <c r="F291" s="2" t="s">
        <v>79</v>
      </c>
      <c r="G291" s="2"/>
      <c r="H291" s="2"/>
      <c r="I291" s="2"/>
      <c r="J291" s="2"/>
      <c r="K291" s="2" t="s">
        <v>1685</v>
      </c>
      <c r="L291" s="2" t="str" cm="1">
        <f t="array" ref="L291">_xlfn.REGEXEXTRACT(B291,"(?&lt;=//)[^/]+")</f>
        <v>www.kink.com</v>
      </c>
      <c r="M291" s="2" t="s">
        <v>747</v>
      </c>
      <c r="N291" s="2" t="s">
        <v>1840</v>
      </c>
      <c r="O291" s="2" t="str" cm="1">
        <f t="array" ref="O291">IF(N291&lt;&gt;"NotApplicable",_xlfn.REGEXEXTRACT(N291,"\d+(?=p)"),"NotApplicable")</f>
        <v>NotApplicable</v>
      </c>
      <c r="P291" s="2" t="s">
        <v>1840</v>
      </c>
      <c r="Q291" s="2" t="s">
        <v>1840</v>
      </c>
      <c r="R291" s="2" t="s">
        <v>1840</v>
      </c>
      <c r="S291" s="24" t="b">
        <f t="shared" si="11"/>
        <v>0</v>
      </c>
    </row>
    <row r="292" spans="1:19" ht="30" x14ac:dyDescent="0.25">
      <c r="A292" s="2" t="str">
        <f t="shared" si="10"/>
        <v>Pending</v>
      </c>
      <c r="B292" s="2" t="s">
        <v>1689</v>
      </c>
      <c r="C292" s="2">
        <v>77</v>
      </c>
      <c r="D292" s="2" t="s">
        <v>921</v>
      </c>
      <c r="E292" s="2" t="s">
        <v>1693</v>
      </c>
      <c r="F292" s="2" t="s">
        <v>79</v>
      </c>
      <c r="G292" s="2"/>
      <c r="H292" s="2"/>
      <c r="I292" s="2"/>
      <c r="J292" s="2"/>
      <c r="K292" s="2" t="s">
        <v>1695</v>
      </c>
      <c r="L292" s="2" t="str" cm="1">
        <f t="array" ref="L292">_xlfn.REGEXEXTRACT(B292,"(?&lt;=//)[^/]+")</f>
        <v>www.kink.com</v>
      </c>
      <c r="M292" s="2" t="s">
        <v>747</v>
      </c>
      <c r="N292" s="2" t="s">
        <v>1840</v>
      </c>
      <c r="O292" s="2" t="str" cm="1">
        <f t="array" ref="O292">IF(N292&lt;&gt;"NotApplicable",_xlfn.REGEXEXTRACT(N292,"\d+(?=p)"),"NotApplicable")</f>
        <v>NotApplicable</v>
      </c>
      <c r="P292" s="2" t="s">
        <v>1840</v>
      </c>
      <c r="Q292" s="2" t="s">
        <v>1840</v>
      </c>
      <c r="R292" s="2" t="s">
        <v>1840</v>
      </c>
      <c r="S292" s="24" t="b">
        <f t="shared" si="11"/>
        <v>0</v>
      </c>
    </row>
    <row r="293" spans="1:19" ht="45" x14ac:dyDescent="0.25">
      <c r="A293" s="2" t="str">
        <f t="shared" si="10"/>
        <v>Pending</v>
      </c>
      <c r="B293" s="2" t="s">
        <v>1742</v>
      </c>
      <c r="C293" s="2">
        <v>53</v>
      </c>
      <c r="D293" s="2" t="s">
        <v>917</v>
      </c>
      <c r="E293" s="2" t="s">
        <v>1743</v>
      </c>
      <c r="F293" s="2" t="s">
        <v>79</v>
      </c>
      <c r="G293" s="2"/>
      <c r="H293" s="2"/>
      <c r="I293" s="2"/>
      <c r="J293" s="2"/>
      <c r="K293" s="2" t="s">
        <v>1744</v>
      </c>
      <c r="L293" s="2" t="str" cm="1">
        <f t="array" ref="L293">_xlfn.REGEXEXTRACT(B293,"(?&lt;=//)[^/]+")</f>
        <v>bdsmstreak.com</v>
      </c>
      <c r="M293" s="2" t="s">
        <v>747</v>
      </c>
      <c r="N293" s="2" t="s">
        <v>1840</v>
      </c>
      <c r="O293" s="2" t="str" cm="1">
        <f t="array" ref="O293">IF(N293&lt;&gt;"NotApplicable",_xlfn.REGEXEXTRACT(N293,"\d+(?=p)"),"NotApplicable")</f>
        <v>NotApplicable</v>
      </c>
      <c r="P293" s="2" t="s">
        <v>1840</v>
      </c>
      <c r="Q293" s="2" t="s">
        <v>1840</v>
      </c>
      <c r="R293" s="2" t="s">
        <v>1840</v>
      </c>
      <c r="S293" s="24" t="b">
        <f t="shared" si="11"/>
        <v>0</v>
      </c>
    </row>
    <row r="294" spans="1:19" ht="30" x14ac:dyDescent="0.25">
      <c r="A294" s="2" t="str">
        <f t="shared" si="10"/>
        <v>Pending</v>
      </c>
      <c r="B294" s="2" t="s">
        <v>1739</v>
      </c>
      <c r="C294" s="2">
        <v>46</v>
      </c>
      <c r="D294" s="2" t="s">
        <v>911</v>
      </c>
      <c r="E294" s="2" t="s">
        <v>1740</v>
      </c>
      <c r="F294" s="2" t="s">
        <v>91</v>
      </c>
      <c r="G294" s="2"/>
      <c r="H294" s="2"/>
      <c r="I294" s="2"/>
      <c r="J294" s="2"/>
      <c r="K294" s="2" t="s">
        <v>1741</v>
      </c>
      <c r="L294" s="2" t="str" cm="1">
        <f t="array" ref="L294">_xlfn.REGEXEXTRACT(B294,"(?&lt;=//)[^/]+")</f>
        <v>bdsmstreak.com</v>
      </c>
      <c r="M294" s="2" t="s">
        <v>747</v>
      </c>
      <c r="N294" s="2" t="s">
        <v>1840</v>
      </c>
      <c r="O294" s="2" t="str" cm="1">
        <f t="array" ref="O294">IF(N294&lt;&gt;"NotApplicable",_xlfn.REGEXEXTRACT(N294,"\d+(?=p)"),"NotApplicable")</f>
        <v>NotApplicable</v>
      </c>
      <c r="P294" s="2" t="s">
        <v>1840</v>
      </c>
      <c r="Q294" s="2" t="s">
        <v>1840</v>
      </c>
      <c r="R294" s="2" t="s">
        <v>1840</v>
      </c>
      <c r="S294" s="24" t="b">
        <f t="shared" si="11"/>
        <v>0</v>
      </c>
    </row>
    <row r="295" spans="1:19" x14ac:dyDescent="0.25">
      <c r="A295" s="2" t="str">
        <f t="shared" si="10"/>
        <v>Pending</v>
      </c>
      <c r="B295" s="2" t="s">
        <v>1615</v>
      </c>
      <c r="C295" s="2">
        <v>15</v>
      </c>
      <c r="D295" s="2" t="s">
        <v>919</v>
      </c>
      <c r="E295" s="2" t="s">
        <v>1651</v>
      </c>
      <c r="F295" s="2" t="s">
        <v>80</v>
      </c>
      <c r="G295" s="2"/>
      <c r="H295" s="2"/>
      <c r="I295" s="2"/>
      <c r="J295" s="2"/>
      <c r="K295" s="2" t="s">
        <v>1678</v>
      </c>
      <c r="L295" s="2" t="str" cm="1">
        <f t="array" ref="L295">_xlfn.REGEXEXTRACT(B295,"(?&lt;=//)[^/]+")</f>
        <v>www.kink.com</v>
      </c>
      <c r="M295" s="2" t="s">
        <v>747</v>
      </c>
      <c r="N295" s="2" t="s">
        <v>1840</v>
      </c>
      <c r="O295" s="2" t="str" cm="1">
        <f t="array" ref="O295">IF(N295&lt;&gt;"NotApplicable",_xlfn.REGEXEXTRACT(N295,"\d+(?=p)"),"NotApplicable")</f>
        <v>NotApplicable</v>
      </c>
      <c r="P295" s="2" t="s">
        <v>1840</v>
      </c>
      <c r="Q295" s="2" t="s">
        <v>1840</v>
      </c>
      <c r="R295" s="2" t="s">
        <v>1840</v>
      </c>
      <c r="S295" s="24" t="b">
        <f t="shared" si="11"/>
        <v>0</v>
      </c>
    </row>
    <row r="296" spans="1:19" ht="30" x14ac:dyDescent="0.25">
      <c r="A296" s="2" t="str">
        <f t="shared" si="10"/>
        <v>Pending</v>
      </c>
      <c r="B296" s="2" t="s">
        <v>1736</v>
      </c>
      <c r="C296" s="2">
        <v>14</v>
      </c>
      <c r="D296" s="2" t="s">
        <v>917</v>
      </c>
      <c r="E296" s="2" t="s">
        <v>1737</v>
      </c>
      <c r="F296" s="2" t="s">
        <v>79</v>
      </c>
      <c r="G296" s="2"/>
      <c r="H296" s="2"/>
      <c r="I296" s="2"/>
      <c r="J296" s="2"/>
      <c r="K296" s="2" t="s">
        <v>1738</v>
      </c>
      <c r="L296" s="2" t="str" cm="1">
        <f t="array" ref="L296">_xlfn.REGEXEXTRACT(B296,"(?&lt;=//)[^/]+")</f>
        <v>www.kink.com</v>
      </c>
      <c r="M296" s="2" t="s">
        <v>747</v>
      </c>
      <c r="N296" s="2" t="s">
        <v>1840</v>
      </c>
      <c r="O296" s="2" t="str" cm="1">
        <f t="array" ref="O296">IF(N296&lt;&gt;"NotApplicable",_xlfn.REGEXEXTRACT(N296,"\d+(?=p)"),"NotApplicable")</f>
        <v>NotApplicable</v>
      </c>
      <c r="P296" s="2" t="s">
        <v>1840</v>
      </c>
      <c r="Q296" s="2" t="s">
        <v>1840</v>
      </c>
      <c r="R296" s="2" t="s">
        <v>1840</v>
      </c>
      <c r="S296" s="24" t="b">
        <f t="shared" si="11"/>
        <v>0</v>
      </c>
    </row>
    <row r="297" spans="1:19" ht="45" x14ac:dyDescent="0.25">
      <c r="A297" s="2" t="str">
        <f t="shared" si="10"/>
        <v>Pending</v>
      </c>
      <c r="B297" s="2" t="s">
        <v>1835</v>
      </c>
      <c r="C297" s="2">
        <v>57</v>
      </c>
      <c r="D297" s="2" t="s">
        <v>919</v>
      </c>
      <c r="E297" s="2" t="s">
        <v>382</v>
      </c>
      <c r="F297" s="2" t="s">
        <v>80</v>
      </c>
      <c r="G297" s="2"/>
      <c r="H297" s="2"/>
      <c r="I297" s="2"/>
      <c r="J297" s="2"/>
      <c r="K297" s="2"/>
      <c r="L297" s="2" t="str" cm="1">
        <f t="array" ref="L297">_xlfn.REGEXEXTRACT(B297,"(?&lt;=//)[^/]+")</f>
        <v>heavyfetish.com</v>
      </c>
      <c r="M297" s="2" t="s">
        <v>747</v>
      </c>
      <c r="N297" s="2" t="s">
        <v>1840</v>
      </c>
      <c r="O297" s="2" t="str" cm="1">
        <f t="array" ref="O297">IF(N297&lt;&gt;"NotApplicable",_xlfn.REGEXEXTRACT(N297,"\d+(?=p)"),"NotApplicable")</f>
        <v>NotApplicable</v>
      </c>
      <c r="P297" s="2" t="s">
        <v>1840</v>
      </c>
      <c r="Q297" s="2" t="s">
        <v>1840</v>
      </c>
      <c r="R297" s="2" t="s">
        <v>1840</v>
      </c>
      <c r="S297" s="24" t="b">
        <f t="shared" si="11"/>
        <v>1</v>
      </c>
    </row>
    <row r="298" spans="1:19" ht="45" x14ac:dyDescent="0.25">
      <c r="A298" s="2" t="str">
        <f t="shared" si="10"/>
        <v>Pending</v>
      </c>
      <c r="B298" s="2" t="s">
        <v>1846</v>
      </c>
      <c r="C298" s="2">
        <v>47</v>
      </c>
      <c r="D298" s="2" t="s">
        <v>917</v>
      </c>
      <c r="E298" s="2" t="s">
        <v>1847</v>
      </c>
      <c r="F298" s="2" t="s">
        <v>79</v>
      </c>
      <c r="G298" s="2"/>
      <c r="H298" s="2"/>
      <c r="I298" s="2"/>
      <c r="J298" s="2"/>
      <c r="K298" s="2" t="s">
        <v>1848</v>
      </c>
      <c r="L298" s="2" t="str" cm="1">
        <f t="array" ref="L298">_xlfn.REGEXEXTRACT(B298,"(?&lt;=//)[^/]+")</f>
        <v>bdsmstreak.com</v>
      </c>
      <c r="M298" s="2" t="s">
        <v>747</v>
      </c>
      <c r="N298" s="2" t="s">
        <v>1840</v>
      </c>
      <c r="O298" s="2" t="str" cm="1">
        <f t="array" ref="O298">IF(N298&lt;&gt;"NotApplicable",_xlfn.REGEXEXTRACT(N298,"\d+(?=p)"),"NotApplicable")</f>
        <v>NotApplicable</v>
      </c>
      <c r="P298" s="2" t="s">
        <v>1840</v>
      </c>
      <c r="Q298" s="2" t="s">
        <v>1840</v>
      </c>
      <c r="R298" s="2" t="s">
        <v>1840</v>
      </c>
      <c r="S298" s="24" t="b">
        <f t="shared" ref="S298" si="12">ISNUMBER(SEARCH(",",E298))</f>
        <v>0</v>
      </c>
    </row>
    <row r="299" spans="1:19" ht="60" x14ac:dyDescent="0.25">
      <c r="A299" s="2" t="str">
        <f>IF(ISBLANK(I299)=TRUE,"Pending","Done")</f>
        <v>Pending</v>
      </c>
      <c r="B299" s="2" t="s">
        <v>1708</v>
      </c>
      <c r="C299" s="2">
        <v>47</v>
      </c>
      <c r="D299" s="2" t="s">
        <v>209</v>
      </c>
      <c r="E299" s="2" t="s">
        <v>1723</v>
      </c>
      <c r="F299" s="2" t="s">
        <v>79</v>
      </c>
      <c r="G299" s="2"/>
      <c r="H299" s="2"/>
      <c r="I299" s="2"/>
      <c r="J299" s="2"/>
      <c r="K299" s="2" t="s">
        <v>1730</v>
      </c>
      <c r="L299" s="2" t="str" cm="1">
        <f t="array" ref="L299">_xlfn.REGEXEXTRACT(B299,"(?&lt;=//)[^/]+")</f>
        <v>x-x-x.tube</v>
      </c>
      <c r="M299" s="2" t="s">
        <v>747</v>
      </c>
      <c r="N299" s="2" t="s">
        <v>1840</v>
      </c>
      <c r="O299" s="2" t="str" cm="1">
        <f t="array" ref="O299">IF(N299&lt;&gt;"NotApplicable",_xlfn.REGEXEXTRACT(N299,"\d+(?=p)"),"NotApplicable")</f>
        <v>NotApplicable</v>
      </c>
      <c r="P299" s="2" t="s">
        <v>1840</v>
      </c>
      <c r="Q299" s="2" t="s">
        <v>1840</v>
      </c>
      <c r="R299" s="2" t="s">
        <v>1840</v>
      </c>
      <c r="S299" s="24" t="b">
        <f t="shared" si="11"/>
        <v>0</v>
      </c>
    </row>
  </sheetData>
  <autoFilter ref="A1:S299" xr:uid="{84BC93B7-B882-48B2-AAF6-D1E0B3702CB8}"/>
  <sortState xmlns:xlrd2="http://schemas.microsoft.com/office/spreadsheetml/2017/richdata2" ref="A2:S299">
    <sortCondition descending="1" ref="J1:J299"/>
  </sortState>
  <phoneticPr fontId="1" type="noConversion"/>
  <conditionalFormatting sqref="J1:J1048576">
    <cfRule type="colorScale" priority="6">
      <colorScale>
        <cfvo type="min"/>
        <cfvo type="percentile" val="50"/>
        <cfvo type="max"/>
        <color rgb="FFF8696B"/>
        <color rgb="FFFFEB84"/>
        <color rgb="FF63BE7B"/>
      </colorScale>
    </cfRule>
  </conditionalFormatting>
  <conditionalFormatting sqref="A1:S1048576">
    <cfRule type="expression" dxfId="1" priority="1">
      <formula>$A1="Pending"</formula>
    </cfRule>
  </conditionalFormatting>
  <hyperlinks>
    <hyperlink ref="B41" r:id="rId1" xr:uid="{2E147CF4-F9A8-4362-BC23-7A0D81E0545C}"/>
    <hyperlink ref="B106" r:id="rId2" xr:uid="{67D640FB-30E4-4DE4-8404-82A48C872AA6}"/>
    <hyperlink ref="B241" r:id="rId3" xr:uid="{5E047F66-E887-4633-BD76-F0226DDAE0B6}"/>
  </hyperlinks>
  <printOptions horizontalCentered="1" verticalCentered="1"/>
  <pageMargins left="0" right="0" top="0" bottom="0" header="0" footer="0"/>
  <pageSetup paperSize="8"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5F2D5-8484-4D0C-86D0-D24E81A20C64}">
  <dimension ref="A1:J17"/>
  <sheetViews>
    <sheetView workbookViewId="0">
      <selection activeCell="L6" sqref="L6"/>
    </sheetView>
  </sheetViews>
  <sheetFormatPr defaultRowHeight="15" x14ac:dyDescent="0.25"/>
  <cols>
    <col min="1" max="1" width="7.28515625" bestFit="1" customWidth="1"/>
    <col min="2" max="2" width="7.7109375" bestFit="1" customWidth="1"/>
    <col min="3" max="3" width="9.42578125" bestFit="1" customWidth="1"/>
    <col min="4" max="4" width="9.42578125" customWidth="1"/>
    <col min="5" max="5" width="24.28515625" bestFit="1" customWidth="1"/>
    <col min="6" max="6" width="7.28515625" bestFit="1" customWidth="1"/>
    <col min="7" max="7" width="8" bestFit="1" customWidth="1"/>
    <col min="8" max="8" width="15.140625" bestFit="1" customWidth="1"/>
    <col min="9" max="9" width="25.140625" bestFit="1" customWidth="1"/>
    <col min="10" max="10" width="9.42578125" bestFit="1" customWidth="1"/>
    <col min="12" max="12" width="85.5703125" bestFit="1" customWidth="1"/>
    <col min="19" max="19" width="7.28515625" bestFit="1" customWidth="1"/>
    <col min="20" max="20" width="7.7109375" bestFit="1" customWidth="1"/>
    <col min="21" max="21" width="9.42578125" bestFit="1" customWidth="1"/>
  </cols>
  <sheetData>
    <row r="1" spans="1:10" x14ac:dyDescent="0.25">
      <c r="A1" s="11" t="s">
        <v>179</v>
      </c>
      <c r="B1" s="12" t="s">
        <v>180</v>
      </c>
      <c r="C1" s="4" t="s">
        <v>182</v>
      </c>
      <c r="D1" s="10"/>
      <c r="E1" s="19" t="str">
        <f>_xlfn.CONCAT(A1,"-",B1,"-",C1)</f>
        <v>bdsm-soft-maledom</v>
      </c>
      <c r="J1" s="31"/>
    </row>
    <row r="2" spans="1:10" x14ac:dyDescent="0.25">
      <c r="A2" s="11" t="s">
        <v>179</v>
      </c>
      <c r="B2" s="12" t="s">
        <v>180</v>
      </c>
      <c r="C2" s="5" t="s">
        <v>183</v>
      </c>
      <c r="D2" s="9"/>
      <c r="E2" s="19" t="str">
        <f t="shared" ref="E2:E6" si="0">_xlfn.CONCAT(A2,"-",B2,"-",C2)</f>
        <v>bdsm-soft-femdom</v>
      </c>
      <c r="J2" s="31"/>
    </row>
    <row r="3" spans="1:10" x14ac:dyDescent="0.25">
      <c r="A3" s="11" t="s">
        <v>179</v>
      </c>
      <c r="B3" s="12" t="s">
        <v>180</v>
      </c>
      <c r="C3" s="6" t="s">
        <v>184</v>
      </c>
      <c r="D3" s="9"/>
      <c r="E3" s="19" t="str">
        <f t="shared" si="0"/>
        <v>bdsm-soft-lesdom</v>
      </c>
      <c r="J3" s="31"/>
    </row>
    <row r="4" spans="1:10" x14ac:dyDescent="0.25">
      <c r="A4" s="11" t="s">
        <v>179</v>
      </c>
      <c r="B4" s="13" t="s">
        <v>181</v>
      </c>
      <c r="C4" s="4" t="s">
        <v>182</v>
      </c>
      <c r="D4" s="9"/>
      <c r="E4" s="20" t="str">
        <f t="shared" si="0"/>
        <v>bdsm-hard-maledom</v>
      </c>
      <c r="J4" s="31"/>
    </row>
    <row r="5" spans="1:10" x14ac:dyDescent="0.25">
      <c r="A5" s="11" t="s">
        <v>179</v>
      </c>
      <c r="B5" s="13" t="s">
        <v>181</v>
      </c>
      <c r="C5" s="5" t="s">
        <v>183</v>
      </c>
      <c r="D5" s="9"/>
      <c r="E5" s="20" t="str">
        <f t="shared" si="0"/>
        <v>bdsm-hard-femdom</v>
      </c>
      <c r="J5" s="31"/>
    </row>
    <row r="6" spans="1:10" x14ac:dyDescent="0.25">
      <c r="A6" s="14" t="s">
        <v>179</v>
      </c>
      <c r="B6" s="15" t="s">
        <v>181</v>
      </c>
      <c r="C6" s="16" t="s">
        <v>184</v>
      </c>
      <c r="D6" s="9"/>
      <c r="E6" s="21" t="str">
        <f t="shared" si="0"/>
        <v>bdsm-hard-lesdom</v>
      </c>
      <c r="J6" s="31"/>
    </row>
    <row r="7" spans="1:10" x14ac:dyDescent="0.25">
      <c r="J7" s="31"/>
    </row>
    <row r="8" spans="1:10" x14ac:dyDescent="0.25">
      <c r="A8" s="3" t="s">
        <v>185</v>
      </c>
      <c r="B8" s="17" t="s">
        <v>186</v>
      </c>
      <c r="C8" s="1" t="s">
        <v>188</v>
      </c>
      <c r="D8" s="9"/>
      <c r="E8" s="17" t="str">
        <f>_xlfn.CONCAT(A8,"-",B8,"-",C8)</f>
        <v>normal-rough-cis</v>
      </c>
      <c r="J8" s="31"/>
    </row>
    <row r="9" spans="1:10" x14ac:dyDescent="0.25">
      <c r="A9" s="3" t="s">
        <v>185</v>
      </c>
      <c r="B9" s="17" t="s">
        <v>186</v>
      </c>
      <c r="C9" s="4" t="s">
        <v>182</v>
      </c>
      <c r="D9" s="9"/>
      <c r="E9" s="22" t="str">
        <f t="shared" ref="E9:E17" si="1">_xlfn.CONCAT(A9,"-",B9,"-",C9)</f>
        <v>normal-rough-maledom</v>
      </c>
      <c r="J9" s="31"/>
    </row>
    <row r="10" spans="1:10" x14ac:dyDescent="0.25">
      <c r="A10" s="3" t="s">
        <v>185</v>
      </c>
      <c r="B10" s="17" t="s">
        <v>186</v>
      </c>
      <c r="C10" s="5" t="s">
        <v>183</v>
      </c>
      <c r="D10" s="9"/>
      <c r="E10" s="22" t="str">
        <f t="shared" si="1"/>
        <v>normal-rough-femdom</v>
      </c>
      <c r="J10" s="31"/>
    </row>
    <row r="11" spans="1:10" x14ac:dyDescent="0.25">
      <c r="A11" s="3" t="s">
        <v>185</v>
      </c>
      <c r="B11" s="17" t="s">
        <v>186</v>
      </c>
      <c r="C11" s="6" t="s">
        <v>184</v>
      </c>
      <c r="D11" s="9"/>
      <c r="E11" s="22" t="str">
        <f t="shared" si="1"/>
        <v>normal-rough-lesdom</v>
      </c>
      <c r="J11" s="31"/>
    </row>
    <row r="12" spans="1:10" x14ac:dyDescent="0.25">
      <c r="A12" s="3" t="s">
        <v>185</v>
      </c>
      <c r="B12" s="17" t="s">
        <v>186</v>
      </c>
      <c r="C12" s="8" t="s">
        <v>76</v>
      </c>
      <c r="D12" s="9"/>
      <c r="E12" s="22" t="str">
        <f t="shared" si="1"/>
        <v>normal-rough-lesbian</v>
      </c>
      <c r="J12" s="31"/>
    </row>
    <row r="13" spans="1:10" x14ac:dyDescent="0.25">
      <c r="A13" s="3" t="s">
        <v>185</v>
      </c>
      <c r="B13" s="18" t="s">
        <v>187</v>
      </c>
      <c r="C13" s="7" t="s">
        <v>188</v>
      </c>
      <c r="D13" s="9"/>
      <c r="E13" s="23" t="str">
        <f t="shared" si="1"/>
        <v>normal-sensual-cis</v>
      </c>
      <c r="J13" s="31"/>
    </row>
    <row r="14" spans="1:10" x14ac:dyDescent="0.25">
      <c r="A14" s="3" t="s">
        <v>185</v>
      </c>
      <c r="B14" s="18" t="s">
        <v>187</v>
      </c>
      <c r="C14" s="4" t="s">
        <v>182</v>
      </c>
      <c r="D14" s="9"/>
      <c r="E14" s="23" t="str">
        <f t="shared" si="1"/>
        <v>normal-sensual-maledom</v>
      </c>
      <c r="J14" s="31"/>
    </row>
    <row r="15" spans="1:10" x14ac:dyDescent="0.25">
      <c r="A15" s="3" t="s">
        <v>185</v>
      </c>
      <c r="B15" s="18" t="s">
        <v>187</v>
      </c>
      <c r="C15" s="5" t="s">
        <v>183</v>
      </c>
      <c r="D15" s="9"/>
      <c r="E15" s="23" t="str">
        <f t="shared" si="1"/>
        <v>normal-sensual-femdom</v>
      </c>
    </row>
    <row r="16" spans="1:10" x14ac:dyDescent="0.25">
      <c r="A16" s="3" t="s">
        <v>185</v>
      </c>
      <c r="B16" s="18" t="s">
        <v>187</v>
      </c>
      <c r="C16" s="6" t="s">
        <v>184</v>
      </c>
      <c r="D16" s="9"/>
      <c r="E16" s="23" t="str">
        <f t="shared" si="1"/>
        <v>normal-sensual-lesdom</v>
      </c>
    </row>
    <row r="17" spans="1:5" x14ac:dyDescent="0.25">
      <c r="A17" s="3" t="s">
        <v>185</v>
      </c>
      <c r="B17" s="18" t="s">
        <v>187</v>
      </c>
      <c r="C17" s="28" t="s">
        <v>76</v>
      </c>
      <c r="E17" s="18" t="str">
        <f t="shared" si="1"/>
        <v>normal-sensual-lesbian</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2AE3-C0BD-4F92-A538-4F0B11256815}">
  <dimension ref="A1:J297"/>
  <sheetViews>
    <sheetView topLeftCell="A275" workbookViewId="0">
      <selection activeCell="B277" sqref="B277"/>
    </sheetView>
  </sheetViews>
  <sheetFormatPr defaultRowHeight="15" x14ac:dyDescent="0.25"/>
  <cols>
    <col min="1" max="2" width="50.7109375" style="26" customWidth="1"/>
    <col min="3" max="3" width="50.7109375" style="27" customWidth="1"/>
    <col min="4" max="4" width="8.5703125" style="26" bestFit="1" customWidth="1"/>
    <col min="5" max="5" width="17" style="26" bestFit="1" customWidth="1"/>
    <col min="6" max="6" width="13.85546875" style="26" customWidth="1"/>
    <col min="7" max="7" width="20" style="26" bestFit="1" customWidth="1"/>
    <col min="8" max="8" width="9.140625" style="26"/>
    <col min="9" max="9" width="12.28515625" style="26" bestFit="1" customWidth="1"/>
    <col min="10" max="16384" width="9.140625" style="26"/>
  </cols>
  <sheetData>
    <row r="1" spans="1:10" x14ac:dyDescent="0.25">
      <c r="A1" s="29" t="s">
        <v>72</v>
      </c>
      <c r="B1" s="29" t="s">
        <v>1208</v>
      </c>
      <c r="C1" s="29" t="s">
        <v>66</v>
      </c>
      <c r="D1" s="29" t="s">
        <v>68</v>
      </c>
      <c r="E1" s="29" t="s">
        <v>69</v>
      </c>
      <c r="F1" s="29" t="s">
        <v>360</v>
      </c>
      <c r="G1" s="29" t="s">
        <v>71</v>
      </c>
      <c r="H1" s="30" t="s">
        <v>1513</v>
      </c>
      <c r="I1" s="30" t="s">
        <v>1606</v>
      </c>
      <c r="J1" s="30" t="s">
        <v>269</v>
      </c>
    </row>
    <row r="2" spans="1:10" ht="30" x14ac:dyDescent="0.25">
      <c r="A2" s="30" t="s">
        <v>45</v>
      </c>
      <c r="B2" s="30" t="s">
        <v>1213</v>
      </c>
      <c r="C2" s="30" t="s">
        <v>1504</v>
      </c>
      <c r="D2" s="30">
        <v>41</v>
      </c>
      <c r="E2" s="30" t="s">
        <v>108</v>
      </c>
      <c r="F2" s="30" t="s">
        <v>1505</v>
      </c>
      <c r="G2" s="30" t="s">
        <v>79</v>
      </c>
      <c r="H2" s="30">
        <v>0</v>
      </c>
      <c r="I2" s="30" t="s">
        <v>1209</v>
      </c>
      <c r="J2" s="30" t="str">
        <f>IF(C2&lt;&gt;"-","done","pending")</f>
        <v>done</v>
      </c>
    </row>
    <row r="3" spans="1:10" ht="30" x14ac:dyDescent="0.25">
      <c r="A3" s="30" t="s">
        <v>44</v>
      </c>
      <c r="B3" s="30" t="s">
        <v>1214</v>
      </c>
      <c r="C3" s="30" t="s">
        <v>1507</v>
      </c>
      <c r="D3" s="30">
        <v>64</v>
      </c>
      <c r="E3" s="30" t="s">
        <v>917</v>
      </c>
      <c r="F3" s="30" t="s">
        <v>1506</v>
      </c>
      <c r="G3" s="30" t="s">
        <v>79</v>
      </c>
      <c r="H3" s="30">
        <v>0</v>
      </c>
      <c r="I3" s="30" t="s">
        <v>1209</v>
      </c>
      <c r="J3" s="30" t="str">
        <f t="shared" ref="J3:J66" si="0">IF(C3&lt;&gt;"-","done","pending")</f>
        <v>done</v>
      </c>
    </row>
    <row r="4" spans="1:10" ht="45" x14ac:dyDescent="0.25">
      <c r="A4" s="30" t="s">
        <v>33</v>
      </c>
      <c r="B4" s="30" t="s">
        <v>1215</v>
      </c>
      <c r="C4" s="30" t="s">
        <v>1509</v>
      </c>
      <c r="D4" s="30">
        <v>65</v>
      </c>
      <c r="E4" s="30" t="s">
        <v>915</v>
      </c>
      <c r="F4" s="30" t="s">
        <v>1508</v>
      </c>
      <c r="G4" s="30" t="s">
        <v>80</v>
      </c>
      <c r="H4" s="30">
        <v>4</v>
      </c>
      <c r="I4" s="30" t="s">
        <v>1209</v>
      </c>
      <c r="J4" s="30" t="str">
        <f t="shared" si="0"/>
        <v>done</v>
      </c>
    </row>
    <row r="5" spans="1:10" ht="30" x14ac:dyDescent="0.25">
      <c r="A5" s="30" t="s">
        <v>49</v>
      </c>
      <c r="B5" s="30" t="s">
        <v>1216</v>
      </c>
      <c r="C5" s="30" t="s">
        <v>1511</v>
      </c>
      <c r="D5" s="30">
        <v>37</v>
      </c>
      <c r="E5" s="30" t="s">
        <v>921</v>
      </c>
      <c r="F5" s="30" t="s">
        <v>1510</v>
      </c>
      <c r="G5" s="30" t="s">
        <v>79</v>
      </c>
      <c r="H5" s="30">
        <v>9</v>
      </c>
      <c r="I5" s="30" t="s">
        <v>1514</v>
      </c>
      <c r="J5" s="30" t="str">
        <f t="shared" si="0"/>
        <v>done</v>
      </c>
    </row>
    <row r="6" spans="1:10" ht="45" x14ac:dyDescent="0.25">
      <c r="A6" s="30" t="s">
        <v>47</v>
      </c>
      <c r="B6" s="30" t="s">
        <v>1210</v>
      </c>
      <c r="C6" s="30" t="s">
        <v>1512</v>
      </c>
      <c r="D6" s="30">
        <v>43</v>
      </c>
      <c r="E6" s="30" t="s">
        <v>921</v>
      </c>
      <c r="F6" s="30" t="s">
        <v>258</v>
      </c>
      <c r="G6" s="30" t="s">
        <v>79</v>
      </c>
      <c r="H6" s="30">
        <v>10</v>
      </c>
      <c r="I6" s="30" t="s">
        <v>1515</v>
      </c>
      <c r="J6" s="30" t="str">
        <f t="shared" si="0"/>
        <v>done</v>
      </c>
    </row>
    <row r="7" spans="1:10" x14ac:dyDescent="0.25">
      <c r="A7" s="30" t="s">
        <v>26</v>
      </c>
      <c r="B7" s="30" t="s">
        <v>1217</v>
      </c>
      <c r="C7" s="30" t="s">
        <v>1209</v>
      </c>
      <c r="D7" s="30">
        <v>15</v>
      </c>
      <c r="E7" s="30" t="s">
        <v>1209</v>
      </c>
      <c r="F7" s="30" t="s">
        <v>1209</v>
      </c>
      <c r="G7" s="30" t="s">
        <v>1209</v>
      </c>
      <c r="H7" s="30">
        <v>0</v>
      </c>
      <c r="I7" s="30" t="s">
        <v>1209</v>
      </c>
      <c r="J7" s="30" t="str">
        <f t="shared" si="0"/>
        <v>pending</v>
      </c>
    </row>
    <row r="8" spans="1:10" ht="30" x14ac:dyDescent="0.25">
      <c r="A8" s="30" t="s">
        <v>28</v>
      </c>
      <c r="B8" s="30" t="s">
        <v>1218</v>
      </c>
      <c r="C8" s="30" t="s">
        <v>1516</v>
      </c>
      <c r="D8" s="30">
        <v>24</v>
      </c>
      <c r="E8" s="30" t="s">
        <v>104</v>
      </c>
      <c r="F8" s="30" t="s">
        <v>1517</v>
      </c>
      <c r="G8" s="30" t="s">
        <v>80</v>
      </c>
      <c r="H8" s="30">
        <v>0</v>
      </c>
      <c r="I8" s="30" t="s">
        <v>1209</v>
      </c>
      <c r="J8" s="30" t="str">
        <f t="shared" si="0"/>
        <v>done</v>
      </c>
    </row>
    <row r="9" spans="1:10" ht="30" x14ac:dyDescent="0.25">
      <c r="A9" s="30" t="s">
        <v>27</v>
      </c>
      <c r="B9" s="30" t="s">
        <v>1219</v>
      </c>
      <c r="C9" s="30" t="s">
        <v>1209</v>
      </c>
      <c r="D9" s="30">
        <v>95</v>
      </c>
      <c r="E9" s="30" t="s">
        <v>921</v>
      </c>
      <c r="F9" s="30" t="s">
        <v>1209</v>
      </c>
      <c r="G9" s="30" t="s">
        <v>1209</v>
      </c>
      <c r="H9" s="30">
        <v>0</v>
      </c>
      <c r="I9" s="30" t="s">
        <v>1209</v>
      </c>
      <c r="J9" s="30" t="str">
        <f t="shared" si="0"/>
        <v>pending</v>
      </c>
    </row>
    <row r="10" spans="1:10" ht="45" x14ac:dyDescent="0.25">
      <c r="A10" s="30" t="s">
        <v>53</v>
      </c>
      <c r="B10" s="30" t="s">
        <v>1220</v>
      </c>
      <c r="C10" s="30" t="s">
        <v>1520</v>
      </c>
      <c r="D10" s="30">
        <v>21</v>
      </c>
      <c r="E10" s="30" t="s">
        <v>1518</v>
      </c>
      <c r="F10" s="30" t="s">
        <v>1519</v>
      </c>
      <c r="G10" s="30" t="s">
        <v>80</v>
      </c>
      <c r="H10" s="30">
        <v>0</v>
      </c>
      <c r="I10" s="30" t="s">
        <v>1209</v>
      </c>
      <c r="J10" s="30" t="str">
        <f t="shared" si="0"/>
        <v>done</v>
      </c>
    </row>
    <row r="11" spans="1:10" ht="45" x14ac:dyDescent="0.25">
      <c r="A11" s="30" t="s">
        <v>51</v>
      </c>
      <c r="B11" s="30" t="s">
        <v>1221</v>
      </c>
      <c r="C11" s="30" t="s">
        <v>1521</v>
      </c>
      <c r="D11" s="30">
        <v>54</v>
      </c>
      <c r="E11" s="30" t="s">
        <v>921</v>
      </c>
      <c r="F11" s="30" t="s">
        <v>1522</v>
      </c>
      <c r="G11" s="30" t="s">
        <v>79</v>
      </c>
      <c r="H11" s="30">
        <v>0</v>
      </c>
      <c r="I11" s="30" t="s">
        <v>1209</v>
      </c>
      <c r="J11" s="30" t="str">
        <f t="shared" si="0"/>
        <v>done</v>
      </c>
    </row>
    <row r="12" spans="1:10" ht="45" x14ac:dyDescent="0.25">
      <c r="A12" s="30" t="s">
        <v>46</v>
      </c>
      <c r="B12" s="30" t="s">
        <v>1222</v>
      </c>
      <c r="C12" s="30" t="s">
        <v>1523</v>
      </c>
      <c r="D12" s="30">
        <v>48</v>
      </c>
      <c r="E12" s="30" t="s">
        <v>921</v>
      </c>
      <c r="F12" s="30" t="s">
        <v>1524</v>
      </c>
      <c r="G12" s="30" t="s">
        <v>79</v>
      </c>
      <c r="H12" s="30">
        <v>4</v>
      </c>
      <c r="I12" s="30" t="s">
        <v>1525</v>
      </c>
      <c r="J12" s="30" t="str">
        <f t="shared" si="0"/>
        <v>done</v>
      </c>
    </row>
    <row r="13" spans="1:10" ht="30" x14ac:dyDescent="0.25">
      <c r="A13" s="30" t="s">
        <v>59</v>
      </c>
      <c r="B13" s="30" t="s">
        <v>1223</v>
      </c>
      <c r="C13" s="30" t="s">
        <v>1526</v>
      </c>
      <c r="D13" s="30">
        <v>49</v>
      </c>
      <c r="E13" s="30" t="s">
        <v>1527</v>
      </c>
      <c r="F13" s="30" t="s">
        <v>1528</v>
      </c>
      <c r="G13" s="30" t="s">
        <v>78</v>
      </c>
      <c r="H13" s="30">
        <v>4</v>
      </c>
      <c r="I13" s="30" t="s">
        <v>1529</v>
      </c>
      <c r="J13" s="30" t="str">
        <f t="shared" si="0"/>
        <v>done</v>
      </c>
    </row>
    <row r="14" spans="1:10" ht="75" x14ac:dyDescent="0.25">
      <c r="A14" s="30" t="s">
        <v>48</v>
      </c>
      <c r="B14" s="30" t="s">
        <v>1211</v>
      </c>
      <c r="C14" s="30" t="s">
        <v>1532</v>
      </c>
      <c r="D14" s="30">
        <v>50</v>
      </c>
      <c r="E14" s="30" t="s">
        <v>916</v>
      </c>
      <c r="F14" s="30" t="s">
        <v>1530</v>
      </c>
      <c r="G14" s="30" t="s">
        <v>80</v>
      </c>
      <c r="H14" s="30">
        <v>3</v>
      </c>
      <c r="I14" s="30" t="s">
        <v>1531</v>
      </c>
      <c r="J14" s="30" t="str">
        <f t="shared" si="0"/>
        <v>done</v>
      </c>
    </row>
    <row r="15" spans="1:10" ht="45" x14ac:dyDescent="0.25">
      <c r="A15" s="30" t="s">
        <v>50</v>
      </c>
      <c r="B15" s="30" t="s">
        <v>1224</v>
      </c>
      <c r="C15" s="30" t="s">
        <v>1534</v>
      </c>
      <c r="D15" s="30">
        <v>62</v>
      </c>
      <c r="E15" s="30" t="s">
        <v>916</v>
      </c>
      <c r="F15" s="30" t="s">
        <v>1533</v>
      </c>
      <c r="G15" s="30" t="s">
        <v>80</v>
      </c>
      <c r="H15" s="30">
        <v>0</v>
      </c>
      <c r="I15" s="30" t="s">
        <v>1209</v>
      </c>
      <c r="J15" s="30" t="str">
        <f t="shared" si="0"/>
        <v>done</v>
      </c>
    </row>
    <row r="16" spans="1:10" ht="30" x14ac:dyDescent="0.25">
      <c r="A16" s="30" t="s">
        <v>926</v>
      </c>
      <c r="B16" s="30" t="s">
        <v>1225</v>
      </c>
      <c r="C16" s="30" t="s">
        <v>1607</v>
      </c>
      <c r="D16" s="30">
        <v>53</v>
      </c>
      <c r="E16" s="30" t="s">
        <v>921</v>
      </c>
      <c r="F16" s="30" t="s">
        <v>1608</v>
      </c>
      <c r="G16" s="30" t="s">
        <v>79</v>
      </c>
      <c r="H16" s="30">
        <v>0</v>
      </c>
      <c r="I16" s="30" t="s">
        <v>1209</v>
      </c>
      <c r="J16" s="30" t="str">
        <f t="shared" si="0"/>
        <v>done</v>
      </c>
    </row>
    <row r="17" spans="1:10" ht="45" x14ac:dyDescent="0.25">
      <c r="A17" s="30" t="s">
        <v>927</v>
      </c>
      <c r="B17" s="30" t="s">
        <v>1226</v>
      </c>
      <c r="C17" s="30" t="s">
        <v>1535</v>
      </c>
      <c r="D17" s="30">
        <v>11</v>
      </c>
      <c r="E17" s="30" t="s">
        <v>917</v>
      </c>
      <c r="F17" s="30" t="s">
        <v>193</v>
      </c>
      <c r="G17" s="30" t="s">
        <v>80</v>
      </c>
      <c r="H17" s="30">
        <v>10</v>
      </c>
      <c r="I17" s="30" t="s">
        <v>1536</v>
      </c>
      <c r="J17" s="30" t="str">
        <f t="shared" si="0"/>
        <v>done</v>
      </c>
    </row>
    <row r="18" spans="1:10" ht="45" x14ac:dyDescent="0.25">
      <c r="A18" s="30" t="s">
        <v>928</v>
      </c>
      <c r="B18" s="30" t="s">
        <v>1227</v>
      </c>
      <c r="C18" s="30" t="s">
        <v>1539</v>
      </c>
      <c r="D18" s="30">
        <v>20</v>
      </c>
      <c r="E18" s="30" t="s">
        <v>917</v>
      </c>
      <c r="F18" s="30" t="s">
        <v>1540</v>
      </c>
      <c r="G18" s="30" t="s">
        <v>79</v>
      </c>
      <c r="H18" s="30">
        <v>7</v>
      </c>
      <c r="I18" s="30" t="s">
        <v>1212</v>
      </c>
      <c r="J18" s="30" t="str">
        <f t="shared" si="0"/>
        <v>done</v>
      </c>
    </row>
    <row r="19" spans="1:10" ht="75" x14ac:dyDescent="0.25">
      <c r="A19" s="30" t="s">
        <v>929</v>
      </c>
      <c r="B19" s="30" t="s">
        <v>1228</v>
      </c>
      <c r="C19" s="30" t="s">
        <v>1541</v>
      </c>
      <c r="D19" s="30">
        <v>63</v>
      </c>
      <c r="E19" s="30" t="s">
        <v>915</v>
      </c>
      <c r="F19" s="30" t="s">
        <v>1542</v>
      </c>
      <c r="G19" s="30" t="s">
        <v>80</v>
      </c>
      <c r="H19" s="30">
        <v>0</v>
      </c>
      <c r="I19" s="30" t="s">
        <v>1209</v>
      </c>
      <c r="J19" s="30" t="str">
        <f t="shared" si="0"/>
        <v>done</v>
      </c>
    </row>
    <row r="20" spans="1:10" ht="60" x14ac:dyDescent="0.25">
      <c r="A20" s="30" t="s">
        <v>930</v>
      </c>
      <c r="B20" s="30" t="s">
        <v>1229</v>
      </c>
      <c r="C20" s="30" t="s">
        <v>1548</v>
      </c>
      <c r="D20" s="30">
        <v>91</v>
      </c>
      <c r="E20" s="30" t="s">
        <v>915</v>
      </c>
      <c r="F20" s="30" t="s">
        <v>1543</v>
      </c>
      <c r="G20" s="30" t="s">
        <v>80</v>
      </c>
      <c r="H20" s="30">
        <v>0</v>
      </c>
      <c r="I20" s="30" t="s">
        <v>1209</v>
      </c>
      <c r="J20" s="30" t="str">
        <f t="shared" si="0"/>
        <v>done</v>
      </c>
    </row>
    <row r="21" spans="1:10" ht="45" x14ac:dyDescent="0.25">
      <c r="A21" s="30" t="s">
        <v>931</v>
      </c>
      <c r="B21" s="30" t="s">
        <v>1230</v>
      </c>
      <c r="C21" s="30" t="s">
        <v>1547</v>
      </c>
      <c r="D21" s="30">
        <v>74</v>
      </c>
      <c r="E21" s="30" t="s">
        <v>915</v>
      </c>
      <c r="F21" s="30" t="s">
        <v>1544</v>
      </c>
      <c r="G21" s="30" t="s">
        <v>80</v>
      </c>
      <c r="H21" s="30">
        <v>10</v>
      </c>
      <c r="I21" s="30" t="s">
        <v>800</v>
      </c>
      <c r="J21" s="30" t="str">
        <f t="shared" si="0"/>
        <v>done</v>
      </c>
    </row>
    <row r="22" spans="1:10" ht="30" x14ac:dyDescent="0.25">
      <c r="A22" s="30" t="s">
        <v>932</v>
      </c>
      <c r="B22" s="30" t="s">
        <v>1231</v>
      </c>
      <c r="C22" s="30" t="s">
        <v>1609</v>
      </c>
      <c r="D22" s="30">
        <v>42</v>
      </c>
      <c r="E22" s="30" t="s">
        <v>913</v>
      </c>
      <c r="F22" s="30" t="s">
        <v>790</v>
      </c>
      <c r="G22" s="30" t="s">
        <v>78</v>
      </c>
      <c r="H22" s="30">
        <v>0</v>
      </c>
      <c r="I22" s="30" t="s">
        <v>1209</v>
      </c>
      <c r="J22" s="30" t="str">
        <f t="shared" si="0"/>
        <v>done</v>
      </c>
    </row>
    <row r="23" spans="1:10" x14ac:dyDescent="0.25">
      <c r="A23" s="30" t="s">
        <v>933</v>
      </c>
      <c r="B23" s="30" t="s">
        <v>1232</v>
      </c>
      <c r="C23" s="30" t="s">
        <v>1209</v>
      </c>
      <c r="D23" s="30"/>
      <c r="E23" s="30"/>
      <c r="F23" s="30"/>
      <c r="G23" s="30"/>
      <c r="H23" s="30"/>
      <c r="I23" s="30"/>
      <c r="J23" s="30" t="str">
        <f t="shared" si="0"/>
        <v>pending</v>
      </c>
    </row>
    <row r="24" spans="1:10" ht="30" x14ac:dyDescent="0.25">
      <c r="A24" s="30" t="s">
        <v>934</v>
      </c>
      <c r="B24" s="30" t="s">
        <v>1233</v>
      </c>
      <c r="C24" s="30" t="s">
        <v>1209</v>
      </c>
      <c r="D24" s="30"/>
      <c r="E24" s="30"/>
      <c r="F24" s="30"/>
      <c r="G24" s="30"/>
      <c r="H24" s="30"/>
      <c r="I24" s="30"/>
      <c r="J24" s="30" t="str">
        <f t="shared" si="0"/>
        <v>pending</v>
      </c>
    </row>
    <row r="25" spans="1:10" ht="30" x14ac:dyDescent="0.25">
      <c r="A25" s="30" t="s">
        <v>935</v>
      </c>
      <c r="B25" s="30" t="s">
        <v>1234</v>
      </c>
      <c r="C25" s="30" t="s">
        <v>1209</v>
      </c>
      <c r="D25" s="30"/>
      <c r="E25" s="30"/>
      <c r="F25" s="30"/>
      <c r="G25" s="30"/>
      <c r="H25" s="30"/>
      <c r="I25" s="30"/>
      <c r="J25" s="30" t="str">
        <f t="shared" si="0"/>
        <v>pending</v>
      </c>
    </row>
    <row r="26" spans="1:10" ht="30" x14ac:dyDescent="0.25">
      <c r="A26" s="30" t="s">
        <v>936</v>
      </c>
      <c r="B26" s="30" t="s">
        <v>1235</v>
      </c>
      <c r="C26" s="30" t="s">
        <v>1209</v>
      </c>
      <c r="D26" s="30"/>
      <c r="E26" s="30"/>
      <c r="F26" s="30"/>
      <c r="G26" s="30"/>
      <c r="H26" s="30"/>
      <c r="I26" s="30"/>
      <c r="J26" s="30" t="str">
        <f t="shared" si="0"/>
        <v>pending</v>
      </c>
    </row>
    <row r="27" spans="1:10" ht="30" x14ac:dyDescent="0.25">
      <c r="A27" s="30" t="s">
        <v>937</v>
      </c>
      <c r="B27" s="30" t="s">
        <v>1236</v>
      </c>
      <c r="C27" s="30" t="s">
        <v>1209</v>
      </c>
      <c r="D27" s="30"/>
      <c r="E27" s="30"/>
      <c r="F27" s="30"/>
      <c r="G27" s="30"/>
      <c r="H27" s="30"/>
      <c r="I27" s="30"/>
      <c r="J27" s="30" t="str">
        <f t="shared" si="0"/>
        <v>pending</v>
      </c>
    </row>
    <row r="28" spans="1:10" ht="30" x14ac:dyDescent="0.25">
      <c r="A28" s="30" t="s">
        <v>938</v>
      </c>
      <c r="B28" s="30" t="s">
        <v>1237</v>
      </c>
      <c r="C28" s="30" t="s">
        <v>1209</v>
      </c>
      <c r="D28" s="30"/>
      <c r="E28" s="30"/>
      <c r="F28" s="30"/>
      <c r="G28" s="30"/>
      <c r="H28" s="30"/>
      <c r="I28" s="30"/>
      <c r="J28" s="30" t="str">
        <f t="shared" si="0"/>
        <v>pending</v>
      </c>
    </row>
    <row r="29" spans="1:10" ht="30" x14ac:dyDescent="0.25">
      <c r="A29" s="30" t="s">
        <v>939</v>
      </c>
      <c r="B29" s="30" t="s">
        <v>1238</v>
      </c>
      <c r="C29" s="30" t="s">
        <v>1209</v>
      </c>
      <c r="D29" s="30"/>
      <c r="E29" s="30"/>
      <c r="F29" s="30"/>
      <c r="G29" s="30"/>
      <c r="H29" s="30"/>
      <c r="I29" s="30"/>
      <c r="J29" s="30" t="str">
        <f t="shared" si="0"/>
        <v>pending</v>
      </c>
    </row>
    <row r="30" spans="1:10" x14ac:dyDescent="0.25">
      <c r="A30" s="30" t="s">
        <v>940</v>
      </c>
      <c r="B30" s="30" t="s">
        <v>1239</v>
      </c>
      <c r="C30" s="30" t="s">
        <v>1209</v>
      </c>
      <c r="D30" s="30"/>
      <c r="E30" s="30"/>
      <c r="F30" s="30"/>
      <c r="G30" s="30"/>
      <c r="H30" s="30"/>
      <c r="I30" s="30"/>
      <c r="J30" s="30" t="str">
        <f t="shared" si="0"/>
        <v>pending</v>
      </c>
    </row>
    <row r="31" spans="1:10" ht="30" x14ac:dyDescent="0.25">
      <c r="A31" s="30" t="s">
        <v>941</v>
      </c>
      <c r="B31" s="30" t="s">
        <v>1240</v>
      </c>
      <c r="C31" s="30" t="s">
        <v>1209</v>
      </c>
      <c r="D31" s="30"/>
      <c r="E31" s="30"/>
      <c r="F31" s="30"/>
      <c r="G31" s="30"/>
      <c r="H31" s="30"/>
      <c r="I31" s="30"/>
      <c r="J31" s="30" t="str">
        <f t="shared" si="0"/>
        <v>pending</v>
      </c>
    </row>
    <row r="32" spans="1:10" ht="30" x14ac:dyDescent="0.25">
      <c r="A32" s="30" t="s">
        <v>942</v>
      </c>
      <c r="B32" s="30" t="s">
        <v>1241</v>
      </c>
      <c r="C32" s="30" t="s">
        <v>1209</v>
      </c>
      <c r="D32" s="30"/>
      <c r="E32" s="30"/>
      <c r="F32" s="30"/>
      <c r="G32" s="30"/>
      <c r="H32" s="30"/>
      <c r="I32" s="30"/>
      <c r="J32" s="30" t="str">
        <f t="shared" si="0"/>
        <v>pending</v>
      </c>
    </row>
    <row r="33" spans="1:10" ht="30" x14ac:dyDescent="0.25">
      <c r="A33" s="30" t="s">
        <v>943</v>
      </c>
      <c r="B33" s="30" t="s">
        <v>1242</v>
      </c>
      <c r="C33" s="30" t="s">
        <v>1209</v>
      </c>
      <c r="D33" s="30"/>
      <c r="E33" s="30"/>
      <c r="F33" s="30"/>
      <c r="G33" s="30"/>
      <c r="H33" s="30"/>
      <c r="I33" s="30"/>
      <c r="J33" s="30" t="str">
        <f t="shared" si="0"/>
        <v>pending</v>
      </c>
    </row>
    <row r="34" spans="1:10" ht="30" x14ac:dyDescent="0.25">
      <c r="A34" s="30" t="s">
        <v>944</v>
      </c>
      <c r="B34" s="30" t="s">
        <v>1243</v>
      </c>
      <c r="C34" s="30" t="s">
        <v>1209</v>
      </c>
      <c r="D34" s="30"/>
      <c r="E34" s="30"/>
      <c r="F34" s="30"/>
      <c r="G34" s="30"/>
      <c r="H34" s="30"/>
      <c r="I34" s="30"/>
      <c r="J34" s="30" t="str">
        <f t="shared" si="0"/>
        <v>pending</v>
      </c>
    </row>
    <row r="35" spans="1:10" ht="30" x14ac:dyDescent="0.25">
      <c r="A35" s="30" t="s">
        <v>945</v>
      </c>
      <c r="B35" s="30" t="s">
        <v>1244</v>
      </c>
      <c r="C35" s="30" t="s">
        <v>1209</v>
      </c>
      <c r="D35" s="30"/>
      <c r="E35" s="30"/>
      <c r="F35" s="30"/>
      <c r="G35" s="30"/>
      <c r="H35" s="30"/>
      <c r="I35" s="30"/>
      <c r="J35" s="30" t="str">
        <f t="shared" si="0"/>
        <v>pending</v>
      </c>
    </row>
    <row r="36" spans="1:10" x14ac:dyDescent="0.25">
      <c r="A36" s="30" t="s">
        <v>946</v>
      </c>
      <c r="B36" s="30" t="s">
        <v>1245</v>
      </c>
      <c r="C36" s="30" t="s">
        <v>1209</v>
      </c>
      <c r="D36" s="30"/>
      <c r="E36" s="30"/>
      <c r="F36" s="30"/>
      <c r="G36" s="30"/>
      <c r="H36" s="30"/>
      <c r="I36" s="30"/>
      <c r="J36" s="30" t="str">
        <f t="shared" si="0"/>
        <v>pending</v>
      </c>
    </row>
    <row r="37" spans="1:10" x14ac:dyDescent="0.25">
      <c r="A37" s="30" t="s">
        <v>947</v>
      </c>
      <c r="B37" s="30" t="s">
        <v>1246</v>
      </c>
      <c r="C37" s="30" t="s">
        <v>1209</v>
      </c>
      <c r="D37" s="30"/>
      <c r="E37" s="30"/>
      <c r="F37" s="30"/>
      <c r="G37" s="30"/>
      <c r="H37" s="30"/>
      <c r="I37" s="30"/>
      <c r="J37" s="30" t="str">
        <f t="shared" si="0"/>
        <v>pending</v>
      </c>
    </row>
    <row r="38" spans="1:10" x14ac:dyDescent="0.25">
      <c r="A38" s="30" t="s">
        <v>948</v>
      </c>
      <c r="B38" s="30" t="s">
        <v>1247</v>
      </c>
      <c r="C38" s="30" t="s">
        <v>1209</v>
      </c>
      <c r="D38" s="30"/>
      <c r="E38" s="30"/>
      <c r="F38" s="30"/>
      <c r="G38" s="30"/>
      <c r="H38" s="30"/>
      <c r="I38" s="30"/>
      <c r="J38" s="30" t="str">
        <f t="shared" si="0"/>
        <v>pending</v>
      </c>
    </row>
    <row r="39" spans="1:10" x14ac:dyDescent="0.25">
      <c r="A39" s="30" t="s">
        <v>949</v>
      </c>
      <c r="B39" s="30" t="s">
        <v>1248</v>
      </c>
      <c r="C39" s="30" t="s">
        <v>1209</v>
      </c>
      <c r="D39" s="30"/>
      <c r="E39" s="30"/>
      <c r="F39" s="30"/>
      <c r="G39" s="30"/>
      <c r="H39" s="30"/>
      <c r="I39" s="30"/>
      <c r="J39" s="30" t="str">
        <f t="shared" si="0"/>
        <v>pending</v>
      </c>
    </row>
    <row r="40" spans="1:10" ht="30" x14ac:dyDescent="0.25">
      <c r="A40" s="30" t="s">
        <v>950</v>
      </c>
      <c r="B40" s="30" t="s">
        <v>1249</v>
      </c>
      <c r="C40" s="30" t="s">
        <v>1209</v>
      </c>
      <c r="D40" s="30"/>
      <c r="E40" s="30"/>
      <c r="F40" s="30"/>
      <c r="G40" s="30"/>
      <c r="H40" s="30"/>
      <c r="I40" s="30"/>
      <c r="J40" s="30" t="str">
        <f t="shared" si="0"/>
        <v>pending</v>
      </c>
    </row>
    <row r="41" spans="1:10" ht="30" x14ac:dyDescent="0.25">
      <c r="A41" s="30" t="s">
        <v>951</v>
      </c>
      <c r="B41" s="30" t="s">
        <v>1250</v>
      </c>
      <c r="C41" s="30" t="s">
        <v>1209</v>
      </c>
      <c r="D41" s="30"/>
      <c r="E41" s="30"/>
      <c r="F41" s="30"/>
      <c r="G41" s="30"/>
      <c r="H41" s="30"/>
      <c r="I41" s="30"/>
      <c r="J41" s="30" t="str">
        <f t="shared" si="0"/>
        <v>pending</v>
      </c>
    </row>
    <row r="42" spans="1:10" x14ac:dyDescent="0.25">
      <c r="A42" s="30" t="s">
        <v>952</v>
      </c>
      <c r="B42" s="30" t="s">
        <v>1251</v>
      </c>
      <c r="C42" s="30" t="s">
        <v>1209</v>
      </c>
      <c r="D42" s="30"/>
      <c r="E42" s="30"/>
      <c r="F42" s="30"/>
      <c r="G42" s="30"/>
      <c r="H42" s="30"/>
      <c r="I42" s="30"/>
      <c r="J42" s="30" t="str">
        <f t="shared" si="0"/>
        <v>pending</v>
      </c>
    </row>
    <row r="43" spans="1:10" x14ac:dyDescent="0.25">
      <c r="A43" s="30" t="s">
        <v>953</v>
      </c>
      <c r="B43" s="30" t="s">
        <v>1252</v>
      </c>
      <c r="C43" s="30" t="s">
        <v>1209</v>
      </c>
      <c r="D43" s="30"/>
      <c r="E43" s="30"/>
      <c r="F43" s="30"/>
      <c r="G43" s="30"/>
      <c r="H43" s="30"/>
      <c r="I43" s="30"/>
      <c r="J43" s="30" t="str">
        <f t="shared" si="0"/>
        <v>pending</v>
      </c>
    </row>
    <row r="44" spans="1:10" ht="30" x14ac:dyDescent="0.25">
      <c r="A44" s="30" t="s">
        <v>954</v>
      </c>
      <c r="B44" s="30" t="s">
        <v>1253</v>
      </c>
      <c r="C44" s="30" t="s">
        <v>1209</v>
      </c>
      <c r="D44" s="30"/>
      <c r="E44" s="30"/>
      <c r="F44" s="30"/>
      <c r="G44" s="30"/>
      <c r="H44" s="30"/>
      <c r="I44" s="30"/>
      <c r="J44" s="30" t="str">
        <f t="shared" si="0"/>
        <v>pending</v>
      </c>
    </row>
    <row r="45" spans="1:10" x14ac:dyDescent="0.25">
      <c r="A45" s="30" t="s">
        <v>955</v>
      </c>
      <c r="B45" s="30" t="s">
        <v>1254</v>
      </c>
      <c r="C45" s="30" t="s">
        <v>1209</v>
      </c>
      <c r="D45" s="30"/>
      <c r="E45" s="30"/>
      <c r="F45" s="30"/>
      <c r="G45" s="30"/>
      <c r="H45" s="30"/>
      <c r="I45" s="30"/>
      <c r="J45" s="30" t="str">
        <f t="shared" si="0"/>
        <v>pending</v>
      </c>
    </row>
    <row r="46" spans="1:10" x14ac:dyDescent="0.25">
      <c r="A46" s="30" t="s">
        <v>956</v>
      </c>
      <c r="B46" s="30" t="s">
        <v>1255</v>
      </c>
      <c r="C46" s="30" t="s">
        <v>1209</v>
      </c>
      <c r="D46" s="30"/>
      <c r="E46" s="30"/>
      <c r="F46" s="30"/>
      <c r="G46" s="30"/>
      <c r="H46" s="30"/>
      <c r="I46" s="30"/>
      <c r="J46" s="30" t="str">
        <f t="shared" si="0"/>
        <v>pending</v>
      </c>
    </row>
    <row r="47" spans="1:10" x14ac:dyDescent="0.25">
      <c r="A47" s="30" t="s">
        <v>957</v>
      </c>
      <c r="B47" s="30" t="s">
        <v>1256</v>
      </c>
      <c r="C47" s="30" t="s">
        <v>1209</v>
      </c>
      <c r="D47" s="30"/>
      <c r="E47" s="30"/>
      <c r="F47" s="30"/>
      <c r="G47" s="30"/>
      <c r="H47" s="30"/>
      <c r="I47" s="30"/>
      <c r="J47" s="30" t="str">
        <f t="shared" si="0"/>
        <v>pending</v>
      </c>
    </row>
    <row r="48" spans="1:10" ht="30" x14ac:dyDescent="0.25">
      <c r="A48" s="30" t="s">
        <v>958</v>
      </c>
      <c r="B48" s="30" t="s">
        <v>1257</v>
      </c>
      <c r="C48" s="30" t="s">
        <v>1209</v>
      </c>
      <c r="D48" s="30"/>
      <c r="E48" s="30"/>
      <c r="F48" s="30"/>
      <c r="G48" s="30"/>
      <c r="H48" s="30"/>
      <c r="I48" s="30"/>
      <c r="J48" s="30" t="str">
        <f t="shared" si="0"/>
        <v>pending</v>
      </c>
    </row>
    <row r="49" spans="1:10" ht="30" x14ac:dyDescent="0.25">
      <c r="A49" s="30" t="s">
        <v>959</v>
      </c>
      <c r="B49" s="30" t="s">
        <v>1258</v>
      </c>
      <c r="C49" s="30" t="s">
        <v>1209</v>
      </c>
      <c r="D49" s="30"/>
      <c r="E49" s="30"/>
      <c r="F49" s="30"/>
      <c r="G49" s="30"/>
      <c r="H49" s="30"/>
      <c r="I49" s="30"/>
      <c r="J49" s="30" t="str">
        <f t="shared" si="0"/>
        <v>pending</v>
      </c>
    </row>
    <row r="50" spans="1:10" ht="30" x14ac:dyDescent="0.25">
      <c r="A50" s="30" t="s">
        <v>960</v>
      </c>
      <c r="B50" s="30" t="s">
        <v>1259</v>
      </c>
      <c r="C50" s="30" t="s">
        <v>1209</v>
      </c>
      <c r="D50" s="30"/>
      <c r="E50" s="30"/>
      <c r="F50" s="30"/>
      <c r="G50" s="30"/>
      <c r="H50" s="30"/>
      <c r="I50" s="30"/>
      <c r="J50" s="30" t="str">
        <f t="shared" si="0"/>
        <v>pending</v>
      </c>
    </row>
    <row r="51" spans="1:10" ht="30" x14ac:dyDescent="0.25">
      <c r="A51" s="30" t="s">
        <v>961</v>
      </c>
      <c r="B51" s="30" t="s">
        <v>1260</v>
      </c>
      <c r="C51" s="30" t="s">
        <v>1209</v>
      </c>
      <c r="D51" s="30"/>
      <c r="E51" s="30"/>
      <c r="F51" s="30"/>
      <c r="G51" s="30"/>
      <c r="H51" s="30"/>
      <c r="I51" s="30"/>
      <c r="J51" s="30" t="str">
        <f t="shared" si="0"/>
        <v>pending</v>
      </c>
    </row>
    <row r="52" spans="1:10" x14ac:dyDescent="0.25">
      <c r="A52" s="30" t="s">
        <v>962</v>
      </c>
      <c r="B52" s="30" t="s">
        <v>1261</v>
      </c>
      <c r="C52" s="30" t="s">
        <v>1209</v>
      </c>
      <c r="D52" s="30"/>
      <c r="E52" s="30"/>
      <c r="F52" s="30"/>
      <c r="G52" s="30"/>
      <c r="H52" s="30"/>
      <c r="I52" s="30"/>
      <c r="J52" s="30" t="str">
        <f t="shared" si="0"/>
        <v>pending</v>
      </c>
    </row>
    <row r="53" spans="1:10" ht="45" x14ac:dyDescent="0.25">
      <c r="A53" s="30" t="s">
        <v>963</v>
      </c>
      <c r="B53" s="30" t="s">
        <v>1262</v>
      </c>
      <c r="C53" s="30" t="s">
        <v>1209</v>
      </c>
      <c r="D53" s="30"/>
      <c r="E53" s="30"/>
      <c r="F53" s="30"/>
      <c r="G53" s="30"/>
      <c r="H53" s="30"/>
      <c r="I53" s="30"/>
      <c r="J53" s="30" t="str">
        <f t="shared" si="0"/>
        <v>pending</v>
      </c>
    </row>
    <row r="54" spans="1:10" x14ac:dyDescent="0.25">
      <c r="A54" s="30" t="s">
        <v>964</v>
      </c>
      <c r="B54" s="30" t="s">
        <v>1263</v>
      </c>
      <c r="C54" s="30" t="s">
        <v>1209</v>
      </c>
      <c r="D54" s="30"/>
      <c r="E54" s="30"/>
      <c r="F54" s="30"/>
      <c r="G54" s="30"/>
      <c r="H54" s="30"/>
      <c r="I54" s="30"/>
      <c r="J54" s="30" t="str">
        <f t="shared" si="0"/>
        <v>pending</v>
      </c>
    </row>
    <row r="55" spans="1:10" ht="30" x14ac:dyDescent="0.25">
      <c r="A55" s="30" t="s">
        <v>965</v>
      </c>
      <c r="B55" s="30" t="s">
        <v>1264</v>
      </c>
      <c r="C55" s="30" t="s">
        <v>1209</v>
      </c>
      <c r="D55" s="30"/>
      <c r="E55" s="30"/>
      <c r="F55" s="30"/>
      <c r="G55" s="30"/>
      <c r="H55" s="30"/>
      <c r="I55" s="30"/>
      <c r="J55" s="30" t="str">
        <f t="shared" si="0"/>
        <v>pending</v>
      </c>
    </row>
    <row r="56" spans="1:10" ht="30" x14ac:dyDescent="0.25">
      <c r="A56" s="30" t="s">
        <v>966</v>
      </c>
      <c r="B56" s="30" t="s">
        <v>1265</v>
      </c>
      <c r="C56" s="30" t="s">
        <v>1209</v>
      </c>
      <c r="D56" s="30"/>
      <c r="E56" s="30"/>
      <c r="F56" s="30"/>
      <c r="G56" s="30"/>
      <c r="H56" s="30"/>
      <c r="I56" s="30"/>
      <c r="J56" s="30" t="str">
        <f t="shared" si="0"/>
        <v>pending</v>
      </c>
    </row>
    <row r="57" spans="1:10" ht="45" x14ac:dyDescent="0.25">
      <c r="A57" s="30" t="s">
        <v>967</v>
      </c>
      <c r="B57" s="30" t="s">
        <v>1266</v>
      </c>
      <c r="C57" s="30" t="s">
        <v>1209</v>
      </c>
      <c r="D57" s="30"/>
      <c r="E57" s="30"/>
      <c r="F57" s="30"/>
      <c r="G57" s="30"/>
      <c r="H57" s="30"/>
      <c r="I57" s="30"/>
      <c r="J57" s="30" t="str">
        <f t="shared" si="0"/>
        <v>pending</v>
      </c>
    </row>
    <row r="58" spans="1:10" x14ac:dyDescent="0.25">
      <c r="A58" s="30" t="s">
        <v>968</v>
      </c>
      <c r="B58" s="30" t="s">
        <v>1267</v>
      </c>
      <c r="C58" s="30" t="s">
        <v>1209</v>
      </c>
      <c r="D58" s="30"/>
      <c r="E58" s="30"/>
      <c r="F58" s="30"/>
      <c r="G58" s="30"/>
      <c r="H58" s="30"/>
      <c r="I58" s="30"/>
      <c r="J58" s="30" t="str">
        <f t="shared" si="0"/>
        <v>pending</v>
      </c>
    </row>
    <row r="59" spans="1:10" ht="30" x14ac:dyDescent="0.25">
      <c r="A59" s="30" t="s">
        <v>969</v>
      </c>
      <c r="B59" s="30" t="s">
        <v>1268</v>
      </c>
      <c r="C59" s="30" t="s">
        <v>1209</v>
      </c>
      <c r="D59" s="30"/>
      <c r="E59" s="30"/>
      <c r="F59" s="30"/>
      <c r="G59" s="30"/>
      <c r="H59" s="30"/>
      <c r="I59" s="30"/>
      <c r="J59" s="30" t="str">
        <f t="shared" si="0"/>
        <v>pending</v>
      </c>
    </row>
    <row r="60" spans="1:10" x14ac:dyDescent="0.25">
      <c r="A60" s="30" t="s">
        <v>970</v>
      </c>
      <c r="B60" s="30" t="s">
        <v>1269</v>
      </c>
      <c r="C60" s="30" t="s">
        <v>1209</v>
      </c>
      <c r="D60" s="30"/>
      <c r="E60" s="30"/>
      <c r="F60" s="30"/>
      <c r="G60" s="30"/>
      <c r="H60" s="30"/>
      <c r="I60" s="30"/>
      <c r="J60" s="30" t="str">
        <f t="shared" si="0"/>
        <v>pending</v>
      </c>
    </row>
    <row r="61" spans="1:10" x14ac:dyDescent="0.25">
      <c r="A61" s="30" t="s">
        <v>971</v>
      </c>
      <c r="B61" s="30" t="s">
        <v>1270</v>
      </c>
      <c r="C61" s="30" t="s">
        <v>1209</v>
      </c>
      <c r="D61" s="30"/>
      <c r="E61" s="30"/>
      <c r="F61" s="30"/>
      <c r="G61" s="30"/>
      <c r="H61" s="30"/>
      <c r="I61" s="30"/>
      <c r="J61" s="30" t="str">
        <f t="shared" si="0"/>
        <v>pending</v>
      </c>
    </row>
    <row r="62" spans="1:10" ht="30" x14ac:dyDescent="0.25">
      <c r="A62" s="30" t="s">
        <v>972</v>
      </c>
      <c r="B62" s="30" t="s">
        <v>1271</v>
      </c>
      <c r="C62" s="30" t="s">
        <v>1209</v>
      </c>
      <c r="D62" s="30"/>
      <c r="E62" s="30"/>
      <c r="F62" s="30"/>
      <c r="G62" s="30"/>
      <c r="H62" s="30"/>
      <c r="I62" s="30"/>
      <c r="J62" s="30" t="str">
        <f t="shared" si="0"/>
        <v>pending</v>
      </c>
    </row>
    <row r="63" spans="1:10" ht="30" x14ac:dyDescent="0.25">
      <c r="A63" s="30" t="s">
        <v>973</v>
      </c>
      <c r="B63" s="30" t="s">
        <v>1272</v>
      </c>
      <c r="C63" s="30" t="s">
        <v>1209</v>
      </c>
      <c r="D63" s="30"/>
      <c r="E63" s="30"/>
      <c r="F63" s="30"/>
      <c r="G63" s="30"/>
      <c r="H63" s="30"/>
      <c r="I63" s="30"/>
      <c r="J63" s="30" t="str">
        <f t="shared" si="0"/>
        <v>pending</v>
      </c>
    </row>
    <row r="64" spans="1:10" ht="30" x14ac:dyDescent="0.25">
      <c r="A64" s="30" t="s">
        <v>974</v>
      </c>
      <c r="B64" s="30" t="s">
        <v>1273</v>
      </c>
      <c r="C64" s="30" t="s">
        <v>1209</v>
      </c>
      <c r="D64" s="30"/>
      <c r="E64" s="30"/>
      <c r="F64" s="30"/>
      <c r="G64" s="30"/>
      <c r="H64" s="30"/>
      <c r="I64" s="30"/>
      <c r="J64" s="30" t="str">
        <f t="shared" si="0"/>
        <v>pending</v>
      </c>
    </row>
    <row r="65" spans="1:10" x14ac:dyDescent="0.25">
      <c r="A65" s="30" t="s">
        <v>975</v>
      </c>
      <c r="B65" s="30" t="s">
        <v>1212</v>
      </c>
      <c r="C65" s="30" t="s">
        <v>1209</v>
      </c>
      <c r="D65" s="30"/>
      <c r="E65" s="30"/>
      <c r="F65" s="30"/>
      <c r="G65" s="30"/>
      <c r="H65" s="30"/>
      <c r="I65" s="30"/>
      <c r="J65" s="30" t="str">
        <f t="shared" si="0"/>
        <v>pending</v>
      </c>
    </row>
    <row r="66" spans="1:10" ht="30" x14ac:dyDescent="0.25">
      <c r="A66" s="30" t="s">
        <v>976</v>
      </c>
      <c r="B66" s="30" t="s">
        <v>1274</v>
      </c>
      <c r="C66" s="30" t="s">
        <v>1209</v>
      </c>
      <c r="D66" s="30"/>
      <c r="E66" s="30"/>
      <c r="F66" s="30"/>
      <c r="G66" s="30"/>
      <c r="H66" s="30"/>
      <c r="I66" s="30"/>
      <c r="J66" s="30" t="str">
        <f t="shared" si="0"/>
        <v>pending</v>
      </c>
    </row>
    <row r="67" spans="1:10" x14ac:dyDescent="0.25">
      <c r="A67" s="30" t="s">
        <v>977</v>
      </c>
      <c r="B67" s="30" t="s">
        <v>260</v>
      </c>
      <c r="C67" s="30" t="s">
        <v>1209</v>
      </c>
      <c r="D67" s="30"/>
      <c r="E67" s="30"/>
      <c r="F67" s="30"/>
      <c r="G67" s="30"/>
      <c r="H67" s="30"/>
      <c r="I67" s="30"/>
      <c r="J67" s="30" t="str">
        <f t="shared" ref="J67:J130" si="1">IF(C67&lt;&gt;"-","done","pending")</f>
        <v>pending</v>
      </c>
    </row>
    <row r="68" spans="1:10" ht="30" x14ac:dyDescent="0.25">
      <c r="A68" s="30" t="s">
        <v>978</v>
      </c>
      <c r="B68" s="30" t="s">
        <v>1275</v>
      </c>
      <c r="C68" s="30" t="s">
        <v>1209</v>
      </c>
      <c r="D68" s="30"/>
      <c r="E68" s="30"/>
      <c r="F68" s="30"/>
      <c r="G68" s="30"/>
      <c r="H68" s="30"/>
      <c r="I68" s="30"/>
      <c r="J68" s="30" t="str">
        <f t="shared" si="1"/>
        <v>pending</v>
      </c>
    </row>
    <row r="69" spans="1:10" ht="30" x14ac:dyDescent="0.25">
      <c r="A69" s="30" t="s">
        <v>979</v>
      </c>
      <c r="B69" s="30" t="s">
        <v>1276</v>
      </c>
      <c r="C69" s="30" t="s">
        <v>1209</v>
      </c>
      <c r="D69" s="30"/>
      <c r="E69" s="30"/>
      <c r="F69" s="30"/>
      <c r="G69" s="30"/>
      <c r="H69" s="30"/>
      <c r="I69" s="30"/>
      <c r="J69" s="30" t="str">
        <f t="shared" si="1"/>
        <v>pending</v>
      </c>
    </row>
    <row r="70" spans="1:10" ht="30" x14ac:dyDescent="0.25">
      <c r="A70" s="30" t="s">
        <v>980</v>
      </c>
      <c r="B70" s="30" t="s">
        <v>1277</v>
      </c>
      <c r="C70" s="30" t="s">
        <v>1209</v>
      </c>
      <c r="D70" s="30"/>
      <c r="E70" s="30"/>
      <c r="F70" s="30"/>
      <c r="G70" s="30"/>
      <c r="H70" s="30"/>
      <c r="I70" s="30"/>
      <c r="J70" s="30" t="str">
        <f t="shared" si="1"/>
        <v>pending</v>
      </c>
    </row>
    <row r="71" spans="1:10" ht="30" x14ac:dyDescent="0.25">
      <c r="A71" s="30" t="s">
        <v>981</v>
      </c>
      <c r="B71" s="30" t="s">
        <v>1278</v>
      </c>
      <c r="C71" s="30" t="s">
        <v>1209</v>
      </c>
      <c r="D71" s="30"/>
      <c r="E71" s="30"/>
      <c r="F71" s="30"/>
      <c r="G71" s="30"/>
      <c r="H71" s="30"/>
      <c r="I71" s="30"/>
      <c r="J71" s="30" t="str">
        <f t="shared" si="1"/>
        <v>pending</v>
      </c>
    </row>
    <row r="72" spans="1:10" ht="30" x14ac:dyDescent="0.25">
      <c r="A72" s="30" t="s">
        <v>982</v>
      </c>
      <c r="B72" s="30" t="s">
        <v>1279</v>
      </c>
      <c r="C72" s="30" t="s">
        <v>1209</v>
      </c>
      <c r="D72" s="30"/>
      <c r="E72" s="30"/>
      <c r="F72" s="30"/>
      <c r="G72" s="30"/>
      <c r="H72" s="30"/>
      <c r="I72" s="30"/>
      <c r="J72" s="30" t="str">
        <f t="shared" si="1"/>
        <v>pending</v>
      </c>
    </row>
    <row r="73" spans="1:10" ht="30" x14ac:dyDescent="0.25">
      <c r="A73" s="30" t="s">
        <v>983</v>
      </c>
      <c r="B73" s="30" t="s">
        <v>1280</v>
      </c>
      <c r="C73" s="30" t="s">
        <v>1209</v>
      </c>
      <c r="D73" s="30"/>
      <c r="E73" s="30"/>
      <c r="F73" s="30"/>
      <c r="G73" s="30"/>
      <c r="H73" s="30"/>
      <c r="I73" s="30"/>
      <c r="J73" s="30" t="str">
        <f t="shared" si="1"/>
        <v>pending</v>
      </c>
    </row>
    <row r="74" spans="1:10" ht="30" x14ac:dyDescent="0.25">
      <c r="A74" s="30" t="s">
        <v>984</v>
      </c>
      <c r="B74" s="30" t="s">
        <v>1281</v>
      </c>
      <c r="C74" s="30" t="s">
        <v>1209</v>
      </c>
      <c r="D74" s="30"/>
      <c r="E74" s="30"/>
      <c r="F74" s="30"/>
      <c r="G74" s="30"/>
      <c r="H74" s="30"/>
      <c r="I74" s="30"/>
      <c r="J74" s="30" t="str">
        <f t="shared" si="1"/>
        <v>pending</v>
      </c>
    </row>
    <row r="75" spans="1:10" ht="30" x14ac:dyDescent="0.25">
      <c r="A75" s="30" t="s">
        <v>985</v>
      </c>
      <c r="B75" s="30" t="s">
        <v>1282</v>
      </c>
      <c r="C75" s="30" t="s">
        <v>1209</v>
      </c>
      <c r="D75" s="30"/>
      <c r="E75" s="30"/>
      <c r="F75" s="30"/>
      <c r="G75" s="30"/>
      <c r="H75" s="30"/>
      <c r="I75" s="30"/>
      <c r="J75" s="30" t="str">
        <f t="shared" si="1"/>
        <v>pending</v>
      </c>
    </row>
    <row r="76" spans="1:10" x14ac:dyDescent="0.25">
      <c r="A76" s="30" t="s">
        <v>986</v>
      </c>
      <c r="B76" s="30" t="s">
        <v>1283</v>
      </c>
      <c r="C76" s="30" t="s">
        <v>1209</v>
      </c>
      <c r="D76" s="30"/>
      <c r="E76" s="30"/>
      <c r="F76" s="30"/>
      <c r="G76" s="30"/>
      <c r="H76" s="30"/>
      <c r="I76" s="30"/>
      <c r="J76" s="30" t="str">
        <f t="shared" si="1"/>
        <v>pending</v>
      </c>
    </row>
    <row r="77" spans="1:10" ht="30" x14ac:dyDescent="0.25">
      <c r="A77" s="30" t="s">
        <v>987</v>
      </c>
      <c r="B77" s="30" t="s">
        <v>1284</v>
      </c>
      <c r="C77" s="30" t="s">
        <v>1209</v>
      </c>
      <c r="D77" s="30"/>
      <c r="E77" s="30"/>
      <c r="F77" s="30"/>
      <c r="G77" s="30"/>
      <c r="H77" s="30"/>
      <c r="I77" s="30"/>
      <c r="J77" s="30" t="str">
        <f t="shared" si="1"/>
        <v>pending</v>
      </c>
    </row>
    <row r="78" spans="1:10" ht="30" x14ac:dyDescent="0.25">
      <c r="A78" s="30" t="s">
        <v>988</v>
      </c>
      <c r="B78" s="30" t="s">
        <v>1285</v>
      </c>
      <c r="C78" s="30" t="s">
        <v>1209</v>
      </c>
      <c r="D78" s="30"/>
      <c r="E78" s="30"/>
      <c r="F78" s="30"/>
      <c r="G78" s="30"/>
      <c r="H78" s="30"/>
      <c r="I78" s="30"/>
      <c r="J78" s="30" t="str">
        <f t="shared" si="1"/>
        <v>pending</v>
      </c>
    </row>
    <row r="79" spans="1:10" ht="30" x14ac:dyDescent="0.25">
      <c r="A79" s="30" t="s">
        <v>989</v>
      </c>
      <c r="B79" s="30" t="s">
        <v>1286</v>
      </c>
      <c r="C79" s="30" t="s">
        <v>1209</v>
      </c>
      <c r="D79" s="30"/>
      <c r="E79" s="30"/>
      <c r="F79" s="30"/>
      <c r="G79" s="30"/>
      <c r="H79" s="30"/>
      <c r="I79" s="30"/>
      <c r="J79" s="30" t="str">
        <f t="shared" si="1"/>
        <v>pending</v>
      </c>
    </row>
    <row r="80" spans="1:10" ht="30" x14ac:dyDescent="0.25">
      <c r="A80" s="30" t="s">
        <v>990</v>
      </c>
      <c r="B80" s="30" t="s">
        <v>1287</v>
      </c>
      <c r="C80" s="30" t="s">
        <v>1209</v>
      </c>
      <c r="D80" s="30"/>
      <c r="E80" s="30"/>
      <c r="F80" s="30"/>
      <c r="G80" s="30"/>
      <c r="H80" s="30"/>
      <c r="I80" s="30"/>
      <c r="J80" s="30" t="str">
        <f t="shared" si="1"/>
        <v>pending</v>
      </c>
    </row>
    <row r="81" spans="1:10" ht="30" x14ac:dyDescent="0.25">
      <c r="A81" s="30" t="s">
        <v>991</v>
      </c>
      <c r="B81" s="30" t="s">
        <v>1288</v>
      </c>
      <c r="C81" s="30" t="s">
        <v>1209</v>
      </c>
      <c r="D81" s="30"/>
      <c r="E81" s="30"/>
      <c r="F81" s="30"/>
      <c r="G81" s="30"/>
      <c r="H81" s="30"/>
      <c r="I81" s="30"/>
      <c r="J81" s="30" t="str">
        <f t="shared" si="1"/>
        <v>pending</v>
      </c>
    </row>
    <row r="82" spans="1:10" ht="30" x14ac:dyDescent="0.25">
      <c r="A82" s="30" t="s">
        <v>992</v>
      </c>
      <c r="B82" s="30" t="s">
        <v>1289</v>
      </c>
      <c r="C82" s="30" t="s">
        <v>1209</v>
      </c>
      <c r="D82" s="30"/>
      <c r="E82" s="30"/>
      <c r="F82" s="30"/>
      <c r="G82" s="30"/>
      <c r="H82" s="30"/>
      <c r="I82" s="30"/>
      <c r="J82" s="30" t="str">
        <f t="shared" si="1"/>
        <v>pending</v>
      </c>
    </row>
    <row r="83" spans="1:10" ht="30" x14ac:dyDescent="0.25">
      <c r="A83" s="30" t="s">
        <v>993</v>
      </c>
      <c r="B83" s="30" t="s">
        <v>1290</v>
      </c>
      <c r="C83" s="30" t="s">
        <v>1209</v>
      </c>
      <c r="D83" s="30"/>
      <c r="E83" s="30"/>
      <c r="F83" s="30"/>
      <c r="G83" s="30"/>
      <c r="H83" s="30"/>
      <c r="I83" s="30"/>
      <c r="J83" s="30" t="str">
        <f t="shared" si="1"/>
        <v>pending</v>
      </c>
    </row>
    <row r="84" spans="1:10" x14ac:dyDescent="0.25">
      <c r="A84" s="30" t="s">
        <v>994</v>
      </c>
      <c r="B84" s="30" t="s">
        <v>1291</v>
      </c>
      <c r="C84" s="30" t="s">
        <v>1209</v>
      </c>
      <c r="D84" s="30"/>
      <c r="E84" s="30"/>
      <c r="F84" s="30"/>
      <c r="G84" s="30"/>
      <c r="H84" s="30"/>
      <c r="I84" s="30"/>
      <c r="J84" s="30" t="str">
        <f t="shared" si="1"/>
        <v>pending</v>
      </c>
    </row>
    <row r="85" spans="1:10" ht="30" x14ac:dyDescent="0.25">
      <c r="A85" s="30" t="s">
        <v>995</v>
      </c>
      <c r="B85" s="30" t="s">
        <v>1292</v>
      </c>
      <c r="C85" s="30" t="s">
        <v>1537</v>
      </c>
      <c r="D85" s="30">
        <v>26</v>
      </c>
      <c r="E85" s="30" t="s">
        <v>917</v>
      </c>
      <c r="F85" s="30" t="s">
        <v>1538</v>
      </c>
      <c r="G85" s="30" t="s">
        <v>78</v>
      </c>
      <c r="H85" s="30">
        <v>6</v>
      </c>
      <c r="I85" s="30" t="s">
        <v>1212</v>
      </c>
      <c r="J85" s="30" t="str">
        <f t="shared" si="1"/>
        <v>done</v>
      </c>
    </row>
    <row r="86" spans="1:10" ht="30" x14ac:dyDescent="0.25">
      <c r="A86" s="30" t="s">
        <v>996</v>
      </c>
      <c r="B86" s="30" t="s">
        <v>1293</v>
      </c>
      <c r="C86" s="30" t="s">
        <v>1209</v>
      </c>
      <c r="D86" s="30"/>
      <c r="E86" s="30"/>
      <c r="F86" s="30"/>
      <c r="G86" s="30"/>
      <c r="H86" s="30"/>
      <c r="I86" s="30"/>
      <c r="J86" s="30" t="str">
        <f t="shared" si="1"/>
        <v>pending</v>
      </c>
    </row>
    <row r="87" spans="1:10" ht="30" x14ac:dyDescent="0.25">
      <c r="A87" s="30" t="s">
        <v>997</v>
      </c>
      <c r="B87" s="30" t="s">
        <v>1294</v>
      </c>
      <c r="C87" s="30" t="s">
        <v>1209</v>
      </c>
      <c r="D87" s="30"/>
      <c r="E87" s="30"/>
      <c r="F87" s="30"/>
      <c r="G87" s="30"/>
      <c r="H87" s="30"/>
      <c r="I87" s="30"/>
      <c r="J87" s="30" t="str">
        <f t="shared" si="1"/>
        <v>pending</v>
      </c>
    </row>
    <row r="88" spans="1:10" x14ac:dyDescent="0.25">
      <c r="A88" s="30" t="s">
        <v>998</v>
      </c>
      <c r="B88" s="30" t="s">
        <v>1295</v>
      </c>
      <c r="C88" s="30" t="s">
        <v>1209</v>
      </c>
      <c r="D88" s="30"/>
      <c r="E88" s="30"/>
      <c r="F88" s="30"/>
      <c r="G88" s="30"/>
      <c r="H88" s="30"/>
      <c r="I88" s="30"/>
      <c r="J88" s="30" t="str">
        <f t="shared" si="1"/>
        <v>pending</v>
      </c>
    </row>
    <row r="89" spans="1:10" ht="30" x14ac:dyDescent="0.25">
      <c r="A89" s="30" t="s">
        <v>999</v>
      </c>
      <c r="B89" s="30" t="s">
        <v>1296</v>
      </c>
      <c r="C89" s="30" t="s">
        <v>1209</v>
      </c>
      <c r="D89" s="30"/>
      <c r="E89" s="30"/>
      <c r="F89" s="30"/>
      <c r="G89" s="30"/>
      <c r="H89" s="30"/>
      <c r="I89" s="30"/>
      <c r="J89" s="30" t="str">
        <f t="shared" si="1"/>
        <v>pending</v>
      </c>
    </row>
    <row r="90" spans="1:10" ht="30" x14ac:dyDescent="0.25">
      <c r="A90" s="30" t="s">
        <v>1000</v>
      </c>
      <c r="B90" s="30" t="s">
        <v>1297</v>
      </c>
      <c r="C90" s="30" t="s">
        <v>1209</v>
      </c>
      <c r="D90" s="30"/>
      <c r="E90" s="30"/>
      <c r="F90" s="30"/>
      <c r="G90" s="30"/>
      <c r="H90" s="30"/>
      <c r="I90" s="30"/>
      <c r="J90" s="30" t="str">
        <f t="shared" si="1"/>
        <v>pending</v>
      </c>
    </row>
    <row r="91" spans="1:10" ht="30" x14ac:dyDescent="0.25">
      <c r="A91" s="30" t="s">
        <v>1001</v>
      </c>
      <c r="B91" s="30" t="s">
        <v>1298</v>
      </c>
      <c r="C91" s="30" t="s">
        <v>1209</v>
      </c>
      <c r="D91" s="30"/>
      <c r="E91" s="30"/>
      <c r="F91" s="30"/>
      <c r="G91" s="30"/>
      <c r="H91" s="30"/>
      <c r="I91" s="30"/>
      <c r="J91" s="30" t="str">
        <f t="shared" si="1"/>
        <v>pending</v>
      </c>
    </row>
    <row r="92" spans="1:10" x14ac:dyDescent="0.25">
      <c r="A92" s="30" t="s">
        <v>1002</v>
      </c>
      <c r="B92" s="30" t="s">
        <v>1299</v>
      </c>
      <c r="C92" s="30" t="s">
        <v>1209</v>
      </c>
      <c r="D92" s="30"/>
      <c r="E92" s="30"/>
      <c r="F92" s="30"/>
      <c r="G92" s="30"/>
      <c r="H92" s="30"/>
      <c r="I92" s="30"/>
      <c r="J92" s="30" t="str">
        <f t="shared" si="1"/>
        <v>pending</v>
      </c>
    </row>
    <row r="93" spans="1:10" x14ac:dyDescent="0.25">
      <c r="A93" s="30" t="s">
        <v>1003</v>
      </c>
      <c r="B93" s="30" t="s">
        <v>1300</v>
      </c>
      <c r="C93" s="30" t="s">
        <v>1209</v>
      </c>
      <c r="D93" s="30"/>
      <c r="E93" s="30"/>
      <c r="F93" s="30"/>
      <c r="G93" s="30"/>
      <c r="H93" s="30"/>
      <c r="I93" s="30"/>
      <c r="J93" s="30" t="str">
        <f t="shared" si="1"/>
        <v>pending</v>
      </c>
    </row>
    <row r="94" spans="1:10" x14ac:dyDescent="0.25">
      <c r="A94" s="30" t="s">
        <v>1004</v>
      </c>
      <c r="B94" s="30" t="s">
        <v>1301</v>
      </c>
      <c r="C94" s="30" t="s">
        <v>1209</v>
      </c>
      <c r="D94" s="30"/>
      <c r="E94" s="30"/>
      <c r="F94" s="30"/>
      <c r="G94" s="30"/>
      <c r="H94" s="30"/>
      <c r="I94" s="30"/>
      <c r="J94" s="30" t="str">
        <f t="shared" si="1"/>
        <v>pending</v>
      </c>
    </row>
    <row r="95" spans="1:10" ht="30" x14ac:dyDescent="0.25">
      <c r="A95" s="30" t="s">
        <v>1005</v>
      </c>
      <c r="B95" s="30" t="s">
        <v>1302</v>
      </c>
      <c r="C95" s="30" t="s">
        <v>1209</v>
      </c>
      <c r="D95" s="30"/>
      <c r="E95" s="30"/>
      <c r="F95" s="30"/>
      <c r="G95" s="30"/>
      <c r="H95" s="30"/>
      <c r="I95" s="30"/>
      <c r="J95" s="30" t="str">
        <f t="shared" si="1"/>
        <v>pending</v>
      </c>
    </row>
    <row r="96" spans="1:10" ht="30" x14ac:dyDescent="0.25">
      <c r="A96" s="30" t="s">
        <v>1006</v>
      </c>
      <c r="B96" s="30" t="s">
        <v>1303</v>
      </c>
      <c r="C96" s="30" t="s">
        <v>1209</v>
      </c>
      <c r="D96" s="30"/>
      <c r="E96" s="30"/>
      <c r="F96" s="30"/>
      <c r="G96" s="30"/>
      <c r="H96" s="30"/>
      <c r="I96" s="30"/>
      <c r="J96" s="30" t="str">
        <f t="shared" si="1"/>
        <v>pending</v>
      </c>
    </row>
    <row r="97" spans="1:10" ht="30" x14ac:dyDescent="0.25">
      <c r="A97" s="30" t="s">
        <v>1007</v>
      </c>
      <c r="B97" s="30" t="s">
        <v>1304</v>
      </c>
      <c r="C97" s="30" t="s">
        <v>1209</v>
      </c>
      <c r="D97" s="30"/>
      <c r="E97" s="30"/>
      <c r="F97" s="30"/>
      <c r="G97" s="30"/>
      <c r="H97" s="30"/>
      <c r="I97" s="30"/>
      <c r="J97" s="30" t="str">
        <f t="shared" si="1"/>
        <v>pending</v>
      </c>
    </row>
    <row r="98" spans="1:10" ht="30" x14ac:dyDescent="0.25">
      <c r="A98" s="30" t="s">
        <v>1008</v>
      </c>
      <c r="B98" s="30" t="s">
        <v>1305</v>
      </c>
      <c r="C98" s="30" t="s">
        <v>1209</v>
      </c>
      <c r="D98" s="30"/>
      <c r="E98" s="30"/>
      <c r="F98" s="30"/>
      <c r="G98" s="30"/>
      <c r="H98" s="30"/>
      <c r="I98" s="30"/>
      <c r="J98" s="30" t="str">
        <f t="shared" si="1"/>
        <v>pending</v>
      </c>
    </row>
    <row r="99" spans="1:10" x14ac:dyDescent="0.25">
      <c r="A99" s="30" t="s">
        <v>1009</v>
      </c>
      <c r="B99" s="30" t="s">
        <v>1306</v>
      </c>
      <c r="C99" s="30" t="s">
        <v>1209</v>
      </c>
      <c r="D99" s="30"/>
      <c r="E99" s="30"/>
      <c r="F99" s="30"/>
      <c r="G99" s="30"/>
      <c r="H99" s="30"/>
      <c r="I99" s="30"/>
      <c r="J99" s="30" t="str">
        <f t="shared" si="1"/>
        <v>pending</v>
      </c>
    </row>
    <row r="100" spans="1:10" ht="30" x14ac:dyDescent="0.25">
      <c r="A100" s="30" t="s">
        <v>1010</v>
      </c>
      <c r="B100" s="30" t="s">
        <v>1307</v>
      </c>
      <c r="C100" s="30" t="s">
        <v>1209</v>
      </c>
      <c r="D100" s="30"/>
      <c r="E100" s="30"/>
      <c r="F100" s="30"/>
      <c r="G100" s="30"/>
      <c r="H100" s="30"/>
      <c r="I100" s="30"/>
      <c r="J100" s="30" t="str">
        <f t="shared" si="1"/>
        <v>pending</v>
      </c>
    </row>
    <row r="101" spans="1:10" ht="30" x14ac:dyDescent="0.25">
      <c r="A101" s="30" t="s">
        <v>1011</v>
      </c>
      <c r="B101" s="30" t="s">
        <v>1308</v>
      </c>
      <c r="C101" s="30" t="s">
        <v>1209</v>
      </c>
      <c r="D101" s="30"/>
      <c r="E101" s="30"/>
      <c r="F101" s="30"/>
      <c r="G101" s="30"/>
      <c r="H101" s="30"/>
      <c r="I101" s="30"/>
      <c r="J101" s="30" t="str">
        <f t="shared" si="1"/>
        <v>pending</v>
      </c>
    </row>
    <row r="102" spans="1:10" x14ac:dyDescent="0.25">
      <c r="A102" s="30" t="s">
        <v>1012</v>
      </c>
      <c r="B102" s="30" t="s">
        <v>1309</v>
      </c>
      <c r="C102" s="30" t="s">
        <v>1209</v>
      </c>
      <c r="D102" s="30"/>
      <c r="E102" s="30"/>
      <c r="F102" s="30"/>
      <c r="G102" s="30"/>
      <c r="H102" s="30"/>
      <c r="I102" s="30"/>
      <c r="J102" s="30" t="str">
        <f t="shared" si="1"/>
        <v>pending</v>
      </c>
    </row>
    <row r="103" spans="1:10" x14ac:dyDescent="0.25">
      <c r="A103" s="30" t="s">
        <v>1013</v>
      </c>
      <c r="B103" s="30" t="s">
        <v>1310</v>
      </c>
      <c r="C103" s="30" t="s">
        <v>1209</v>
      </c>
      <c r="D103" s="30"/>
      <c r="E103" s="30"/>
      <c r="F103" s="30"/>
      <c r="G103" s="30"/>
      <c r="H103" s="30"/>
      <c r="I103" s="30"/>
      <c r="J103" s="30" t="str">
        <f t="shared" si="1"/>
        <v>pending</v>
      </c>
    </row>
    <row r="104" spans="1:10" ht="30" x14ac:dyDescent="0.25">
      <c r="A104" s="30" t="s">
        <v>1014</v>
      </c>
      <c r="B104" s="30" t="s">
        <v>1311</v>
      </c>
      <c r="C104" s="30" t="s">
        <v>1209</v>
      </c>
      <c r="D104" s="30"/>
      <c r="E104" s="30"/>
      <c r="F104" s="30"/>
      <c r="G104" s="30"/>
      <c r="H104" s="30"/>
      <c r="I104" s="30"/>
      <c r="J104" s="30" t="str">
        <f t="shared" si="1"/>
        <v>pending</v>
      </c>
    </row>
    <row r="105" spans="1:10" x14ac:dyDescent="0.25">
      <c r="A105" s="30" t="s">
        <v>1015</v>
      </c>
      <c r="B105" s="30" t="s">
        <v>1312</v>
      </c>
      <c r="C105" s="30" t="s">
        <v>1209</v>
      </c>
      <c r="D105" s="30"/>
      <c r="E105" s="30"/>
      <c r="F105" s="30"/>
      <c r="G105" s="30"/>
      <c r="H105" s="30"/>
      <c r="I105" s="30"/>
      <c r="J105" s="30" t="str">
        <f t="shared" si="1"/>
        <v>pending</v>
      </c>
    </row>
    <row r="106" spans="1:10" ht="30" x14ac:dyDescent="0.25">
      <c r="A106" s="30" t="s">
        <v>1016</v>
      </c>
      <c r="B106" s="30" t="s">
        <v>1313</v>
      </c>
      <c r="C106" s="30" t="s">
        <v>1209</v>
      </c>
      <c r="D106" s="30"/>
      <c r="E106" s="30"/>
      <c r="F106" s="30"/>
      <c r="G106" s="30"/>
      <c r="H106" s="30"/>
      <c r="I106" s="30"/>
      <c r="J106" s="30" t="str">
        <f t="shared" si="1"/>
        <v>pending</v>
      </c>
    </row>
    <row r="107" spans="1:10" ht="30" x14ac:dyDescent="0.25">
      <c r="A107" s="30" t="s">
        <v>1017</v>
      </c>
      <c r="B107" s="30" t="s">
        <v>1314</v>
      </c>
      <c r="C107" s="30" t="s">
        <v>1209</v>
      </c>
      <c r="D107" s="30"/>
      <c r="E107" s="30"/>
      <c r="F107" s="30"/>
      <c r="G107" s="30"/>
      <c r="H107" s="30"/>
      <c r="I107" s="30"/>
      <c r="J107" s="30" t="str">
        <f t="shared" si="1"/>
        <v>pending</v>
      </c>
    </row>
    <row r="108" spans="1:10" x14ac:dyDescent="0.25">
      <c r="A108" s="30" t="s">
        <v>1018</v>
      </c>
      <c r="B108" s="30" t="s">
        <v>1315</v>
      </c>
      <c r="C108" s="30" t="s">
        <v>1209</v>
      </c>
      <c r="D108" s="30"/>
      <c r="E108" s="30"/>
      <c r="F108" s="30"/>
      <c r="G108" s="30"/>
      <c r="H108" s="30"/>
      <c r="I108" s="30"/>
      <c r="J108" s="30" t="str">
        <f t="shared" si="1"/>
        <v>pending</v>
      </c>
    </row>
    <row r="109" spans="1:10" x14ac:dyDescent="0.25">
      <c r="A109" s="30" t="s">
        <v>1019</v>
      </c>
      <c r="B109" s="30" t="s">
        <v>1316</v>
      </c>
      <c r="C109" s="30" t="s">
        <v>1209</v>
      </c>
      <c r="D109" s="30"/>
      <c r="E109" s="30"/>
      <c r="F109" s="30"/>
      <c r="G109" s="30"/>
      <c r="H109" s="30"/>
      <c r="I109" s="30"/>
      <c r="J109" s="30" t="str">
        <f t="shared" si="1"/>
        <v>pending</v>
      </c>
    </row>
    <row r="110" spans="1:10" ht="30" x14ac:dyDescent="0.25">
      <c r="A110" s="30" t="s">
        <v>1020</v>
      </c>
      <c r="B110" s="30" t="s">
        <v>1317</v>
      </c>
      <c r="C110" s="30" t="s">
        <v>1209</v>
      </c>
      <c r="D110" s="30"/>
      <c r="E110" s="30"/>
      <c r="F110" s="30"/>
      <c r="G110" s="30"/>
      <c r="H110" s="30"/>
      <c r="I110" s="30"/>
      <c r="J110" s="30" t="str">
        <f t="shared" si="1"/>
        <v>pending</v>
      </c>
    </row>
    <row r="111" spans="1:10" x14ac:dyDescent="0.25">
      <c r="A111" s="30" t="s">
        <v>1021</v>
      </c>
      <c r="B111" s="30" t="s">
        <v>1318</v>
      </c>
      <c r="C111" s="30" t="s">
        <v>1209</v>
      </c>
      <c r="D111" s="30"/>
      <c r="E111" s="30"/>
      <c r="F111" s="30"/>
      <c r="G111" s="30"/>
      <c r="H111" s="30"/>
      <c r="I111" s="30"/>
      <c r="J111" s="30" t="str">
        <f t="shared" si="1"/>
        <v>pending</v>
      </c>
    </row>
    <row r="112" spans="1:10" x14ac:dyDescent="0.25">
      <c r="A112" s="30" t="s">
        <v>1022</v>
      </c>
      <c r="B112" s="30" t="s">
        <v>1319</v>
      </c>
      <c r="C112" s="30" t="s">
        <v>1209</v>
      </c>
      <c r="D112" s="30"/>
      <c r="E112" s="30"/>
      <c r="F112" s="30"/>
      <c r="G112" s="30"/>
      <c r="H112" s="30"/>
      <c r="I112" s="30"/>
      <c r="J112" s="30" t="str">
        <f t="shared" si="1"/>
        <v>pending</v>
      </c>
    </row>
    <row r="113" spans="1:10" ht="30" x14ac:dyDescent="0.25">
      <c r="A113" s="30" t="s">
        <v>1023</v>
      </c>
      <c r="B113" s="30" t="s">
        <v>1320</v>
      </c>
      <c r="C113" s="30" t="s">
        <v>1209</v>
      </c>
      <c r="D113" s="30"/>
      <c r="E113" s="30"/>
      <c r="F113" s="30"/>
      <c r="G113" s="30"/>
      <c r="H113" s="30"/>
      <c r="I113" s="30"/>
      <c r="J113" s="30" t="str">
        <f t="shared" si="1"/>
        <v>pending</v>
      </c>
    </row>
    <row r="114" spans="1:10" x14ac:dyDescent="0.25">
      <c r="A114" s="30" t="s">
        <v>1024</v>
      </c>
      <c r="B114" s="30" t="s">
        <v>1321</v>
      </c>
      <c r="C114" s="30" t="s">
        <v>1209</v>
      </c>
      <c r="D114" s="30"/>
      <c r="E114" s="30"/>
      <c r="F114" s="30"/>
      <c r="G114" s="30"/>
      <c r="H114" s="30"/>
      <c r="I114" s="30"/>
      <c r="J114" s="30" t="str">
        <f t="shared" si="1"/>
        <v>pending</v>
      </c>
    </row>
    <row r="115" spans="1:10" ht="30" x14ac:dyDescent="0.25">
      <c r="A115" s="30" t="s">
        <v>1025</v>
      </c>
      <c r="B115" s="30" t="s">
        <v>1322</v>
      </c>
      <c r="C115" s="30" t="s">
        <v>1209</v>
      </c>
      <c r="D115" s="30"/>
      <c r="E115" s="30"/>
      <c r="F115" s="30"/>
      <c r="G115" s="30"/>
      <c r="H115" s="30"/>
      <c r="I115" s="30"/>
      <c r="J115" s="30" t="str">
        <f t="shared" si="1"/>
        <v>pending</v>
      </c>
    </row>
    <row r="116" spans="1:10" x14ac:dyDescent="0.25">
      <c r="A116" s="30" t="s">
        <v>1026</v>
      </c>
      <c r="B116" s="30" t="s">
        <v>1323</v>
      </c>
      <c r="C116" s="30" t="s">
        <v>1209</v>
      </c>
      <c r="D116" s="30"/>
      <c r="E116" s="30"/>
      <c r="F116" s="30"/>
      <c r="G116" s="30"/>
      <c r="H116" s="30"/>
      <c r="I116" s="30"/>
      <c r="J116" s="30" t="str">
        <f t="shared" si="1"/>
        <v>pending</v>
      </c>
    </row>
    <row r="117" spans="1:10" ht="30" x14ac:dyDescent="0.25">
      <c r="A117" s="30" t="s">
        <v>1027</v>
      </c>
      <c r="B117" s="30" t="s">
        <v>1324</v>
      </c>
      <c r="C117" s="30" t="s">
        <v>1209</v>
      </c>
      <c r="D117" s="30"/>
      <c r="E117" s="30"/>
      <c r="F117" s="30"/>
      <c r="G117" s="30"/>
      <c r="H117" s="30"/>
      <c r="I117" s="30"/>
      <c r="J117" s="30" t="str">
        <f t="shared" si="1"/>
        <v>pending</v>
      </c>
    </row>
    <row r="118" spans="1:10" x14ac:dyDescent="0.25">
      <c r="A118" s="30" t="s">
        <v>1028</v>
      </c>
      <c r="B118" s="30" t="s">
        <v>1325</v>
      </c>
      <c r="C118" s="30" t="s">
        <v>1209</v>
      </c>
      <c r="D118" s="30"/>
      <c r="E118" s="30"/>
      <c r="F118" s="30"/>
      <c r="G118" s="30"/>
      <c r="H118" s="30"/>
      <c r="I118" s="30"/>
      <c r="J118" s="30" t="str">
        <f t="shared" si="1"/>
        <v>pending</v>
      </c>
    </row>
    <row r="119" spans="1:10" x14ac:dyDescent="0.25">
      <c r="A119" s="30" t="s">
        <v>1029</v>
      </c>
      <c r="B119" s="30" t="s">
        <v>1326</v>
      </c>
      <c r="C119" s="30" t="s">
        <v>1209</v>
      </c>
      <c r="D119" s="30"/>
      <c r="E119" s="30"/>
      <c r="F119" s="30"/>
      <c r="G119" s="30"/>
      <c r="H119" s="30"/>
      <c r="I119" s="30"/>
      <c r="J119" s="30" t="str">
        <f t="shared" si="1"/>
        <v>pending</v>
      </c>
    </row>
    <row r="120" spans="1:10" ht="45" x14ac:dyDescent="0.25">
      <c r="A120" s="30" t="s">
        <v>1030</v>
      </c>
      <c r="B120" s="30" t="s">
        <v>1327</v>
      </c>
      <c r="C120" s="30" t="s">
        <v>1209</v>
      </c>
      <c r="D120" s="30"/>
      <c r="E120" s="30"/>
      <c r="F120" s="30"/>
      <c r="G120" s="30"/>
      <c r="H120" s="30"/>
      <c r="I120" s="30"/>
      <c r="J120" s="30" t="str">
        <f t="shared" si="1"/>
        <v>pending</v>
      </c>
    </row>
    <row r="121" spans="1:10" x14ac:dyDescent="0.25">
      <c r="A121" s="30" t="s">
        <v>1031</v>
      </c>
      <c r="B121" s="30" t="s">
        <v>1328</v>
      </c>
      <c r="C121" s="30" t="s">
        <v>1209</v>
      </c>
      <c r="D121" s="30"/>
      <c r="E121" s="30"/>
      <c r="F121" s="30"/>
      <c r="G121" s="30"/>
      <c r="H121" s="30"/>
      <c r="I121" s="30"/>
      <c r="J121" s="30" t="str">
        <f t="shared" si="1"/>
        <v>pending</v>
      </c>
    </row>
    <row r="122" spans="1:10" ht="30" x14ac:dyDescent="0.25">
      <c r="A122" s="30" t="s">
        <v>1032</v>
      </c>
      <c r="B122" s="30" t="s">
        <v>1329</v>
      </c>
      <c r="C122" s="30" t="s">
        <v>1209</v>
      </c>
      <c r="D122" s="30"/>
      <c r="E122" s="30"/>
      <c r="F122" s="30"/>
      <c r="G122" s="30"/>
      <c r="H122" s="30"/>
      <c r="I122" s="30"/>
      <c r="J122" s="30" t="str">
        <f t="shared" si="1"/>
        <v>pending</v>
      </c>
    </row>
    <row r="123" spans="1:10" ht="30" x14ac:dyDescent="0.25">
      <c r="A123" s="30" t="s">
        <v>1033</v>
      </c>
      <c r="B123" s="30" t="s">
        <v>1330</v>
      </c>
      <c r="C123" s="30" t="s">
        <v>1209</v>
      </c>
      <c r="D123" s="30"/>
      <c r="E123" s="30"/>
      <c r="F123" s="30"/>
      <c r="G123" s="30"/>
      <c r="H123" s="30"/>
      <c r="I123" s="30"/>
      <c r="J123" s="30" t="str">
        <f t="shared" si="1"/>
        <v>pending</v>
      </c>
    </row>
    <row r="124" spans="1:10" ht="30" x14ac:dyDescent="0.25">
      <c r="A124" s="30" t="s">
        <v>1034</v>
      </c>
      <c r="B124" s="30" t="s">
        <v>1331</v>
      </c>
      <c r="C124" s="30" t="s">
        <v>1209</v>
      </c>
      <c r="D124" s="30"/>
      <c r="E124" s="30"/>
      <c r="F124" s="30"/>
      <c r="G124" s="30"/>
      <c r="H124" s="30"/>
      <c r="I124" s="30"/>
      <c r="J124" s="30" t="str">
        <f t="shared" si="1"/>
        <v>pending</v>
      </c>
    </row>
    <row r="125" spans="1:10" ht="30" x14ac:dyDescent="0.25">
      <c r="A125" s="30" t="s">
        <v>1035</v>
      </c>
      <c r="B125" s="30" t="s">
        <v>1332</v>
      </c>
      <c r="C125" s="30" t="s">
        <v>1209</v>
      </c>
      <c r="D125" s="30"/>
      <c r="E125" s="30"/>
      <c r="F125" s="30"/>
      <c r="G125" s="30"/>
      <c r="H125" s="30"/>
      <c r="I125" s="30"/>
      <c r="J125" s="30" t="str">
        <f t="shared" si="1"/>
        <v>pending</v>
      </c>
    </row>
    <row r="126" spans="1:10" ht="30" x14ac:dyDescent="0.25">
      <c r="A126" s="30" t="s">
        <v>1036</v>
      </c>
      <c r="B126" s="30" t="s">
        <v>1333</v>
      </c>
      <c r="C126" s="30" t="s">
        <v>1209</v>
      </c>
      <c r="D126" s="30"/>
      <c r="E126" s="30"/>
      <c r="F126" s="30"/>
      <c r="G126" s="30"/>
      <c r="H126" s="30"/>
      <c r="I126" s="30"/>
      <c r="J126" s="30" t="str">
        <f t="shared" si="1"/>
        <v>pending</v>
      </c>
    </row>
    <row r="127" spans="1:10" ht="30" x14ac:dyDescent="0.25">
      <c r="A127" s="30" t="s">
        <v>1037</v>
      </c>
      <c r="B127" s="30" t="s">
        <v>1334</v>
      </c>
      <c r="C127" s="30" t="s">
        <v>1209</v>
      </c>
      <c r="D127" s="30"/>
      <c r="E127" s="30"/>
      <c r="F127" s="30"/>
      <c r="G127" s="30"/>
      <c r="H127" s="30"/>
      <c r="I127" s="30"/>
      <c r="J127" s="30" t="str">
        <f t="shared" si="1"/>
        <v>pending</v>
      </c>
    </row>
    <row r="128" spans="1:10" ht="30" x14ac:dyDescent="0.25">
      <c r="A128" s="30" t="s">
        <v>1038</v>
      </c>
      <c r="B128" s="30" t="s">
        <v>1335</v>
      </c>
      <c r="C128" s="30" t="s">
        <v>1209</v>
      </c>
      <c r="D128" s="30"/>
      <c r="E128" s="30"/>
      <c r="F128" s="30"/>
      <c r="G128" s="30"/>
      <c r="H128" s="30"/>
      <c r="I128" s="30"/>
      <c r="J128" s="30" t="str">
        <f t="shared" si="1"/>
        <v>pending</v>
      </c>
    </row>
    <row r="129" spans="1:10" x14ac:dyDescent="0.25">
      <c r="A129" s="30" t="s">
        <v>1039</v>
      </c>
      <c r="B129" s="30" t="s">
        <v>1336</v>
      </c>
      <c r="C129" s="30" t="s">
        <v>1209</v>
      </c>
      <c r="D129" s="30"/>
      <c r="E129" s="30"/>
      <c r="F129" s="30"/>
      <c r="G129" s="30"/>
      <c r="H129" s="30"/>
      <c r="I129" s="30"/>
      <c r="J129" s="30" t="str">
        <f t="shared" si="1"/>
        <v>pending</v>
      </c>
    </row>
    <row r="130" spans="1:10" x14ac:dyDescent="0.25">
      <c r="A130" s="30" t="s">
        <v>1040</v>
      </c>
      <c r="B130" s="30" t="s">
        <v>1337</v>
      </c>
      <c r="C130" s="30" t="s">
        <v>1209</v>
      </c>
      <c r="D130" s="30"/>
      <c r="E130" s="30"/>
      <c r="F130" s="30"/>
      <c r="G130" s="30"/>
      <c r="H130" s="30"/>
      <c r="I130" s="30"/>
      <c r="J130" s="30" t="str">
        <f t="shared" si="1"/>
        <v>pending</v>
      </c>
    </row>
    <row r="131" spans="1:10" x14ac:dyDescent="0.25">
      <c r="A131" s="30" t="s">
        <v>1041</v>
      </c>
      <c r="B131" s="30" t="s">
        <v>1338</v>
      </c>
      <c r="C131" s="30" t="s">
        <v>1209</v>
      </c>
      <c r="D131" s="30"/>
      <c r="E131" s="30"/>
      <c r="F131" s="30"/>
      <c r="G131" s="30"/>
      <c r="H131" s="30"/>
      <c r="I131" s="30"/>
      <c r="J131" s="30" t="str">
        <f t="shared" ref="J131:J194" si="2">IF(C131&lt;&gt;"-","done","pending")</f>
        <v>pending</v>
      </c>
    </row>
    <row r="132" spans="1:10" x14ac:dyDescent="0.25">
      <c r="A132" s="30" t="s">
        <v>1042</v>
      </c>
      <c r="B132" s="30" t="s">
        <v>1339</v>
      </c>
      <c r="C132" s="30" t="s">
        <v>1209</v>
      </c>
      <c r="D132" s="30"/>
      <c r="E132" s="30"/>
      <c r="F132" s="30"/>
      <c r="G132" s="30"/>
      <c r="H132" s="30"/>
      <c r="I132" s="30"/>
      <c r="J132" s="30" t="str">
        <f t="shared" si="2"/>
        <v>pending</v>
      </c>
    </row>
    <row r="133" spans="1:10" ht="30" x14ac:dyDescent="0.25">
      <c r="A133" s="30" t="s">
        <v>1043</v>
      </c>
      <c r="B133" s="30" t="s">
        <v>1340</v>
      </c>
      <c r="C133" s="30" t="s">
        <v>1209</v>
      </c>
      <c r="D133" s="30"/>
      <c r="E133" s="30"/>
      <c r="F133" s="30"/>
      <c r="G133" s="30"/>
      <c r="H133" s="30"/>
      <c r="I133" s="30"/>
      <c r="J133" s="30" t="str">
        <f t="shared" si="2"/>
        <v>pending</v>
      </c>
    </row>
    <row r="134" spans="1:10" x14ac:dyDescent="0.25">
      <c r="A134" s="30" t="s">
        <v>1044</v>
      </c>
      <c r="B134" s="30" t="s">
        <v>1341</v>
      </c>
      <c r="C134" s="30" t="s">
        <v>1209</v>
      </c>
      <c r="D134" s="30"/>
      <c r="E134" s="30"/>
      <c r="F134" s="30"/>
      <c r="G134" s="30"/>
      <c r="H134" s="30"/>
      <c r="I134" s="30"/>
      <c r="J134" s="30" t="str">
        <f t="shared" si="2"/>
        <v>pending</v>
      </c>
    </row>
    <row r="135" spans="1:10" x14ac:dyDescent="0.25">
      <c r="A135" s="30" t="s">
        <v>1045</v>
      </c>
      <c r="B135" s="30" t="s">
        <v>1342</v>
      </c>
      <c r="C135" s="30" t="s">
        <v>1209</v>
      </c>
      <c r="D135" s="30"/>
      <c r="E135" s="30"/>
      <c r="F135" s="30"/>
      <c r="G135" s="30"/>
      <c r="H135" s="30"/>
      <c r="I135" s="30"/>
      <c r="J135" s="30" t="str">
        <f t="shared" si="2"/>
        <v>pending</v>
      </c>
    </row>
    <row r="136" spans="1:10" x14ac:dyDescent="0.25">
      <c r="A136" s="30" t="s">
        <v>1046</v>
      </c>
      <c r="B136" s="30" t="s">
        <v>1343</v>
      </c>
      <c r="C136" s="30" t="s">
        <v>1209</v>
      </c>
      <c r="D136" s="30"/>
      <c r="E136" s="30"/>
      <c r="F136" s="30"/>
      <c r="G136" s="30"/>
      <c r="H136" s="30"/>
      <c r="I136" s="30"/>
      <c r="J136" s="30" t="str">
        <f t="shared" si="2"/>
        <v>pending</v>
      </c>
    </row>
    <row r="137" spans="1:10" ht="30" x14ac:dyDescent="0.25">
      <c r="A137" s="30" t="s">
        <v>1047</v>
      </c>
      <c r="B137" s="30" t="s">
        <v>1344</v>
      </c>
      <c r="C137" s="30" t="s">
        <v>1209</v>
      </c>
      <c r="D137" s="30"/>
      <c r="E137" s="30"/>
      <c r="F137" s="30"/>
      <c r="G137" s="30"/>
      <c r="H137" s="30"/>
      <c r="I137" s="30"/>
      <c r="J137" s="30" t="str">
        <f t="shared" si="2"/>
        <v>pending</v>
      </c>
    </row>
    <row r="138" spans="1:10" x14ac:dyDescent="0.25">
      <c r="A138" s="30" t="s">
        <v>1048</v>
      </c>
      <c r="B138" s="30" t="s">
        <v>1345</v>
      </c>
      <c r="C138" s="30" t="s">
        <v>1209</v>
      </c>
      <c r="D138" s="30"/>
      <c r="E138" s="30"/>
      <c r="F138" s="30"/>
      <c r="G138" s="30"/>
      <c r="H138" s="30"/>
      <c r="I138" s="30"/>
      <c r="J138" s="30" t="str">
        <f t="shared" si="2"/>
        <v>pending</v>
      </c>
    </row>
    <row r="139" spans="1:10" x14ac:dyDescent="0.25">
      <c r="A139" s="30" t="s">
        <v>1049</v>
      </c>
      <c r="B139" s="30" t="s">
        <v>1346</v>
      </c>
      <c r="C139" s="30" t="s">
        <v>1209</v>
      </c>
      <c r="D139" s="30"/>
      <c r="E139" s="30"/>
      <c r="F139" s="30"/>
      <c r="G139" s="30"/>
      <c r="H139" s="30"/>
      <c r="I139" s="30"/>
      <c r="J139" s="30" t="str">
        <f t="shared" si="2"/>
        <v>pending</v>
      </c>
    </row>
    <row r="140" spans="1:10" x14ac:dyDescent="0.25">
      <c r="A140" s="30" t="s">
        <v>1050</v>
      </c>
      <c r="B140" s="30" t="s">
        <v>1347</v>
      </c>
      <c r="C140" s="30" t="s">
        <v>1209</v>
      </c>
      <c r="D140" s="30"/>
      <c r="E140" s="30"/>
      <c r="F140" s="30"/>
      <c r="G140" s="30"/>
      <c r="H140" s="30"/>
      <c r="I140" s="30"/>
      <c r="J140" s="30" t="str">
        <f t="shared" si="2"/>
        <v>pending</v>
      </c>
    </row>
    <row r="141" spans="1:10" x14ac:dyDescent="0.25">
      <c r="A141" s="30" t="s">
        <v>1051</v>
      </c>
      <c r="B141" s="30" t="s">
        <v>1348</v>
      </c>
      <c r="C141" s="30" t="s">
        <v>1209</v>
      </c>
      <c r="D141" s="30"/>
      <c r="E141" s="30"/>
      <c r="F141" s="30"/>
      <c r="G141" s="30"/>
      <c r="H141" s="30"/>
      <c r="I141" s="30"/>
      <c r="J141" s="30" t="str">
        <f t="shared" si="2"/>
        <v>pending</v>
      </c>
    </row>
    <row r="142" spans="1:10" x14ac:dyDescent="0.25">
      <c r="A142" s="30" t="s">
        <v>1052</v>
      </c>
      <c r="B142" s="30" t="s">
        <v>1349</v>
      </c>
      <c r="C142" s="30" t="s">
        <v>1209</v>
      </c>
      <c r="D142" s="30"/>
      <c r="E142" s="30"/>
      <c r="F142" s="30"/>
      <c r="G142" s="30"/>
      <c r="H142" s="30"/>
      <c r="I142" s="30"/>
      <c r="J142" s="30" t="str">
        <f t="shared" si="2"/>
        <v>pending</v>
      </c>
    </row>
    <row r="143" spans="1:10" ht="30" x14ac:dyDescent="0.25">
      <c r="A143" s="30" t="s">
        <v>1053</v>
      </c>
      <c r="B143" s="30" t="s">
        <v>1350</v>
      </c>
      <c r="C143" s="30" t="s">
        <v>1209</v>
      </c>
      <c r="D143" s="30"/>
      <c r="E143" s="30"/>
      <c r="F143" s="30"/>
      <c r="G143" s="30"/>
      <c r="H143" s="30"/>
      <c r="I143" s="30"/>
      <c r="J143" s="30" t="str">
        <f t="shared" si="2"/>
        <v>pending</v>
      </c>
    </row>
    <row r="144" spans="1:10" ht="45" x14ac:dyDescent="0.25">
      <c r="A144" s="30" t="s">
        <v>1054</v>
      </c>
      <c r="B144" s="30" t="s">
        <v>1351</v>
      </c>
      <c r="C144" s="30" t="s">
        <v>1209</v>
      </c>
      <c r="D144" s="30"/>
      <c r="E144" s="30"/>
      <c r="F144" s="30"/>
      <c r="G144" s="30"/>
      <c r="H144" s="30"/>
      <c r="I144" s="30"/>
      <c r="J144" s="30" t="str">
        <f t="shared" si="2"/>
        <v>pending</v>
      </c>
    </row>
    <row r="145" spans="1:10" ht="45" x14ac:dyDescent="0.25">
      <c r="A145" s="30" t="s">
        <v>1055</v>
      </c>
      <c r="B145" s="30" t="s">
        <v>1352</v>
      </c>
      <c r="C145" s="30" t="s">
        <v>1209</v>
      </c>
      <c r="D145" s="30"/>
      <c r="E145" s="30"/>
      <c r="F145" s="30"/>
      <c r="G145" s="30"/>
      <c r="H145" s="30"/>
      <c r="I145" s="30"/>
      <c r="J145" s="30" t="str">
        <f t="shared" si="2"/>
        <v>pending</v>
      </c>
    </row>
    <row r="146" spans="1:10" ht="30" x14ac:dyDescent="0.25">
      <c r="A146" s="30" t="s">
        <v>1056</v>
      </c>
      <c r="B146" s="30" t="s">
        <v>1353</v>
      </c>
      <c r="C146" s="30" t="s">
        <v>1209</v>
      </c>
      <c r="D146" s="30"/>
      <c r="E146" s="30"/>
      <c r="F146" s="30"/>
      <c r="G146" s="30"/>
      <c r="H146" s="30"/>
      <c r="I146" s="30"/>
      <c r="J146" s="30" t="str">
        <f t="shared" si="2"/>
        <v>pending</v>
      </c>
    </row>
    <row r="147" spans="1:10" x14ac:dyDescent="0.25">
      <c r="A147" s="30" t="s">
        <v>1057</v>
      </c>
      <c r="B147" s="30" t="s">
        <v>1354</v>
      </c>
      <c r="C147" s="30" t="s">
        <v>1209</v>
      </c>
      <c r="D147" s="30"/>
      <c r="E147" s="30"/>
      <c r="F147" s="30"/>
      <c r="G147" s="30"/>
      <c r="H147" s="30"/>
      <c r="I147" s="30"/>
      <c r="J147" s="30" t="str">
        <f t="shared" si="2"/>
        <v>pending</v>
      </c>
    </row>
    <row r="148" spans="1:10" ht="30" x14ac:dyDescent="0.25">
      <c r="A148" s="30" t="s">
        <v>1058</v>
      </c>
      <c r="B148" s="30" t="s">
        <v>1355</v>
      </c>
      <c r="C148" s="30" t="s">
        <v>1209</v>
      </c>
      <c r="D148" s="30"/>
      <c r="E148" s="30"/>
      <c r="F148" s="30"/>
      <c r="G148" s="30"/>
      <c r="H148" s="30"/>
      <c r="I148" s="30"/>
      <c r="J148" s="30" t="str">
        <f t="shared" si="2"/>
        <v>pending</v>
      </c>
    </row>
    <row r="149" spans="1:10" ht="30" x14ac:dyDescent="0.25">
      <c r="A149" s="30" t="s">
        <v>1059</v>
      </c>
      <c r="B149" s="30" t="s">
        <v>1356</v>
      </c>
      <c r="C149" s="30" t="s">
        <v>1209</v>
      </c>
      <c r="D149" s="30"/>
      <c r="E149" s="30"/>
      <c r="F149" s="30"/>
      <c r="G149" s="30"/>
      <c r="H149" s="30"/>
      <c r="I149" s="30"/>
      <c r="J149" s="30" t="str">
        <f t="shared" si="2"/>
        <v>pending</v>
      </c>
    </row>
    <row r="150" spans="1:10" x14ac:dyDescent="0.25">
      <c r="A150" s="30" t="s">
        <v>1060</v>
      </c>
      <c r="B150" s="30" t="s">
        <v>1357</v>
      </c>
      <c r="C150" s="30" t="s">
        <v>1209</v>
      </c>
      <c r="D150" s="30"/>
      <c r="E150" s="30"/>
      <c r="F150" s="30"/>
      <c r="G150" s="30"/>
      <c r="H150" s="30"/>
      <c r="I150" s="30"/>
      <c r="J150" s="30" t="str">
        <f t="shared" si="2"/>
        <v>pending</v>
      </c>
    </row>
    <row r="151" spans="1:10" ht="30" x14ac:dyDescent="0.25">
      <c r="A151" s="30" t="s">
        <v>1061</v>
      </c>
      <c r="B151" s="30" t="s">
        <v>1358</v>
      </c>
      <c r="C151" s="30" t="s">
        <v>1209</v>
      </c>
      <c r="D151" s="30"/>
      <c r="E151" s="30"/>
      <c r="F151" s="30"/>
      <c r="G151" s="30"/>
      <c r="H151" s="30"/>
      <c r="I151" s="30"/>
      <c r="J151" s="30" t="str">
        <f t="shared" si="2"/>
        <v>pending</v>
      </c>
    </row>
    <row r="152" spans="1:10" ht="45" x14ac:dyDescent="0.25">
      <c r="A152" s="30" t="s">
        <v>1062</v>
      </c>
      <c r="B152" s="30" t="s">
        <v>1359</v>
      </c>
      <c r="C152" s="30" t="s">
        <v>1209</v>
      </c>
      <c r="D152" s="30"/>
      <c r="E152" s="30"/>
      <c r="F152" s="30"/>
      <c r="G152" s="30"/>
      <c r="H152" s="30"/>
      <c r="I152" s="30"/>
      <c r="J152" s="30" t="str">
        <f t="shared" si="2"/>
        <v>pending</v>
      </c>
    </row>
    <row r="153" spans="1:10" x14ac:dyDescent="0.25">
      <c r="A153" s="30" t="s">
        <v>1063</v>
      </c>
      <c r="B153" s="30" t="s">
        <v>1360</v>
      </c>
      <c r="C153" s="30" t="s">
        <v>1209</v>
      </c>
      <c r="D153" s="30"/>
      <c r="E153" s="30"/>
      <c r="F153" s="30"/>
      <c r="G153" s="30"/>
      <c r="H153" s="30"/>
      <c r="I153" s="30"/>
      <c r="J153" s="30" t="str">
        <f t="shared" si="2"/>
        <v>pending</v>
      </c>
    </row>
    <row r="154" spans="1:10" x14ac:dyDescent="0.25">
      <c r="A154" s="30" t="s">
        <v>1064</v>
      </c>
      <c r="B154" s="30" t="s">
        <v>1361</v>
      </c>
      <c r="C154" s="30" t="s">
        <v>1209</v>
      </c>
      <c r="D154" s="30"/>
      <c r="E154" s="30"/>
      <c r="F154" s="30"/>
      <c r="G154" s="30"/>
      <c r="H154" s="30"/>
      <c r="I154" s="30"/>
      <c r="J154" s="30" t="str">
        <f t="shared" si="2"/>
        <v>pending</v>
      </c>
    </row>
    <row r="155" spans="1:10" ht="30" x14ac:dyDescent="0.25">
      <c r="A155" s="30" t="s">
        <v>1065</v>
      </c>
      <c r="B155" s="30" t="s">
        <v>1362</v>
      </c>
      <c r="C155" s="30" t="s">
        <v>1209</v>
      </c>
      <c r="D155" s="30"/>
      <c r="E155" s="30"/>
      <c r="F155" s="30"/>
      <c r="G155" s="30"/>
      <c r="H155" s="30"/>
      <c r="I155" s="30"/>
      <c r="J155" s="30" t="str">
        <f t="shared" si="2"/>
        <v>pending</v>
      </c>
    </row>
    <row r="156" spans="1:10" x14ac:dyDescent="0.25">
      <c r="A156" s="30" t="s">
        <v>1066</v>
      </c>
      <c r="B156" s="30" t="s">
        <v>1363</v>
      </c>
      <c r="C156" s="30" t="s">
        <v>1209</v>
      </c>
      <c r="D156" s="30"/>
      <c r="E156" s="30"/>
      <c r="F156" s="30"/>
      <c r="G156" s="30"/>
      <c r="H156" s="30"/>
      <c r="I156" s="30"/>
      <c r="J156" s="30" t="str">
        <f t="shared" si="2"/>
        <v>pending</v>
      </c>
    </row>
    <row r="157" spans="1:10" ht="30" x14ac:dyDescent="0.25">
      <c r="A157" s="30" t="s">
        <v>1067</v>
      </c>
      <c r="B157" s="30" t="s">
        <v>1364</v>
      </c>
      <c r="C157" s="30" t="s">
        <v>1209</v>
      </c>
      <c r="D157" s="30"/>
      <c r="E157" s="30"/>
      <c r="F157" s="30"/>
      <c r="G157" s="30"/>
      <c r="H157" s="30"/>
      <c r="I157" s="30"/>
      <c r="J157" s="30" t="str">
        <f t="shared" si="2"/>
        <v>pending</v>
      </c>
    </row>
    <row r="158" spans="1:10" x14ac:dyDescent="0.25">
      <c r="A158" s="30" t="s">
        <v>1068</v>
      </c>
      <c r="B158" s="30" t="s">
        <v>1365</v>
      </c>
      <c r="C158" s="30" t="s">
        <v>1209</v>
      </c>
      <c r="D158" s="30"/>
      <c r="E158" s="30"/>
      <c r="F158" s="30"/>
      <c r="G158" s="30"/>
      <c r="H158" s="30"/>
      <c r="I158" s="30"/>
      <c r="J158" s="30" t="str">
        <f t="shared" si="2"/>
        <v>pending</v>
      </c>
    </row>
    <row r="159" spans="1:10" x14ac:dyDescent="0.25">
      <c r="A159" s="30" t="s">
        <v>1069</v>
      </c>
      <c r="B159" s="30" t="s">
        <v>1366</v>
      </c>
      <c r="C159" s="30" t="s">
        <v>1209</v>
      </c>
      <c r="D159" s="30"/>
      <c r="E159" s="30"/>
      <c r="F159" s="30"/>
      <c r="G159" s="30"/>
      <c r="H159" s="30"/>
      <c r="I159" s="30"/>
      <c r="J159" s="30" t="str">
        <f t="shared" si="2"/>
        <v>pending</v>
      </c>
    </row>
    <row r="160" spans="1:10" x14ac:dyDescent="0.25">
      <c r="A160" s="30" t="s">
        <v>1070</v>
      </c>
      <c r="B160" s="30" t="s">
        <v>1367</v>
      </c>
      <c r="C160" s="30" t="s">
        <v>1209</v>
      </c>
      <c r="D160" s="30"/>
      <c r="E160" s="30"/>
      <c r="F160" s="30"/>
      <c r="G160" s="30"/>
      <c r="H160" s="30"/>
      <c r="I160" s="30"/>
      <c r="J160" s="30" t="str">
        <f t="shared" si="2"/>
        <v>pending</v>
      </c>
    </row>
    <row r="161" spans="1:10" x14ac:dyDescent="0.25">
      <c r="A161" s="30" t="s">
        <v>1071</v>
      </c>
      <c r="B161" s="30" t="s">
        <v>1368</v>
      </c>
      <c r="C161" s="30" t="s">
        <v>1209</v>
      </c>
      <c r="D161" s="30"/>
      <c r="E161" s="30"/>
      <c r="F161" s="30"/>
      <c r="G161" s="30"/>
      <c r="H161" s="30"/>
      <c r="I161" s="30"/>
      <c r="J161" s="30" t="str">
        <f t="shared" si="2"/>
        <v>pending</v>
      </c>
    </row>
    <row r="162" spans="1:10" ht="30" x14ac:dyDescent="0.25">
      <c r="A162" s="30" t="s">
        <v>1072</v>
      </c>
      <c r="B162" s="30" t="s">
        <v>1369</v>
      </c>
      <c r="C162" s="30" t="s">
        <v>1209</v>
      </c>
      <c r="D162" s="30"/>
      <c r="E162" s="30"/>
      <c r="F162" s="30"/>
      <c r="G162" s="30"/>
      <c r="H162" s="30"/>
      <c r="I162" s="30"/>
      <c r="J162" s="30" t="str">
        <f t="shared" si="2"/>
        <v>pending</v>
      </c>
    </row>
    <row r="163" spans="1:10" ht="30" x14ac:dyDescent="0.25">
      <c r="A163" s="30" t="s">
        <v>1073</v>
      </c>
      <c r="B163" s="30" t="s">
        <v>1370</v>
      </c>
      <c r="C163" s="30" t="s">
        <v>1209</v>
      </c>
      <c r="D163" s="30"/>
      <c r="E163" s="30"/>
      <c r="F163" s="30"/>
      <c r="G163" s="30"/>
      <c r="H163" s="30"/>
      <c r="I163" s="30"/>
      <c r="J163" s="30" t="str">
        <f t="shared" si="2"/>
        <v>pending</v>
      </c>
    </row>
    <row r="164" spans="1:10" x14ac:dyDescent="0.25">
      <c r="A164" s="30" t="s">
        <v>1074</v>
      </c>
      <c r="B164" s="30" t="s">
        <v>1371</v>
      </c>
      <c r="C164" s="30" t="s">
        <v>1209</v>
      </c>
      <c r="D164" s="30"/>
      <c r="E164" s="30"/>
      <c r="F164" s="30"/>
      <c r="G164" s="30"/>
      <c r="H164" s="30"/>
      <c r="I164" s="30"/>
      <c r="J164" s="30" t="str">
        <f t="shared" si="2"/>
        <v>pending</v>
      </c>
    </row>
    <row r="165" spans="1:10" ht="30" x14ac:dyDescent="0.25">
      <c r="A165" s="30" t="s">
        <v>1075</v>
      </c>
      <c r="B165" s="30" t="s">
        <v>1372</v>
      </c>
      <c r="C165" s="30" t="s">
        <v>1209</v>
      </c>
      <c r="D165" s="30"/>
      <c r="E165" s="30"/>
      <c r="F165" s="30"/>
      <c r="G165" s="30"/>
      <c r="H165" s="30"/>
      <c r="I165" s="30"/>
      <c r="J165" s="30" t="str">
        <f t="shared" si="2"/>
        <v>pending</v>
      </c>
    </row>
    <row r="166" spans="1:10" x14ac:dyDescent="0.25">
      <c r="A166" s="30" t="s">
        <v>1076</v>
      </c>
      <c r="B166" s="30" t="s">
        <v>1373</v>
      </c>
      <c r="C166" s="30" t="s">
        <v>1209</v>
      </c>
      <c r="D166" s="30"/>
      <c r="E166" s="30"/>
      <c r="F166" s="30"/>
      <c r="G166" s="30"/>
      <c r="H166" s="30"/>
      <c r="I166" s="30"/>
      <c r="J166" s="30" t="str">
        <f t="shared" si="2"/>
        <v>pending</v>
      </c>
    </row>
    <row r="167" spans="1:10" ht="30" x14ac:dyDescent="0.25">
      <c r="A167" s="30" t="s">
        <v>1077</v>
      </c>
      <c r="B167" s="30" t="s">
        <v>1374</v>
      </c>
      <c r="C167" s="30" t="s">
        <v>1209</v>
      </c>
      <c r="D167" s="30"/>
      <c r="E167" s="30"/>
      <c r="F167" s="30"/>
      <c r="G167" s="30"/>
      <c r="H167" s="30"/>
      <c r="I167" s="30"/>
      <c r="J167" s="30" t="str">
        <f t="shared" si="2"/>
        <v>pending</v>
      </c>
    </row>
    <row r="168" spans="1:10" x14ac:dyDescent="0.25">
      <c r="A168" s="30" t="s">
        <v>1078</v>
      </c>
      <c r="B168" s="30" t="s">
        <v>1375</v>
      </c>
      <c r="C168" s="30" t="s">
        <v>1209</v>
      </c>
      <c r="D168" s="30"/>
      <c r="E168" s="30"/>
      <c r="F168" s="30"/>
      <c r="G168" s="30"/>
      <c r="H168" s="30"/>
      <c r="I168" s="30"/>
      <c r="J168" s="30" t="str">
        <f t="shared" si="2"/>
        <v>pending</v>
      </c>
    </row>
    <row r="169" spans="1:10" ht="30" x14ac:dyDescent="0.25">
      <c r="A169" s="30" t="s">
        <v>1079</v>
      </c>
      <c r="B169" s="30" t="s">
        <v>1376</v>
      </c>
      <c r="C169" s="30" t="s">
        <v>1209</v>
      </c>
      <c r="D169" s="30"/>
      <c r="E169" s="30"/>
      <c r="F169" s="30"/>
      <c r="G169" s="30"/>
      <c r="H169" s="30"/>
      <c r="I169" s="30"/>
      <c r="J169" s="30" t="str">
        <f t="shared" si="2"/>
        <v>pending</v>
      </c>
    </row>
    <row r="170" spans="1:10" ht="30" x14ac:dyDescent="0.25">
      <c r="A170" s="30" t="s">
        <v>1080</v>
      </c>
      <c r="B170" s="30" t="s">
        <v>1377</v>
      </c>
      <c r="C170" s="30" t="s">
        <v>1209</v>
      </c>
      <c r="D170" s="30"/>
      <c r="E170" s="30"/>
      <c r="F170" s="30"/>
      <c r="G170" s="30"/>
      <c r="H170" s="30"/>
      <c r="I170" s="30"/>
      <c r="J170" s="30" t="str">
        <f t="shared" si="2"/>
        <v>pending</v>
      </c>
    </row>
    <row r="171" spans="1:10" ht="30" x14ac:dyDescent="0.25">
      <c r="A171" s="30" t="s">
        <v>1081</v>
      </c>
      <c r="B171" s="30" t="s">
        <v>1378</v>
      </c>
      <c r="C171" s="30" t="s">
        <v>1209</v>
      </c>
      <c r="D171" s="30"/>
      <c r="E171" s="30"/>
      <c r="F171" s="30"/>
      <c r="G171" s="30"/>
      <c r="H171" s="30"/>
      <c r="I171" s="30"/>
      <c r="J171" s="30" t="str">
        <f t="shared" si="2"/>
        <v>pending</v>
      </c>
    </row>
    <row r="172" spans="1:10" ht="30" x14ac:dyDescent="0.25">
      <c r="A172" s="30" t="s">
        <v>1082</v>
      </c>
      <c r="B172" s="30" t="s">
        <v>1379</v>
      </c>
      <c r="C172" s="30" t="s">
        <v>1209</v>
      </c>
      <c r="D172" s="30"/>
      <c r="E172" s="30"/>
      <c r="F172" s="30"/>
      <c r="G172" s="30"/>
      <c r="H172" s="30"/>
      <c r="I172" s="30"/>
      <c r="J172" s="30" t="str">
        <f t="shared" si="2"/>
        <v>pending</v>
      </c>
    </row>
    <row r="173" spans="1:10" ht="45" x14ac:dyDescent="0.25">
      <c r="A173" s="30" t="s">
        <v>1083</v>
      </c>
      <c r="B173" s="30" t="s">
        <v>1380</v>
      </c>
      <c r="C173" s="30" t="s">
        <v>1209</v>
      </c>
      <c r="D173" s="30"/>
      <c r="E173" s="30"/>
      <c r="F173" s="30"/>
      <c r="G173" s="30"/>
      <c r="H173" s="30"/>
      <c r="I173" s="30"/>
      <c r="J173" s="30" t="str">
        <f t="shared" si="2"/>
        <v>pending</v>
      </c>
    </row>
    <row r="174" spans="1:10" ht="30" x14ac:dyDescent="0.25">
      <c r="A174" s="30" t="s">
        <v>1084</v>
      </c>
      <c r="B174" s="30" t="s">
        <v>1381</v>
      </c>
      <c r="C174" s="30" t="s">
        <v>1209</v>
      </c>
      <c r="D174" s="30"/>
      <c r="E174" s="30"/>
      <c r="F174" s="30"/>
      <c r="G174" s="30"/>
      <c r="H174" s="30"/>
      <c r="I174" s="30"/>
      <c r="J174" s="30" t="str">
        <f t="shared" si="2"/>
        <v>pending</v>
      </c>
    </row>
    <row r="175" spans="1:10" x14ac:dyDescent="0.25">
      <c r="A175" s="30" t="s">
        <v>1085</v>
      </c>
      <c r="B175" s="30" t="s">
        <v>1382</v>
      </c>
      <c r="C175" s="30" t="s">
        <v>1209</v>
      </c>
      <c r="D175" s="30"/>
      <c r="E175" s="30"/>
      <c r="F175" s="30"/>
      <c r="G175" s="30"/>
      <c r="H175" s="30"/>
      <c r="I175" s="30"/>
      <c r="J175" s="30" t="str">
        <f t="shared" si="2"/>
        <v>pending</v>
      </c>
    </row>
    <row r="176" spans="1:10" x14ac:dyDescent="0.25">
      <c r="A176" s="30" t="s">
        <v>1086</v>
      </c>
      <c r="B176" s="30" t="s">
        <v>1383</v>
      </c>
      <c r="C176" s="30" t="s">
        <v>1209</v>
      </c>
      <c r="D176" s="30"/>
      <c r="E176" s="30"/>
      <c r="F176" s="30"/>
      <c r="G176" s="30"/>
      <c r="H176" s="30"/>
      <c r="I176" s="30"/>
      <c r="J176" s="30" t="str">
        <f t="shared" si="2"/>
        <v>pending</v>
      </c>
    </row>
    <row r="177" spans="1:10" ht="45" x14ac:dyDescent="0.25">
      <c r="A177" s="30" t="s">
        <v>1087</v>
      </c>
      <c r="B177" s="30" t="s">
        <v>1384</v>
      </c>
      <c r="C177" s="30" t="s">
        <v>1209</v>
      </c>
      <c r="D177" s="30"/>
      <c r="E177" s="30"/>
      <c r="F177" s="30"/>
      <c r="G177" s="30"/>
      <c r="H177" s="30"/>
      <c r="I177" s="30"/>
      <c r="J177" s="30" t="str">
        <f t="shared" si="2"/>
        <v>pending</v>
      </c>
    </row>
    <row r="178" spans="1:10" x14ac:dyDescent="0.25">
      <c r="A178" s="30" t="s">
        <v>1088</v>
      </c>
      <c r="B178" s="30" t="s">
        <v>1385</v>
      </c>
      <c r="C178" s="30" t="s">
        <v>1209</v>
      </c>
      <c r="D178" s="30"/>
      <c r="E178" s="30"/>
      <c r="F178" s="30"/>
      <c r="G178" s="30"/>
      <c r="H178" s="30"/>
      <c r="I178" s="30"/>
      <c r="J178" s="30" t="str">
        <f t="shared" si="2"/>
        <v>pending</v>
      </c>
    </row>
    <row r="179" spans="1:10" ht="30" x14ac:dyDescent="0.25">
      <c r="A179" s="30" t="s">
        <v>1089</v>
      </c>
      <c r="B179" s="30" t="s">
        <v>1386</v>
      </c>
      <c r="C179" s="30" t="s">
        <v>1209</v>
      </c>
      <c r="D179" s="30"/>
      <c r="E179" s="30"/>
      <c r="F179" s="30"/>
      <c r="G179" s="30"/>
      <c r="H179" s="30"/>
      <c r="I179" s="30"/>
      <c r="J179" s="30" t="str">
        <f t="shared" si="2"/>
        <v>pending</v>
      </c>
    </row>
    <row r="180" spans="1:10" x14ac:dyDescent="0.25">
      <c r="A180" s="30" t="s">
        <v>1090</v>
      </c>
      <c r="B180" s="30" t="s">
        <v>1387</v>
      </c>
      <c r="C180" s="30" t="s">
        <v>1209</v>
      </c>
      <c r="D180" s="30"/>
      <c r="E180" s="30"/>
      <c r="F180" s="30"/>
      <c r="G180" s="30"/>
      <c r="H180" s="30"/>
      <c r="I180" s="30"/>
      <c r="J180" s="30" t="str">
        <f t="shared" si="2"/>
        <v>pending</v>
      </c>
    </row>
    <row r="181" spans="1:10" ht="30" x14ac:dyDescent="0.25">
      <c r="A181" s="30" t="s">
        <v>1091</v>
      </c>
      <c r="B181" s="30" t="s">
        <v>1388</v>
      </c>
      <c r="C181" s="30" t="s">
        <v>1209</v>
      </c>
      <c r="D181" s="30"/>
      <c r="E181" s="30"/>
      <c r="F181" s="30"/>
      <c r="G181" s="30"/>
      <c r="H181" s="30"/>
      <c r="I181" s="30"/>
      <c r="J181" s="30" t="str">
        <f t="shared" si="2"/>
        <v>pending</v>
      </c>
    </row>
    <row r="182" spans="1:10" x14ac:dyDescent="0.25">
      <c r="A182" s="30" t="s">
        <v>1092</v>
      </c>
      <c r="B182" s="30" t="s">
        <v>1389</v>
      </c>
      <c r="C182" s="30" t="s">
        <v>1209</v>
      </c>
      <c r="D182" s="30"/>
      <c r="E182" s="30"/>
      <c r="F182" s="30"/>
      <c r="G182" s="30"/>
      <c r="H182" s="30"/>
      <c r="I182" s="30"/>
      <c r="J182" s="30" t="str">
        <f t="shared" si="2"/>
        <v>pending</v>
      </c>
    </row>
    <row r="183" spans="1:10" ht="45" x14ac:dyDescent="0.25">
      <c r="A183" s="30" t="s">
        <v>1093</v>
      </c>
      <c r="B183" s="30" t="s">
        <v>1390</v>
      </c>
      <c r="C183" s="30" t="s">
        <v>1209</v>
      </c>
      <c r="D183" s="30"/>
      <c r="E183" s="30"/>
      <c r="F183" s="30"/>
      <c r="G183" s="30"/>
      <c r="H183" s="30"/>
      <c r="I183" s="30"/>
      <c r="J183" s="30" t="str">
        <f t="shared" si="2"/>
        <v>pending</v>
      </c>
    </row>
    <row r="184" spans="1:10" ht="30" x14ac:dyDescent="0.25">
      <c r="A184" s="30" t="s">
        <v>1094</v>
      </c>
      <c r="B184" s="30" t="s">
        <v>1391</v>
      </c>
      <c r="C184" s="30" t="s">
        <v>1209</v>
      </c>
      <c r="D184" s="30"/>
      <c r="E184" s="30"/>
      <c r="F184" s="30"/>
      <c r="G184" s="30"/>
      <c r="H184" s="30"/>
      <c r="I184" s="30"/>
      <c r="J184" s="30" t="str">
        <f t="shared" si="2"/>
        <v>pending</v>
      </c>
    </row>
    <row r="185" spans="1:10" ht="45" x14ac:dyDescent="0.25">
      <c r="A185" s="30" t="s">
        <v>1095</v>
      </c>
      <c r="B185" s="30" t="s">
        <v>1392</v>
      </c>
      <c r="C185" s="30" t="s">
        <v>1209</v>
      </c>
      <c r="D185" s="30"/>
      <c r="E185" s="30"/>
      <c r="F185" s="30"/>
      <c r="G185" s="30"/>
      <c r="H185" s="30"/>
      <c r="I185" s="30"/>
      <c r="J185" s="30" t="str">
        <f t="shared" si="2"/>
        <v>pending</v>
      </c>
    </row>
    <row r="186" spans="1:10" x14ac:dyDescent="0.25">
      <c r="A186" s="30" t="s">
        <v>1096</v>
      </c>
      <c r="B186" s="30" t="s">
        <v>1393</v>
      </c>
      <c r="C186" s="30" t="s">
        <v>1209</v>
      </c>
      <c r="D186" s="30"/>
      <c r="E186" s="30"/>
      <c r="F186" s="30"/>
      <c r="G186" s="30"/>
      <c r="H186" s="30"/>
      <c r="I186" s="30"/>
      <c r="J186" s="30" t="str">
        <f t="shared" si="2"/>
        <v>pending</v>
      </c>
    </row>
    <row r="187" spans="1:10" x14ac:dyDescent="0.25">
      <c r="A187" s="30" t="s">
        <v>1097</v>
      </c>
      <c r="B187" s="30" t="s">
        <v>1394</v>
      </c>
      <c r="C187" s="30" t="s">
        <v>1209</v>
      </c>
      <c r="D187" s="30"/>
      <c r="E187" s="30"/>
      <c r="F187" s="30"/>
      <c r="G187" s="30"/>
      <c r="H187" s="30"/>
      <c r="I187" s="30"/>
      <c r="J187" s="30" t="str">
        <f t="shared" si="2"/>
        <v>pending</v>
      </c>
    </row>
    <row r="188" spans="1:10" x14ac:dyDescent="0.25">
      <c r="A188" s="30" t="s">
        <v>1098</v>
      </c>
      <c r="B188" s="30" t="s">
        <v>1395</v>
      </c>
      <c r="C188" s="30" t="s">
        <v>1209</v>
      </c>
      <c r="D188" s="30"/>
      <c r="E188" s="30"/>
      <c r="F188" s="30"/>
      <c r="G188" s="30"/>
      <c r="H188" s="30"/>
      <c r="I188" s="30"/>
      <c r="J188" s="30" t="str">
        <f t="shared" si="2"/>
        <v>pending</v>
      </c>
    </row>
    <row r="189" spans="1:10" ht="30" x14ac:dyDescent="0.25">
      <c r="A189" s="30" t="s">
        <v>1099</v>
      </c>
      <c r="B189" s="30" t="s">
        <v>1396</v>
      </c>
      <c r="C189" s="30" t="s">
        <v>1209</v>
      </c>
      <c r="D189" s="30"/>
      <c r="E189" s="30"/>
      <c r="F189" s="30"/>
      <c r="G189" s="30"/>
      <c r="H189" s="30"/>
      <c r="I189" s="30"/>
      <c r="J189" s="30" t="str">
        <f t="shared" si="2"/>
        <v>pending</v>
      </c>
    </row>
    <row r="190" spans="1:10" ht="30" x14ac:dyDescent="0.25">
      <c r="A190" s="30" t="s">
        <v>1100</v>
      </c>
      <c r="B190" s="30" t="s">
        <v>1397</v>
      </c>
      <c r="C190" s="30" t="s">
        <v>1209</v>
      </c>
      <c r="D190" s="30"/>
      <c r="E190" s="30"/>
      <c r="F190" s="30"/>
      <c r="G190" s="30"/>
      <c r="H190" s="30"/>
      <c r="I190" s="30"/>
      <c r="J190" s="30" t="str">
        <f t="shared" si="2"/>
        <v>pending</v>
      </c>
    </row>
    <row r="191" spans="1:10" ht="30" x14ac:dyDescent="0.25">
      <c r="A191" s="30" t="s">
        <v>1101</v>
      </c>
      <c r="B191" s="30" t="s">
        <v>1398</v>
      </c>
      <c r="C191" s="30" t="s">
        <v>1209</v>
      </c>
      <c r="D191" s="30"/>
      <c r="E191" s="30"/>
      <c r="F191" s="30"/>
      <c r="G191" s="30"/>
      <c r="H191" s="30"/>
      <c r="I191" s="30"/>
      <c r="J191" s="30" t="str">
        <f t="shared" si="2"/>
        <v>pending</v>
      </c>
    </row>
    <row r="192" spans="1:10" x14ac:dyDescent="0.25">
      <c r="A192" s="30" t="s">
        <v>1102</v>
      </c>
      <c r="B192" s="30" t="s">
        <v>1399</v>
      </c>
      <c r="C192" s="30" t="s">
        <v>1209</v>
      </c>
      <c r="D192" s="30"/>
      <c r="E192" s="30"/>
      <c r="F192" s="30"/>
      <c r="G192" s="30"/>
      <c r="H192" s="30"/>
      <c r="I192" s="30"/>
      <c r="J192" s="30" t="str">
        <f t="shared" si="2"/>
        <v>pending</v>
      </c>
    </row>
    <row r="193" spans="1:10" x14ac:dyDescent="0.25">
      <c r="A193" s="30" t="s">
        <v>1103</v>
      </c>
      <c r="B193" s="30" t="s">
        <v>1400</v>
      </c>
      <c r="C193" s="30" t="s">
        <v>1209</v>
      </c>
      <c r="D193" s="30"/>
      <c r="E193" s="30"/>
      <c r="F193" s="30"/>
      <c r="G193" s="30"/>
      <c r="H193" s="30"/>
      <c r="I193" s="30"/>
      <c r="J193" s="30" t="str">
        <f t="shared" si="2"/>
        <v>pending</v>
      </c>
    </row>
    <row r="194" spans="1:10" x14ac:dyDescent="0.25">
      <c r="A194" s="30" t="s">
        <v>1104</v>
      </c>
      <c r="B194" s="30" t="s">
        <v>1401</v>
      </c>
      <c r="C194" s="30" t="s">
        <v>1209</v>
      </c>
      <c r="D194" s="30"/>
      <c r="E194" s="30"/>
      <c r="F194" s="30"/>
      <c r="G194" s="30"/>
      <c r="H194" s="30"/>
      <c r="I194" s="30"/>
      <c r="J194" s="30" t="str">
        <f t="shared" si="2"/>
        <v>pending</v>
      </c>
    </row>
    <row r="195" spans="1:10" ht="30" x14ac:dyDescent="0.25">
      <c r="A195" s="30" t="s">
        <v>1105</v>
      </c>
      <c r="B195" s="30" t="s">
        <v>1402</v>
      </c>
      <c r="C195" s="30" t="s">
        <v>1209</v>
      </c>
      <c r="D195" s="30"/>
      <c r="E195" s="30"/>
      <c r="F195" s="30"/>
      <c r="G195" s="30"/>
      <c r="H195" s="30"/>
      <c r="I195" s="30"/>
      <c r="J195" s="30" t="str">
        <f t="shared" ref="J195:J258" si="3">IF(C195&lt;&gt;"-","done","pending")</f>
        <v>pending</v>
      </c>
    </row>
    <row r="196" spans="1:10" ht="30" x14ac:dyDescent="0.25">
      <c r="A196" s="30" t="s">
        <v>1106</v>
      </c>
      <c r="B196" s="30" t="s">
        <v>1403</v>
      </c>
      <c r="C196" s="30" t="s">
        <v>1209</v>
      </c>
      <c r="D196" s="30"/>
      <c r="E196" s="30"/>
      <c r="F196" s="30"/>
      <c r="G196" s="30"/>
      <c r="H196" s="30"/>
      <c r="I196" s="30"/>
      <c r="J196" s="30" t="str">
        <f t="shared" si="3"/>
        <v>pending</v>
      </c>
    </row>
    <row r="197" spans="1:10" x14ac:dyDescent="0.25">
      <c r="A197" s="30" t="s">
        <v>1107</v>
      </c>
      <c r="B197" s="30" t="s">
        <v>1404</v>
      </c>
      <c r="C197" s="30" t="s">
        <v>1209</v>
      </c>
      <c r="D197" s="30"/>
      <c r="E197" s="30"/>
      <c r="F197" s="30"/>
      <c r="G197" s="30"/>
      <c r="H197" s="30"/>
      <c r="I197" s="30"/>
      <c r="J197" s="30" t="str">
        <f t="shared" si="3"/>
        <v>pending</v>
      </c>
    </row>
    <row r="198" spans="1:10" ht="30" x14ac:dyDescent="0.25">
      <c r="A198" s="30" t="s">
        <v>1108</v>
      </c>
      <c r="B198" s="30" t="s">
        <v>1405</v>
      </c>
      <c r="C198" s="30" t="s">
        <v>1209</v>
      </c>
      <c r="D198" s="30"/>
      <c r="E198" s="30"/>
      <c r="F198" s="30"/>
      <c r="G198" s="30"/>
      <c r="H198" s="30"/>
      <c r="I198" s="30"/>
      <c r="J198" s="30" t="str">
        <f t="shared" si="3"/>
        <v>pending</v>
      </c>
    </row>
    <row r="199" spans="1:10" ht="30" x14ac:dyDescent="0.25">
      <c r="A199" s="30" t="s">
        <v>1109</v>
      </c>
      <c r="B199" s="30" t="s">
        <v>1406</v>
      </c>
      <c r="C199" s="30" t="s">
        <v>1209</v>
      </c>
      <c r="D199" s="30"/>
      <c r="E199" s="30"/>
      <c r="F199" s="30"/>
      <c r="G199" s="30"/>
      <c r="H199" s="30"/>
      <c r="I199" s="30"/>
      <c r="J199" s="30" t="str">
        <f t="shared" si="3"/>
        <v>pending</v>
      </c>
    </row>
    <row r="200" spans="1:10" ht="30" x14ac:dyDescent="0.25">
      <c r="A200" s="30" t="s">
        <v>1110</v>
      </c>
      <c r="B200" s="30" t="s">
        <v>1407</v>
      </c>
      <c r="C200" s="30" t="s">
        <v>1209</v>
      </c>
      <c r="D200" s="30"/>
      <c r="E200" s="30"/>
      <c r="F200" s="30"/>
      <c r="G200" s="30"/>
      <c r="H200" s="30"/>
      <c r="I200" s="30"/>
      <c r="J200" s="30" t="str">
        <f t="shared" si="3"/>
        <v>pending</v>
      </c>
    </row>
    <row r="201" spans="1:10" ht="30" x14ac:dyDescent="0.25">
      <c r="A201" s="30" t="s">
        <v>1111</v>
      </c>
      <c r="B201" s="30" t="s">
        <v>1408</v>
      </c>
      <c r="C201" s="30" t="s">
        <v>1209</v>
      </c>
      <c r="D201" s="30"/>
      <c r="E201" s="30"/>
      <c r="F201" s="30"/>
      <c r="G201" s="30"/>
      <c r="H201" s="30"/>
      <c r="I201" s="30"/>
      <c r="J201" s="30" t="str">
        <f t="shared" si="3"/>
        <v>pending</v>
      </c>
    </row>
    <row r="202" spans="1:10" x14ac:dyDescent="0.25">
      <c r="A202" s="30" t="s">
        <v>1112</v>
      </c>
      <c r="B202" s="30" t="s">
        <v>1409</v>
      </c>
      <c r="C202" s="30" t="s">
        <v>1209</v>
      </c>
      <c r="D202" s="30"/>
      <c r="E202" s="30"/>
      <c r="F202" s="30"/>
      <c r="G202" s="30"/>
      <c r="H202" s="30"/>
      <c r="I202" s="30"/>
      <c r="J202" s="30" t="str">
        <f t="shared" si="3"/>
        <v>pending</v>
      </c>
    </row>
    <row r="203" spans="1:10" ht="30" x14ac:dyDescent="0.25">
      <c r="A203" s="30" t="s">
        <v>1113</v>
      </c>
      <c r="B203" s="30" t="s">
        <v>1410</v>
      </c>
      <c r="C203" s="30" t="s">
        <v>1209</v>
      </c>
      <c r="D203" s="30"/>
      <c r="E203" s="30"/>
      <c r="F203" s="30"/>
      <c r="G203" s="30"/>
      <c r="H203" s="30"/>
      <c r="I203" s="30"/>
      <c r="J203" s="30" t="str">
        <f t="shared" si="3"/>
        <v>pending</v>
      </c>
    </row>
    <row r="204" spans="1:10" x14ac:dyDescent="0.25">
      <c r="A204" s="30" t="s">
        <v>1114</v>
      </c>
      <c r="B204" s="30" t="s">
        <v>1411</v>
      </c>
      <c r="C204" s="30" t="s">
        <v>1209</v>
      </c>
      <c r="D204" s="30"/>
      <c r="E204" s="30"/>
      <c r="F204" s="30"/>
      <c r="G204" s="30"/>
      <c r="H204" s="30"/>
      <c r="I204" s="30"/>
      <c r="J204" s="30" t="str">
        <f t="shared" si="3"/>
        <v>pending</v>
      </c>
    </row>
    <row r="205" spans="1:10" x14ac:dyDescent="0.25">
      <c r="A205" s="30" t="s">
        <v>1115</v>
      </c>
      <c r="B205" s="30" t="s">
        <v>1412</v>
      </c>
      <c r="C205" s="30" t="s">
        <v>1209</v>
      </c>
      <c r="D205" s="30"/>
      <c r="E205" s="30"/>
      <c r="F205" s="30"/>
      <c r="G205" s="30"/>
      <c r="H205" s="30"/>
      <c r="I205" s="30"/>
      <c r="J205" s="30" t="str">
        <f t="shared" si="3"/>
        <v>pending</v>
      </c>
    </row>
    <row r="206" spans="1:10" ht="30" x14ac:dyDescent="0.25">
      <c r="A206" s="30" t="s">
        <v>1116</v>
      </c>
      <c r="B206" s="30" t="s">
        <v>1413</v>
      </c>
      <c r="C206" s="30" t="s">
        <v>1209</v>
      </c>
      <c r="D206" s="30"/>
      <c r="E206" s="30"/>
      <c r="F206" s="30"/>
      <c r="G206" s="30"/>
      <c r="H206" s="30"/>
      <c r="I206" s="30"/>
      <c r="J206" s="30" t="str">
        <f t="shared" si="3"/>
        <v>pending</v>
      </c>
    </row>
    <row r="207" spans="1:10" x14ac:dyDescent="0.25">
      <c r="A207" s="30" t="s">
        <v>1117</v>
      </c>
      <c r="B207" s="30" t="s">
        <v>1414</v>
      </c>
      <c r="C207" s="30" t="s">
        <v>1209</v>
      </c>
      <c r="D207" s="30"/>
      <c r="E207" s="30"/>
      <c r="F207" s="30"/>
      <c r="G207" s="30"/>
      <c r="H207" s="30"/>
      <c r="I207" s="30"/>
      <c r="J207" s="30" t="str">
        <f t="shared" si="3"/>
        <v>pending</v>
      </c>
    </row>
    <row r="208" spans="1:10" ht="45" x14ac:dyDescent="0.25">
      <c r="A208" s="30" t="s">
        <v>1118</v>
      </c>
      <c r="B208" s="30" t="s">
        <v>1415</v>
      </c>
      <c r="C208" s="30" t="s">
        <v>1209</v>
      </c>
      <c r="D208" s="30"/>
      <c r="E208" s="30"/>
      <c r="F208" s="30"/>
      <c r="G208" s="30"/>
      <c r="H208" s="30"/>
      <c r="I208" s="30"/>
      <c r="J208" s="30" t="str">
        <f t="shared" si="3"/>
        <v>pending</v>
      </c>
    </row>
    <row r="209" spans="1:10" ht="30" x14ac:dyDescent="0.25">
      <c r="A209" s="30" t="s">
        <v>1119</v>
      </c>
      <c r="B209" s="30" t="s">
        <v>1416</v>
      </c>
      <c r="C209" s="30" t="s">
        <v>1209</v>
      </c>
      <c r="D209" s="30"/>
      <c r="E209" s="30"/>
      <c r="F209" s="30"/>
      <c r="G209" s="30"/>
      <c r="H209" s="30"/>
      <c r="I209" s="30"/>
      <c r="J209" s="30" t="str">
        <f t="shared" si="3"/>
        <v>pending</v>
      </c>
    </row>
    <row r="210" spans="1:10" x14ac:dyDescent="0.25">
      <c r="A210" s="30" t="s">
        <v>1120</v>
      </c>
      <c r="B210" s="30" t="s">
        <v>1417</v>
      </c>
      <c r="C210" s="30" t="s">
        <v>1209</v>
      </c>
      <c r="D210" s="30"/>
      <c r="E210" s="30"/>
      <c r="F210" s="30"/>
      <c r="G210" s="30"/>
      <c r="H210" s="30"/>
      <c r="I210" s="30"/>
      <c r="J210" s="30" t="str">
        <f t="shared" si="3"/>
        <v>pending</v>
      </c>
    </row>
    <row r="211" spans="1:10" ht="45" x14ac:dyDescent="0.25">
      <c r="A211" s="30" t="s">
        <v>1121</v>
      </c>
      <c r="B211" s="30" t="s">
        <v>1418</v>
      </c>
      <c r="C211" s="30" t="s">
        <v>1209</v>
      </c>
      <c r="D211" s="30"/>
      <c r="E211" s="30"/>
      <c r="F211" s="30"/>
      <c r="G211" s="30"/>
      <c r="H211" s="30"/>
      <c r="I211" s="30"/>
      <c r="J211" s="30" t="str">
        <f t="shared" si="3"/>
        <v>pending</v>
      </c>
    </row>
    <row r="212" spans="1:10" x14ac:dyDescent="0.25">
      <c r="A212" s="30" t="s">
        <v>1122</v>
      </c>
      <c r="B212" s="30" t="s">
        <v>1419</v>
      </c>
      <c r="C212" s="30" t="s">
        <v>1209</v>
      </c>
      <c r="D212" s="30"/>
      <c r="E212" s="30"/>
      <c r="F212" s="30"/>
      <c r="G212" s="30"/>
      <c r="H212" s="30"/>
      <c r="I212" s="30"/>
      <c r="J212" s="30" t="str">
        <f t="shared" si="3"/>
        <v>pending</v>
      </c>
    </row>
    <row r="213" spans="1:10" x14ac:dyDescent="0.25">
      <c r="A213" s="30" t="s">
        <v>1123</v>
      </c>
      <c r="B213" s="30" t="s">
        <v>1420</v>
      </c>
      <c r="C213" s="30" t="s">
        <v>1209</v>
      </c>
      <c r="D213" s="30"/>
      <c r="E213" s="30"/>
      <c r="F213" s="30"/>
      <c r="G213" s="30"/>
      <c r="H213" s="30"/>
      <c r="I213" s="30"/>
      <c r="J213" s="30" t="str">
        <f t="shared" si="3"/>
        <v>pending</v>
      </c>
    </row>
    <row r="214" spans="1:10" x14ac:dyDescent="0.25">
      <c r="A214" s="30" t="s">
        <v>1124</v>
      </c>
      <c r="B214" s="30" t="s">
        <v>1421</v>
      </c>
      <c r="C214" s="30" t="s">
        <v>1209</v>
      </c>
      <c r="D214" s="30"/>
      <c r="E214" s="30"/>
      <c r="F214" s="30"/>
      <c r="G214" s="30"/>
      <c r="H214" s="30"/>
      <c r="I214" s="30"/>
      <c r="J214" s="30" t="str">
        <f t="shared" si="3"/>
        <v>pending</v>
      </c>
    </row>
    <row r="215" spans="1:10" ht="30" x14ac:dyDescent="0.25">
      <c r="A215" s="30" t="s">
        <v>1125</v>
      </c>
      <c r="B215" s="30" t="s">
        <v>1422</v>
      </c>
      <c r="C215" s="30" t="s">
        <v>1209</v>
      </c>
      <c r="D215" s="30"/>
      <c r="E215" s="30"/>
      <c r="F215" s="30"/>
      <c r="G215" s="30"/>
      <c r="H215" s="30"/>
      <c r="I215" s="30"/>
      <c r="J215" s="30" t="str">
        <f t="shared" si="3"/>
        <v>pending</v>
      </c>
    </row>
    <row r="216" spans="1:10" ht="30" x14ac:dyDescent="0.25">
      <c r="A216" s="30" t="s">
        <v>1126</v>
      </c>
      <c r="B216" s="30" t="s">
        <v>1423</v>
      </c>
      <c r="C216" s="30" t="s">
        <v>1209</v>
      </c>
      <c r="D216" s="30"/>
      <c r="E216" s="30"/>
      <c r="F216" s="30"/>
      <c r="G216" s="30"/>
      <c r="H216" s="30"/>
      <c r="I216" s="30"/>
      <c r="J216" s="30" t="str">
        <f t="shared" si="3"/>
        <v>pending</v>
      </c>
    </row>
    <row r="217" spans="1:10" x14ac:dyDescent="0.25">
      <c r="A217" s="30" t="s">
        <v>1127</v>
      </c>
      <c r="B217" s="30" t="s">
        <v>1424</v>
      </c>
      <c r="C217" s="30" t="s">
        <v>1209</v>
      </c>
      <c r="D217" s="30"/>
      <c r="E217" s="30"/>
      <c r="F217" s="30"/>
      <c r="G217" s="30"/>
      <c r="H217" s="30"/>
      <c r="I217" s="30"/>
      <c r="J217" s="30" t="str">
        <f t="shared" si="3"/>
        <v>pending</v>
      </c>
    </row>
    <row r="218" spans="1:10" ht="30" x14ac:dyDescent="0.25">
      <c r="A218" s="30" t="s">
        <v>1128</v>
      </c>
      <c r="B218" s="30" t="s">
        <v>1425</v>
      </c>
      <c r="C218" s="30" t="s">
        <v>1209</v>
      </c>
      <c r="D218" s="30"/>
      <c r="E218" s="30"/>
      <c r="F218" s="30"/>
      <c r="G218" s="30"/>
      <c r="H218" s="30"/>
      <c r="I218" s="30"/>
      <c r="J218" s="30" t="str">
        <f t="shared" si="3"/>
        <v>pending</v>
      </c>
    </row>
    <row r="219" spans="1:10" x14ac:dyDescent="0.25">
      <c r="A219" s="30" t="s">
        <v>1129</v>
      </c>
      <c r="B219" s="30" t="s">
        <v>1426</v>
      </c>
      <c r="C219" s="30" t="s">
        <v>1209</v>
      </c>
      <c r="D219" s="30"/>
      <c r="E219" s="30"/>
      <c r="F219" s="30"/>
      <c r="G219" s="30"/>
      <c r="H219" s="30"/>
      <c r="I219" s="30"/>
      <c r="J219" s="30" t="str">
        <f t="shared" si="3"/>
        <v>pending</v>
      </c>
    </row>
    <row r="220" spans="1:10" ht="30" x14ac:dyDescent="0.25">
      <c r="A220" s="30" t="s">
        <v>1130</v>
      </c>
      <c r="B220" s="30" t="s">
        <v>1427</v>
      </c>
      <c r="C220" s="30" t="s">
        <v>1209</v>
      </c>
      <c r="D220" s="30"/>
      <c r="E220" s="30"/>
      <c r="F220" s="30"/>
      <c r="G220" s="30"/>
      <c r="H220" s="30"/>
      <c r="I220" s="30"/>
      <c r="J220" s="30" t="str">
        <f t="shared" si="3"/>
        <v>pending</v>
      </c>
    </row>
    <row r="221" spans="1:10" x14ac:dyDescent="0.25">
      <c r="A221" s="30" t="s">
        <v>1131</v>
      </c>
      <c r="B221" s="30" t="s">
        <v>1428</v>
      </c>
      <c r="C221" s="30" t="s">
        <v>1209</v>
      </c>
      <c r="D221" s="30"/>
      <c r="E221" s="30"/>
      <c r="F221" s="30"/>
      <c r="G221" s="30"/>
      <c r="H221" s="30"/>
      <c r="I221" s="30"/>
      <c r="J221" s="30" t="str">
        <f t="shared" si="3"/>
        <v>pending</v>
      </c>
    </row>
    <row r="222" spans="1:10" ht="30" x14ac:dyDescent="0.25">
      <c r="A222" s="30" t="s">
        <v>1132</v>
      </c>
      <c r="B222" s="30" t="s">
        <v>1429</v>
      </c>
      <c r="C222" s="30" t="s">
        <v>1209</v>
      </c>
      <c r="D222" s="30"/>
      <c r="E222" s="30"/>
      <c r="F222" s="30"/>
      <c r="G222" s="30"/>
      <c r="H222" s="30"/>
      <c r="I222" s="30"/>
      <c r="J222" s="30" t="str">
        <f t="shared" si="3"/>
        <v>pending</v>
      </c>
    </row>
    <row r="223" spans="1:10" ht="30" x14ac:dyDescent="0.25">
      <c r="A223" s="30" t="s">
        <v>1133</v>
      </c>
      <c r="B223" s="30" t="s">
        <v>1430</v>
      </c>
      <c r="C223" s="30" t="s">
        <v>1209</v>
      </c>
      <c r="D223" s="30"/>
      <c r="E223" s="30"/>
      <c r="F223" s="30"/>
      <c r="G223" s="30"/>
      <c r="H223" s="30"/>
      <c r="I223" s="30"/>
      <c r="J223" s="30" t="str">
        <f t="shared" si="3"/>
        <v>pending</v>
      </c>
    </row>
    <row r="224" spans="1:10" ht="30" x14ac:dyDescent="0.25">
      <c r="A224" s="30" t="s">
        <v>1134</v>
      </c>
      <c r="B224" s="30" t="s">
        <v>1431</v>
      </c>
      <c r="C224" s="30" t="s">
        <v>1209</v>
      </c>
      <c r="D224" s="30"/>
      <c r="E224" s="30"/>
      <c r="F224" s="30"/>
      <c r="G224" s="30"/>
      <c r="H224" s="30"/>
      <c r="I224" s="30"/>
      <c r="J224" s="30" t="str">
        <f t="shared" si="3"/>
        <v>pending</v>
      </c>
    </row>
    <row r="225" spans="1:10" x14ac:dyDescent="0.25">
      <c r="A225" s="30" t="s">
        <v>1135</v>
      </c>
      <c r="B225" s="30" t="s">
        <v>1432</v>
      </c>
      <c r="C225" s="30" t="s">
        <v>1209</v>
      </c>
      <c r="D225" s="30"/>
      <c r="E225" s="30"/>
      <c r="F225" s="30"/>
      <c r="G225" s="30"/>
      <c r="H225" s="30"/>
      <c r="I225" s="30"/>
      <c r="J225" s="30" t="str">
        <f t="shared" si="3"/>
        <v>pending</v>
      </c>
    </row>
    <row r="226" spans="1:10" x14ac:dyDescent="0.25">
      <c r="A226" s="30" t="s">
        <v>1136</v>
      </c>
      <c r="B226" s="30" t="s">
        <v>1433</v>
      </c>
      <c r="C226" s="30" t="s">
        <v>1209</v>
      </c>
      <c r="D226" s="30"/>
      <c r="E226" s="30"/>
      <c r="F226" s="30"/>
      <c r="G226" s="30"/>
      <c r="H226" s="30"/>
      <c r="I226" s="30"/>
      <c r="J226" s="30" t="str">
        <f t="shared" si="3"/>
        <v>pending</v>
      </c>
    </row>
    <row r="227" spans="1:10" x14ac:dyDescent="0.25">
      <c r="A227" s="30" t="s">
        <v>1137</v>
      </c>
      <c r="B227" s="30" t="s">
        <v>1434</v>
      </c>
      <c r="C227" s="30" t="s">
        <v>1209</v>
      </c>
      <c r="D227" s="30"/>
      <c r="E227" s="30"/>
      <c r="F227" s="30"/>
      <c r="G227" s="30"/>
      <c r="H227" s="30"/>
      <c r="I227" s="30"/>
      <c r="J227" s="30" t="str">
        <f t="shared" si="3"/>
        <v>pending</v>
      </c>
    </row>
    <row r="228" spans="1:10" ht="30" x14ac:dyDescent="0.25">
      <c r="A228" s="30" t="s">
        <v>1138</v>
      </c>
      <c r="B228" s="30" t="s">
        <v>1435</v>
      </c>
      <c r="C228" s="30" t="s">
        <v>1209</v>
      </c>
      <c r="D228" s="30"/>
      <c r="E228" s="30"/>
      <c r="F228" s="30"/>
      <c r="G228" s="30"/>
      <c r="H228" s="30"/>
      <c r="I228" s="30"/>
      <c r="J228" s="30" t="str">
        <f t="shared" si="3"/>
        <v>pending</v>
      </c>
    </row>
    <row r="229" spans="1:10" ht="30" x14ac:dyDescent="0.25">
      <c r="A229" s="30" t="s">
        <v>1139</v>
      </c>
      <c r="B229" s="30" t="s">
        <v>1436</v>
      </c>
      <c r="C229" s="30" t="s">
        <v>1209</v>
      </c>
      <c r="D229" s="30"/>
      <c r="E229" s="30"/>
      <c r="F229" s="30"/>
      <c r="G229" s="30"/>
      <c r="H229" s="30"/>
      <c r="I229" s="30"/>
      <c r="J229" s="30" t="str">
        <f t="shared" si="3"/>
        <v>pending</v>
      </c>
    </row>
    <row r="230" spans="1:10" ht="30" x14ac:dyDescent="0.25">
      <c r="A230" s="30" t="s">
        <v>1140</v>
      </c>
      <c r="B230" s="30" t="s">
        <v>1437</v>
      </c>
      <c r="C230" s="30" t="s">
        <v>1209</v>
      </c>
      <c r="D230" s="30"/>
      <c r="E230" s="30"/>
      <c r="F230" s="30"/>
      <c r="G230" s="30"/>
      <c r="H230" s="30"/>
      <c r="I230" s="30"/>
      <c r="J230" s="30" t="str">
        <f t="shared" si="3"/>
        <v>pending</v>
      </c>
    </row>
    <row r="231" spans="1:10" ht="45" x14ac:dyDescent="0.25">
      <c r="A231" s="30" t="s">
        <v>1141</v>
      </c>
      <c r="B231" s="30" t="s">
        <v>1438</v>
      </c>
      <c r="C231" s="30" t="s">
        <v>1209</v>
      </c>
      <c r="D231" s="30"/>
      <c r="E231" s="30"/>
      <c r="F231" s="30"/>
      <c r="G231" s="30"/>
      <c r="H231" s="30"/>
      <c r="I231" s="30"/>
      <c r="J231" s="30" t="str">
        <f t="shared" si="3"/>
        <v>pending</v>
      </c>
    </row>
    <row r="232" spans="1:10" ht="45" x14ac:dyDescent="0.25">
      <c r="A232" s="30" t="s">
        <v>1142</v>
      </c>
      <c r="B232" s="30" t="s">
        <v>1439</v>
      </c>
      <c r="C232" s="30" t="s">
        <v>1209</v>
      </c>
      <c r="D232" s="30"/>
      <c r="E232" s="30"/>
      <c r="F232" s="30"/>
      <c r="G232" s="30"/>
      <c r="H232" s="30"/>
      <c r="I232" s="30"/>
      <c r="J232" s="30" t="str">
        <f t="shared" si="3"/>
        <v>pending</v>
      </c>
    </row>
    <row r="233" spans="1:10" ht="30" x14ac:dyDescent="0.25">
      <c r="A233" s="30" t="s">
        <v>1143</v>
      </c>
      <c r="B233" s="30" t="s">
        <v>1440</v>
      </c>
      <c r="C233" s="30" t="s">
        <v>1209</v>
      </c>
      <c r="D233" s="30"/>
      <c r="E233" s="30"/>
      <c r="F233" s="30"/>
      <c r="G233" s="30"/>
      <c r="H233" s="30"/>
      <c r="I233" s="30"/>
      <c r="J233" s="30" t="str">
        <f t="shared" si="3"/>
        <v>pending</v>
      </c>
    </row>
    <row r="234" spans="1:10" x14ac:dyDescent="0.25">
      <c r="A234" s="30" t="s">
        <v>1144</v>
      </c>
      <c r="B234" s="30" t="s">
        <v>1441</v>
      </c>
      <c r="C234" s="30" t="s">
        <v>1209</v>
      </c>
      <c r="D234" s="30"/>
      <c r="E234" s="30"/>
      <c r="F234" s="30"/>
      <c r="G234" s="30"/>
      <c r="H234" s="30"/>
      <c r="I234" s="30"/>
      <c r="J234" s="30" t="str">
        <f t="shared" si="3"/>
        <v>pending</v>
      </c>
    </row>
    <row r="235" spans="1:10" ht="30" x14ac:dyDescent="0.25">
      <c r="A235" s="30" t="s">
        <v>1145</v>
      </c>
      <c r="B235" s="30" t="s">
        <v>1442</v>
      </c>
      <c r="C235" s="30" t="s">
        <v>1209</v>
      </c>
      <c r="D235" s="30"/>
      <c r="E235" s="30"/>
      <c r="F235" s="30"/>
      <c r="G235" s="30"/>
      <c r="H235" s="30"/>
      <c r="I235" s="30"/>
      <c r="J235" s="30" t="str">
        <f t="shared" si="3"/>
        <v>pending</v>
      </c>
    </row>
    <row r="236" spans="1:10" ht="30" x14ac:dyDescent="0.25">
      <c r="A236" s="30" t="s">
        <v>1146</v>
      </c>
      <c r="B236" s="30" t="s">
        <v>1443</v>
      </c>
      <c r="C236" s="30" t="s">
        <v>1209</v>
      </c>
      <c r="D236" s="30"/>
      <c r="E236" s="30"/>
      <c r="F236" s="30"/>
      <c r="G236" s="30"/>
      <c r="H236" s="30"/>
      <c r="I236" s="30"/>
      <c r="J236" s="30" t="str">
        <f t="shared" si="3"/>
        <v>pending</v>
      </c>
    </row>
    <row r="237" spans="1:10" x14ac:dyDescent="0.25">
      <c r="A237" s="30" t="s">
        <v>1147</v>
      </c>
      <c r="B237" s="30" t="s">
        <v>1444</v>
      </c>
      <c r="C237" s="30" t="s">
        <v>1209</v>
      </c>
      <c r="D237" s="30"/>
      <c r="E237" s="30"/>
      <c r="F237" s="30"/>
      <c r="G237" s="30"/>
      <c r="H237" s="30"/>
      <c r="I237" s="30"/>
      <c r="J237" s="30" t="str">
        <f t="shared" si="3"/>
        <v>pending</v>
      </c>
    </row>
    <row r="238" spans="1:10" ht="30" x14ac:dyDescent="0.25">
      <c r="A238" s="30" t="s">
        <v>1148</v>
      </c>
      <c r="B238" s="30" t="s">
        <v>1445</v>
      </c>
      <c r="C238" s="30" t="s">
        <v>1209</v>
      </c>
      <c r="D238" s="30"/>
      <c r="E238" s="30"/>
      <c r="F238" s="30"/>
      <c r="G238" s="30"/>
      <c r="H238" s="30"/>
      <c r="I238" s="30"/>
      <c r="J238" s="30" t="str">
        <f t="shared" si="3"/>
        <v>pending</v>
      </c>
    </row>
    <row r="239" spans="1:10" ht="30" x14ac:dyDescent="0.25">
      <c r="A239" s="30" t="s">
        <v>1149</v>
      </c>
      <c r="B239" s="30" t="s">
        <v>1446</v>
      </c>
      <c r="C239" s="30" t="s">
        <v>1209</v>
      </c>
      <c r="D239" s="30"/>
      <c r="E239" s="30"/>
      <c r="F239" s="30"/>
      <c r="G239" s="30"/>
      <c r="H239" s="30"/>
      <c r="I239" s="30"/>
      <c r="J239" s="30" t="str">
        <f t="shared" si="3"/>
        <v>pending</v>
      </c>
    </row>
    <row r="240" spans="1:10" x14ac:dyDescent="0.25">
      <c r="A240" s="30" t="s">
        <v>1150</v>
      </c>
      <c r="B240" s="30" t="s">
        <v>1447</v>
      </c>
      <c r="C240" s="30" t="s">
        <v>1209</v>
      </c>
      <c r="D240" s="30"/>
      <c r="E240" s="30"/>
      <c r="F240" s="30"/>
      <c r="G240" s="30"/>
      <c r="H240" s="30"/>
      <c r="I240" s="30"/>
      <c r="J240" s="30" t="str">
        <f t="shared" si="3"/>
        <v>pending</v>
      </c>
    </row>
    <row r="241" spans="1:10" ht="30" x14ac:dyDescent="0.25">
      <c r="A241" s="30" t="s">
        <v>1151</v>
      </c>
      <c r="B241" s="30" t="s">
        <v>1448</v>
      </c>
      <c r="C241" s="30" t="s">
        <v>1209</v>
      </c>
      <c r="D241" s="30"/>
      <c r="E241" s="30"/>
      <c r="F241" s="30"/>
      <c r="G241" s="30"/>
      <c r="H241" s="30"/>
      <c r="I241" s="30"/>
      <c r="J241" s="30" t="str">
        <f t="shared" si="3"/>
        <v>pending</v>
      </c>
    </row>
    <row r="242" spans="1:10" x14ac:dyDescent="0.25">
      <c r="A242" s="30" t="s">
        <v>1152</v>
      </c>
      <c r="B242" s="30" t="s">
        <v>1449</v>
      </c>
      <c r="C242" s="30" t="s">
        <v>1209</v>
      </c>
      <c r="D242" s="30"/>
      <c r="E242" s="30"/>
      <c r="F242" s="30"/>
      <c r="G242" s="30"/>
      <c r="H242" s="30"/>
      <c r="I242" s="30"/>
      <c r="J242" s="30" t="str">
        <f t="shared" si="3"/>
        <v>pending</v>
      </c>
    </row>
    <row r="243" spans="1:10" ht="45" x14ac:dyDescent="0.25">
      <c r="A243" s="30" t="s">
        <v>1153</v>
      </c>
      <c r="B243" s="30" t="s">
        <v>1450</v>
      </c>
      <c r="C243" s="30" t="s">
        <v>1209</v>
      </c>
      <c r="D243" s="30"/>
      <c r="E243" s="30"/>
      <c r="F243" s="30"/>
      <c r="G243" s="30"/>
      <c r="H243" s="30"/>
      <c r="I243" s="30"/>
      <c r="J243" s="30" t="str">
        <f t="shared" si="3"/>
        <v>pending</v>
      </c>
    </row>
    <row r="244" spans="1:10" ht="30" x14ac:dyDescent="0.25">
      <c r="A244" s="30" t="s">
        <v>1154</v>
      </c>
      <c r="B244" s="30" t="s">
        <v>1451</v>
      </c>
      <c r="C244" s="30" t="s">
        <v>1209</v>
      </c>
      <c r="D244" s="30"/>
      <c r="E244" s="30"/>
      <c r="F244" s="30"/>
      <c r="G244" s="30"/>
      <c r="H244" s="30"/>
      <c r="I244" s="30"/>
      <c r="J244" s="30" t="str">
        <f t="shared" si="3"/>
        <v>pending</v>
      </c>
    </row>
    <row r="245" spans="1:10" x14ac:dyDescent="0.25">
      <c r="A245" s="30" t="s">
        <v>1155</v>
      </c>
      <c r="B245" s="30" t="s">
        <v>1452</v>
      </c>
      <c r="C245" s="30" t="s">
        <v>1209</v>
      </c>
      <c r="D245" s="30"/>
      <c r="E245" s="30"/>
      <c r="F245" s="30"/>
      <c r="G245" s="30"/>
      <c r="H245" s="30"/>
      <c r="I245" s="30"/>
      <c r="J245" s="30" t="str">
        <f t="shared" si="3"/>
        <v>pending</v>
      </c>
    </row>
    <row r="246" spans="1:10" x14ac:dyDescent="0.25">
      <c r="A246" s="30" t="s">
        <v>1156</v>
      </c>
      <c r="B246" s="30" t="s">
        <v>219</v>
      </c>
      <c r="C246" s="30" t="s">
        <v>1209</v>
      </c>
      <c r="D246" s="30"/>
      <c r="E246" s="30"/>
      <c r="F246" s="30"/>
      <c r="G246" s="30"/>
      <c r="H246" s="30"/>
      <c r="I246" s="30"/>
      <c r="J246" s="30" t="str">
        <f t="shared" si="3"/>
        <v>pending</v>
      </c>
    </row>
    <row r="247" spans="1:10" x14ac:dyDescent="0.25">
      <c r="A247" s="30" t="s">
        <v>1157</v>
      </c>
      <c r="B247" s="30" t="s">
        <v>1453</v>
      </c>
      <c r="C247" s="30" t="s">
        <v>1209</v>
      </c>
      <c r="D247" s="30"/>
      <c r="E247" s="30"/>
      <c r="F247" s="30"/>
      <c r="G247" s="30"/>
      <c r="H247" s="30"/>
      <c r="I247" s="30"/>
      <c r="J247" s="30" t="str">
        <f t="shared" si="3"/>
        <v>pending</v>
      </c>
    </row>
    <row r="248" spans="1:10" ht="30" x14ac:dyDescent="0.25">
      <c r="A248" s="30" t="s">
        <v>1158</v>
      </c>
      <c r="B248" s="30" t="s">
        <v>1454</v>
      </c>
      <c r="C248" s="30" t="s">
        <v>1209</v>
      </c>
      <c r="D248" s="30"/>
      <c r="E248" s="30"/>
      <c r="F248" s="30"/>
      <c r="G248" s="30"/>
      <c r="H248" s="30"/>
      <c r="I248" s="30"/>
      <c r="J248" s="30" t="str">
        <f t="shared" si="3"/>
        <v>pending</v>
      </c>
    </row>
    <row r="249" spans="1:10" ht="30" x14ac:dyDescent="0.25">
      <c r="A249" s="30" t="s">
        <v>1159</v>
      </c>
      <c r="B249" s="30" t="s">
        <v>1455</v>
      </c>
      <c r="C249" s="30" t="s">
        <v>1209</v>
      </c>
      <c r="D249" s="30"/>
      <c r="E249" s="30"/>
      <c r="F249" s="30"/>
      <c r="G249" s="30"/>
      <c r="H249" s="30"/>
      <c r="I249" s="30"/>
      <c r="J249" s="30" t="str">
        <f t="shared" si="3"/>
        <v>pending</v>
      </c>
    </row>
    <row r="250" spans="1:10" x14ac:dyDescent="0.25">
      <c r="A250" s="30" t="s">
        <v>1160</v>
      </c>
      <c r="B250" s="30" t="s">
        <v>1456</v>
      </c>
      <c r="C250" s="30" t="s">
        <v>1209</v>
      </c>
      <c r="D250" s="30"/>
      <c r="E250" s="30"/>
      <c r="F250" s="30"/>
      <c r="G250" s="30"/>
      <c r="H250" s="30"/>
      <c r="I250" s="30"/>
      <c r="J250" s="30" t="str">
        <f t="shared" si="3"/>
        <v>pending</v>
      </c>
    </row>
    <row r="251" spans="1:10" x14ac:dyDescent="0.25">
      <c r="A251" s="30" t="s">
        <v>1161</v>
      </c>
      <c r="B251" s="30" t="s">
        <v>1457</v>
      </c>
      <c r="C251" s="30" t="s">
        <v>1209</v>
      </c>
      <c r="D251" s="30"/>
      <c r="E251" s="30"/>
      <c r="F251" s="30"/>
      <c r="G251" s="30"/>
      <c r="H251" s="30"/>
      <c r="I251" s="30"/>
      <c r="J251" s="30" t="str">
        <f t="shared" si="3"/>
        <v>pending</v>
      </c>
    </row>
    <row r="252" spans="1:10" ht="30" x14ac:dyDescent="0.25">
      <c r="A252" s="30" t="s">
        <v>1162</v>
      </c>
      <c r="B252" s="30" t="s">
        <v>1458</v>
      </c>
      <c r="C252" s="30" t="s">
        <v>1209</v>
      </c>
      <c r="D252" s="30"/>
      <c r="E252" s="30"/>
      <c r="F252" s="30"/>
      <c r="G252" s="30"/>
      <c r="H252" s="30"/>
      <c r="I252" s="30"/>
      <c r="J252" s="30" t="str">
        <f t="shared" si="3"/>
        <v>pending</v>
      </c>
    </row>
    <row r="253" spans="1:10" ht="45" x14ac:dyDescent="0.25">
      <c r="A253" s="30" t="s">
        <v>1163</v>
      </c>
      <c r="B253" s="30" t="s">
        <v>1459</v>
      </c>
      <c r="C253" s="30" t="s">
        <v>1209</v>
      </c>
      <c r="D253" s="30"/>
      <c r="E253" s="30"/>
      <c r="F253" s="30"/>
      <c r="G253" s="30"/>
      <c r="H253" s="30"/>
      <c r="I253" s="30"/>
      <c r="J253" s="30" t="str">
        <f t="shared" si="3"/>
        <v>pending</v>
      </c>
    </row>
    <row r="254" spans="1:10" ht="30" x14ac:dyDescent="0.25">
      <c r="A254" s="30" t="s">
        <v>1164</v>
      </c>
      <c r="B254" s="30" t="s">
        <v>1460</v>
      </c>
      <c r="C254" s="30" t="s">
        <v>1209</v>
      </c>
      <c r="D254" s="30"/>
      <c r="E254" s="30"/>
      <c r="F254" s="30"/>
      <c r="G254" s="30"/>
      <c r="H254" s="30"/>
      <c r="I254" s="30"/>
      <c r="J254" s="30" t="str">
        <f t="shared" si="3"/>
        <v>pending</v>
      </c>
    </row>
    <row r="255" spans="1:10" ht="30" x14ac:dyDescent="0.25">
      <c r="A255" s="30" t="s">
        <v>1165</v>
      </c>
      <c r="B255" s="30" t="s">
        <v>1461</v>
      </c>
      <c r="C255" s="30" t="s">
        <v>1209</v>
      </c>
      <c r="D255" s="30"/>
      <c r="E255" s="30"/>
      <c r="F255" s="30"/>
      <c r="G255" s="30"/>
      <c r="H255" s="30"/>
      <c r="I255" s="30"/>
      <c r="J255" s="30" t="str">
        <f t="shared" si="3"/>
        <v>pending</v>
      </c>
    </row>
    <row r="256" spans="1:10" x14ac:dyDescent="0.25">
      <c r="A256" s="30" t="s">
        <v>1166</v>
      </c>
      <c r="B256" s="30" t="s">
        <v>1462</v>
      </c>
      <c r="C256" s="30" t="s">
        <v>1209</v>
      </c>
      <c r="D256" s="30"/>
      <c r="E256" s="30"/>
      <c r="F256" s="30"/>
      <c r="G256" s="30"/>
      <c r="H256" s="30"/>
      <c r="I256" s="30"/>
      <c r="J256" s="30" t="str">
        <f t="shared" si="3"/>
        <v>pending</v>
      </c>
    </row>
    <row r="257" spans="1:10" ht="30" x14ac:dyDescent="0.25">
      <c r="A257" s="30" t="s">
        <v>1167</v>
      </c>
      <c r="B257" s="30" t="s">
        <v>1463</v>
      </c>
      <c r="C257" s="30" t="s">
        <v>1209</v>
      </c>
      <c r="D257" s="30"/>
      <c r="E257" s="30"/>
      <c r="F257" s="30"/>
      <c r="G257" s="30"/>
      <c r="H257" s="30"/>
      <c r="I257" s="30"/>
      <c r="J257" s="30" t="str">
        <f t="shared" si="3"/>
        <v>pending</v>
      </c>
    </row>
    <row r="258" spans="1:10" ht="45" x14ac:dyDescent="0.25">
      <c r="A258" s="30" t="s">
        <v>1168</v>
      </c>
      <c r="B258" s="30" t="s">
        <v>1464</v>
      </c>
      <c r="C258" s="30" t="s">
        <v>1209</v>
      </c>
      <c r="D258" s="30"/>
      <c r="E258" s="30"/>
      <c r="F258" s="30"/>
      <c r="G258" s="30"/>
      <c r="H258" s="30"/>
      <c r="I258" s="30"/>
      <c r="J258" s="30" t="str">
        <f t="shared" si="3"/>
        <v>pending</v>
      </c>
    </row>
    <row r="259" spans="1:10" ht="30" x14ac:dyDescent="0.25">
      <c r="A259" s="30" t="s">
        <v>1169</v>
      </c>
      <c r="B259" s="30" t="s">
        <v>1465</v>
      </c>
      <c r="C259" s="30" t="s">
        <v>1209</v>
      </c>
      <c r="D259" s="30"/>
      <c r="E259" s="30"/>
      <c r="F259" s="30"/>
      <c r="G259" s="30"/>
      <c r="H259" s="30"/>
      <c r="I259" s="30"/>
      <c r="J259" s="30" t="str">
        <f t="shared" ref="J259:J297" si="4">IF(C259&lt;&gt;"-","done","pending")</f>
        <v>pending</v>
      </c>
    </row>
    <row r="260" spans="1:10" x14ac:dyDescent="0.25">
      <c r="A260" s="30" t="s">
        <v>1170</v>
      </c>
      <c r="B260" s="30" t="s">
        <v>1466</v>
      </c>
      <c r="C260" s="30" t="s">
        <v>1209</v>
      </c>
      <c r="D260" s="30"/>
      <c r="E260" s="30"/>
      <c r="F260" s="30"/>
      <c r="G260" s="30"/>
      <c r="H260" s="30"/>
      <c r="I260" s="30"/>
      <c r="J260" s="30" t="str">
        <f t="shared" si="4"/>
        <v>pending</v>
      </c>
    </row>
    <row r="261" spans="1:10" ht="30" x14ac:dyDescent="0.25">
      <c r="A261" s="30" t="s">
        <v>1171</v>
      </c>
      <c r="B261" s="30" t="s">
        <v>1467</v>
      </c>
      <c r="C261" s="30" t="s">
        <v>1209</v>
      </c>
      <c r="D261" s="30"/>
      <c r="E261" s="30"/>
      <c r="F261" s="30"/>
      <c r="G261" s="30"/>
      <c r="H261" s="30"/>
      <c r="I261" s="30"/>
      <c r="J261" s="30" t="str">
        <f t="shared" si="4"/>
        <v>pending</v>
      </c>
    </row>
    <row r="262" spans="1:10" x14ac:dyDescent="0.25">
      <c r="A262" s="30" t="s">
        <v>1172</v>
      </c>
      <c r="B262" s="30" t="s">
        <v>1468</v>
      </c>
      <c r="C262" s="30" t="s">
        <v>1209</v>
      </c>
      <c r="D262" s="30"/>
      <c r="E262" s="30"/>
      <c r="F262" s="30"/>
      <c r="G262" s="30"/>
      <c r="H262" s="30"/>
      <c r="I262" s="30"/>
      <c r="J262" s="30" t="str">
        <f t="shared" si="4"/>
        <v>pending</v>
      </c>
    </row>
    <row r="263" spans="1:10" ht="30" x14ac:dyDescent="0.25">
      <c r="A263" s="30" t="s">
        <v>1173</v>
      </c>
      <c r="B263" s="30" t="s">
        <v>1469</v>
      </c>
      <c r="C263" s="30" t="s">
        <v>1209</v>
      </c>
      <c r="D263" s="30"/>
      <c r="E263" s="30"/>
      <c r="F263" s="30"/>
      <c r="G263" s="30"/>
      <c r="H263" s="30"/>
      <c r="I263" s="30"/>
      <c r="J263" s="30" t="str">
        <f t="shared" si="4"/>
        <v>pending</v>
      </c>
    </row>
    <row r="264" spans="1:10" x14ac:dyDescent="0.25">
      <c r="A264" s="30" t="s">
        <v>1174</v>
      </c>
      <c r="B264" s="30" t="s">
        <v>1470</v>
      </c>
      <c r="C264" s="30" t="s">
        <v>1209</v>
      </c>
      <c r="D264" s="30"/>
      <c r="E264" s="30"/>
      <c r="F264" s="30"/>
      <c r="G264" s="30"/>
      <c r="H264" s="30"/>
      <c r="I264" s="30"/>
      <c r="J264" s="30" t="str">
        <f t="shared" si="4"/>
        <v>pending</v>
      </c>
    </row>
    <row r="265" spans="1:10" x14ac:dyDescent="0.25">
      <c r="A265" s="30" t="s">
        <v>1175</v>
      </c>
      <c r="B265" s="30" t="s">
        <v>1471</v>
      </c>
      <c r="C265" s="30" t="s">
        <v>1209</v>
      </c>
      <c r="D265" s="30"/>
      <c r="E265" s="30"/>
      <c r="F265" s="30"/>
      <c r="G265" s="30"/>
      <c r="H265" s="30"/>
      <c r="I265" s="30"/>
      <c r="J265" s="30" t="str">
        <f t="shared" si="4"/>
        <v>pending</v>
      </c>
    </row>
    <row r="266" spans="1:10" ht="30" x14ac:dyDescent="0.25">
      <c r="A266" s="30" t="s">
        <v>1176</v>
      </c>
      <c r="B266" s="30" t="s">
        <v>1472</v>
      </c>
      <c r="C266" s="30" t="s">
        <v>1209</v>
      </c>
      <c r="D266" s="30"/>
      <c r="E266" s="30"/>
      <c r="F266" s="30"/>
      <c r="G266" s="30"/>
      <c r="H266" s="30"/>
      <c r="I266" s="30"/>
      <c r="J266" s="30" t="str">
        <f t="shared" si="4"/>
        <v>pending</v>
      </c>
    </row>
    <row r="267" spans="1:10" x14ac:dyDescent="0.25">
      <c r="A267" s="30" t="s">
        <v>1177</v>
      </c>
      <c r="B267" s="30" t="s">
        <v>1473</v>
      </c>
      <c r="C267" s="30" t="s">
        <v>1209</v>
      </c>
      <c r="D267" s="30"/>
      <c r="E267" s="30"/>
      <c r="F267" s="30"/>
      <c r="G267" s="30"/>
      <c r="H267" s="30"/>
      <c r="I267" s="30"/>
      <c r="J267" s="30" t="str">
        <f t="shared" si="4"/>
        <v>pending</v>
      </c>
    </row>
    <row r="268" spans="1:10" x14ac:dyDescent="0.25">
      <c r="A268" s="30" t="s">
        <v>1178</v>
      </c>
      <c r="B268" s="30" t="s">
        <v>1474</v>
      </c>
      <c r="C268" s="30" t="s">
        <v>1209</v>
      </c>
      <c r="D268" s="30"/>
      <c r="E268" s="30"/>
      <c r="F268" s="30"/>
      <c r="G268" s="30"/>
      <c r="H268" s="30"/>
      <c r="I268" s="30"/>
      <c r="J268" s="30" t="str">
        <f t="shared" si="4"/>
        <v>pending</v>
      </c>
    </row>
    <row r="269" spans="1:10" x14ac:dyDescent="0.25">
      <c r="A269" s="30" t="s">
        <v>1179</v>
      </c>
      <c r="B269" s="30" t="s">
        <v>1475</v>
      </c>
      <c r="C269" s="30" t="s">
        <v>1209</v>
      </c>
      <c r="D269" s="30"/>
      <c r="E269" s="30"/>
      <c r="F269" s="30"/>
      <c r="G269" s="30"/>
      <c r="H269" s="30"/>
      <c r="I269" s="30"/>
      <c r="J269" s="30" t="str">
        <f t="shared" si="4"/>
        <v>pending</v>
      </c>
    </row>
    <row r="270" spans="1:10" x14ac:dyDescent="0.25">
      <c r="A270" s="30" t="s">
        <v>1180</v>
      </c>
      <c r="B270" s="30" t="s">
        <v>1476</v>
      </c>
      <c r="C270" s="30" t="s">
        <v>1209</v>
      </c>
      <c r="D270" s="30"/>
      <c r="E270" s="30"/>
      <c r="F270" s="30"/>
      <c r="G270" s="30"/>
      <c r="H270" s="30"/>
      <c r="I270" s="30"/>
      <c r="J270" s="30" t="str">
        <f t="shared" si="4"/>
        <v>pending</v>
      </c>
    </row>
    <row r="271" spans="1:10" ht="30" x14ac:dyDescent="0.25">
      <c r="A271" s="30" t="s">
        <v>1181</v>
      </c>
      <c r="B271" s="30" t="s">
        <v>1477</v>
      </c>
      <c r="C271" s="30" t="s">
        <v>1209</v>
      </c>
      <c r="D271" s="30"/>
      <c r="E271" s="30"/>
      <c r="F271" s="30"/>
      <c r="G271" s="30"/>
      <c r="H271" s="30"/>
      <c r="I271" s="30"/>
      <c r="J271" s="30" t="str">
        <f t="shared" si="4"/>
        <v>pending</v>
      </c>
    </row>
    <row r="272" spans="1:10" x14ac:dyDescent="0.25">
      <c r="A272" s="30" t="s">
        <v>1182</v>
      </c>
      <c r="B272" s="30" t="s">
        <v>1478</v>
      </c>
      <c r="C272" s="30" t="s">
        <v>1209</v>
      </c>
      <c r="D272" s="30"/>
      <c r="E272" s="30"/>
      <c r="F272" s="30"/>
      <c r="G272" s="30"/>
      <c r="H272" s="30"/>
      <c r="I272" s="30"/>
      <c r="J272" s="30" t="str">
        <f t="shared" si="4"/>
        <v>pending</v>
      </c>
    </row>
    <row r="273" spans="1:10" ht="45" x14ac:dyDescent="0.25">
      <c r="A273" s="30" t="s">
        <v>1183</v>
      </c>
      <c r="B273" s="30" t="s">
        <v>1479</v>
      </c>
      <c r="C273" s="30" t="s">
        <v>1209</v>
      </c>
      <c r="D273" s="30"/>
      <c r="E273" s="30"/>
      <c r="F273" s="30"/>
      <c r="G273" s="30"/>
      <c r="H273" s="30"/>
      <c r="I273" s="30"/>
      <c r="J273" s="30" t="str">
        <f t="shared" si="4"/>
        <v>pending</v>
      </c>
    </row>
    <row r="274" spans="1:10" ht="45" x14ac:dyDescent="0.25">
      <c r="A274" s="30" t="s">
        <v>1184</v>
      </c>
      <c r="B274" s="30" t="s">
        <v>1480</v>
      </c>
      <c r="C274" s="30" t="s">
        <v>1209</v>
      </c>
      <c r="D274" s="30"/>
      <c r="E274" s="30"/>
      <c r="F274" s="30"/>
      <c r="G274" s="30"/>
      <c r="H274" s="30"/>
      <c r="I274" s="30"/>
      <c r="J274" s="30" t="str">
        <f t="shared" si="4"/>
        <v>pending</v>
      </c>
    </row>
    <row r="275" spans="1:10" ht="45" x14ac:dyDescent="0.25">
      <c r="A275" s="30" t="s">
        <v>1185</v>
      </c>
      <c r="B275" s="30" t="s">
        <v>1481</v>
      </c>
      <c r="C275" s="30" t="s">
        <v>1209</v>
      </c>
      <c r="D275" s="30"/>
      <c r="E275" s="30"/>
      <c r="F275" s="30"/>
      <c r="G275" s="30"/>
      <c r="H275" s="30"/>
      <c r="I275" s="30"/>
      <c r="J275" s="30" t="str">
        <f t="shared" si="4"/>
        <v>pending</v>
      </c>
    </row>
    <row r="276" spans="1:10" ht="30" x14ac:dyDescent="0.25">
      <c r="A276" s="30" t="s">
        <v>1186</v>
      </c>
      <c r="B276" s="30" t="s">
        <v>1482</v>
      </c>
      <c r="C276" s="30" t="s">
        <v>1209</v>
      </c>
      <c r="D276" s="30"/>
      <c r="E276" s="30"/>
      <c r="F276" s="30"/>
      <c r="G276" s="30"/>
      <c r="H276" s="30"/>
      <c r="I276" s="30"/>
      <c r="J276" s="30" t="str">
        <f t="shared" si="4"/>
        <v>pending</v>
      </c>
    </row>
    <row r="277" spans="1:10" ht="45" x14ac:dyDescent="0.25">
      <c r="A277" s="30" t="s">
        <v>1187</v>
      </c>
      <c r="B277" s="30" t="s">
        <v>1483</v>
      </c>
      <c r="C277" s="30" t="s">
        <v>1209</v>
      </c>
      <c r="D277" s="30"/>
      <c r="E277" s="30"/>
      <c r="F277" s="30"/>
      <c r="G277" s="30"/>
      <c r="H277" s="30"/>
      <c r="I277" s="30"/>
      <c r="J277" s="30" t="str">
        <f t="shared" si="4"/>
        <v>pending</v>
      </c>
    </row>
    <row r="278" spans="1:10" ht="30" x14ac:dyDescent="0.25">
      <c r="A278" s="30" t="s">
        <v>1188</v>
      </c>
      <c r="B278" s="30" t="s">
        <v>1484</v>
      </c>
      <c r="C278" s="30" t="s">
        <v>1209</v>
      </c>
      <c r="D278" s="30"/>
      <c r="E278" s="30"/>
      <c r="F278" s="30"/>
      <c r="G278" s="30"/>
      <c r="H278" s="30"/>
      <c r="I278" s="30"/>
      <c r="J278" s="30" t="str">
        <f t="shared" si="4"/>
        <v>pending</v>
      </c>
    </row>
    <row r="279" spans="1:10" x14ac:dyDescent="0.25">
      <c r="A279" s="30" t="s">
        <v>1189</v>
      </c>
      <c r="B279" s="30" t="s">
        <v>1485</v>
      </c>
      <c r="C279" s="30" t="s">
        <v>1209</v>
      </c>
      <c r="D279" s="30"/>
      <c r="E279" s="30"/>
      <c r="F279" s="30"/>
      <c r="G279" s="30"/>
      <c r="H279" s="30"/>
      <c r="I279" s="30"/>
      <c r="J279" s="30" t="str">
        <f t="shared" si="4"/>
        <v>pending</v>
      </c>
    </row>
    <row r="280" spans="1:10" ht="30" x14ac:dyDescent="0.25">
      <c r="A280" s="30" t="s">
        <v>1190</v>
      </c>
      <c r="B280" s="30" t="s">
        <v>1486</v>
      </c>
      <c r="C280" s="30" t="s">
        <v>1209</v>
      </c>
      <c r="D280" s="30"/>
      <c r="E280" s="30"/>
      <c r="F280" s="30"/>
      <c r="G280" s="30"/>
      <c r="H280" s="30"/>
      <c r="I280" s="30"/>
      <c r="J280" s="30" t="str">
        <f t="shared" si="4"/>
        <v>pending</v>
      </c>
    </row>
    <row r="281" spans="1:10" x14ac:dyDescent="0.25">
      <c r="A281" s="30" t="s">
        <v>1191</v>
      </c>
      <c r="B281" s="30" t="s">
        <v>1487</v>
      </c>
      <c r="C281" s="30" t="s">
        <v>1209</v>
      </c>
      <c r="D281" s="30"/>
      <c r="E281" s="30"/>
      <c r="F281" s="30"/>
      <c r="G281" s="30"/>
      <c r="H281" s="30"/>
      <c r="I281" s="30"/>
      <c r="J281" s="30" t="str">
        <f t="shared" si="4"/>
        <v>pending</v>
      </c>
    </row>
    <row r="282" spans="1:10" ht="30" x14ac:dyDescent="0.25">
      <c r="A282" s="30" t="s">
        <v>1192</v>
      </c>
      <c r="B282" s="30" t="s">
        <v>1488</v>
      </c>
      <c r="C282" s="30" t="s">
        <v>1209</v>
      </c>
      <c r="D282" s="30"/>
      <c r="E282" s="30"/>
      <c r="F282" s="30"/>
      <c r="G282" s="30"/>
      <c r="H282" s="30"/>
      <c r="I282" s="30"/>
      <c r="J282" s="30" t="str">
        <f t="shared" si="4"/>
        <v>pending</v>
      </c>
    </row>
    <row r="283" spans="1:10" x14ac:dyDescent="0.25">
      <c r="A283" s="30" t="s">
        <v>1193</v>
      </c>
      <c r="B283" s="30" t="s">
        <v>1489</v>
      </c>
      <c r="C283" s="30" t="s">
        <v>1209</v>
      </c>
      <c r="D283" s="30"/>
      <c r="E283" s="30"/>
      <c r="F283" s="30"/>
      <c r="G283" s="30"/>
      <c r="H283" s="30"/>
      <c r="I283" s="30"/>
      <c r="J283" s="30" t="str">
        <f t="shared" si="4"/>
        <v>pending</v>
      </c>
    </row>
    <row r="284" spans="1:10" x14ac:dyDescent="0.25">
      <c r="A284" s="30" t="s">
        <v>1194</v>
      </c>
      <c r="B284" s="30" t="s">
        <v>1490</v>
      </c>
      <c r="C284" s="30" t="s">
        <v>1209</v>
      </c>
      <c r="D284" s="30"/>
      <c r="E284" s="30"/>
      <c r="F284" s="30"/>
      <c r="G284" s="30"/>
      <c r="H284" s="30"/>
      <c r="I284" s="30"/>
      <c r="J284" s="30" t="str">
        <f t="shared" si="4"/>
        <v>pending</v>
      </c>
    </row>
    <row r="285" spans="1:10" ht="30" x14ac:dyDescent="0.25">
      <c r="A285" s="30" t="s">
        <v>1195</v>
      </c>
      <c r="B285" s="30" t="s">
        <v>1491</v>
      </c>
      <c r="C285" s="30" t="s">
        <v>1209</v>
      </c>
      <c r="D285" s="30"/>
      <c r="E285" s="30"/>
      <c r="F285" s="30"/>
      <c r="G285" s="30"/>
      <c r="H285" s="30"/>
      <c r="I285" s="30"/>
      <c r="J285" s="30" t="str">
        <f t="shared" si="4"/>
        <v>pending</v>
      </c>
    </row>
    <row r="286" spans="1:10" ht="45" x14ac:dyDescent="0.25">
      <c r="A286" s="30" t="s">
        <v>1196</v>
      </c>
      <c r="B286" s="30" t="s">
        <v>1492</v>
      </c>
      <c r="C286" s="30" t="s">
        <v>1209</v>
      </c>
      <c r="D286" s="30"/>
      <c r="E286" s="30"/>
      <c r="F286" s="30"/>
      <c r="G286" s="30"/>
      <c r="H286" s="30"/>
      <c r="I286" s="30"/>
      <c r="J286" s="30" t="str">
        <f t="shared" si="4"/>
        <v>pending</v>
      </c>
    </row>
    <row r="287" spans="1:10" ht="30" x14ac:dyDescent="0.25">
      <c r="A287" s="30" t="s">
        <v>1197</v>
      </c>
      <c r="B287" s="30" t="s">
        <v>1493</v>
      </c>
      <c r="C287" s="30" t="s">
        <v>1209</v>
      </c>
      <c r="D287" s="30"/>
      <c r="E287" s="30"/>
      <c r="F287" s="30"/>
      <c r="G287" s="30"/>
      <c r="H287" s="30"/>
      <c r="I287" s="30"/>
      <c r="J287" s="30" t="str">
        <f t="shared" si="4"/>
        <v>pending</v>
      </c>
    </row>
    <row r="288" spans="1:10" x14ac:dyDescent="0.25">
      <c r="A288" s="30" t="s">
        <v>1198</v>
      </c>
      <c r="B288" s="30" t="s">
        <v>1494</v>
      </c>
      <c r="C288" s="30" t="s">
        <v>1209</v>
      </c>
      <c r="D288" s="30"/>
      <c r="E288" s="30"/>
      <c r="F288" s="30"/>
      <c r="G288" s="30"/>
      <c r="H288" s="30"/>
      <c r="I288" s="30"/>
      <c r="J288" s="30" t="str">
        <f t="shared" si="4"/>
        <v>pending</v>
      </c>
    </row>
    <row r="289" spans="1:10" ht="30" x14ac:dyDescent="0.25">
      <c r="A289" s="30" t="s">
        <v>1199</v>
      </c>
      <c r="B289" s="30" t="s">
        <v>1495</v>
      </c>
      <c r="C289" s="30" t="s">
        <v>1209</v>
      </c>
      <c r="D289" s="30"/>
      <c r="E289" s="30"/>
      <c r="F289" s="30"/>
      <c r="G289" s="30"/>
      <c r="H289" s="30"/>
      <c r="I289" s="30"/>
      <c r="J289" s="30" t="str">
        <f t="shared" si="4"/>
        <v>pending</v>
      </c>
    </row>
    <row r="290" spans="1:10" x14ac:dyDescent="0.25">
      <c r="A290" s="30" t="s">
        <v>1200</v>
      </c>
      <c r="B290" s="30" t="s">
        <v>1496</v>
      </c>
      <c r="C290" s="30" t="s">
        <v>1209</v>
      </c>
      <c r="D290" s="30"/>
      <c r="E290" s="30"/>
      <c r="F290" s="30"/>
      <c r="G290" s="30"/>
      <c r="H290" s="30"/>
      <c r="I290" s="30"/>
      <c r="J290" s="30" t="str">
        <f t="shared" si="4"/>
        <v>pending</v>
      </c>
    </row>
    <row r="291" spans="1:10" x14ac:dyDescent="0.25">
      <c r="A291" s="30" t="s">
        <v>1201</v>
      </c>
      <c r="B291" s="30" t="s">
        <v>1497</v>
      </c>
      <c r="C291" s="30" t="s">
        <v>1209</v>
      </c>
      <c r="D291" s="30"/>
      <c r="E291" s="30"/>
      <c r="F291" s="30"/>
      <c r="G291" s="30"/>
      <c r="H291" s="30"/>
      <c r="I291" s="30"/>
      <c r="J291" s="30" t="str">
        <f t="shared" si="4"/>
        <v>pending</v>
      </c>
    </row>
    <row r="292" spans="1:10" x14ac:dyDescent="0.25">
      <c r="A292" s="30" t="s">
        <v>1202</v>
      </c>
      <c r="B292" s="30" t="s">
        <v>1498</v>
      </c>
      <c r="C292" s="30" t="s">
        <v>1209</v>
      </c>
      <c r="D292" s="30"/>
      <c r="E292" s="30"/>
      <c r="F292" s="30"/>
      <c r="G292" s="30"/>
      <c r="H292" s="30"/>
      <c r="I292" s="30"/>
      <c r="J292" s="30" t="str">
        <f t="shared" si="4"/>
        <v>pending</v>
      </c>
    </row>
    <row r="293" spans="1:10" ht="30" x14ac:dyDescent="0.25">
      <c r="A293" s="30" t="s">
        <v>1203</v>
      </c>
      <c r="B293" s="30" t="s">
        <v>1499</v>
      </c>
      <c r="C293" s="30" t="s">
        <v>1209</v>
      </c>
      <c r="D293" s="30"/>
      <c r="E293" s="30"/>
      <c r="F293" s="30"/>
      <c r="G293" s="30"/>
      <c r="H293" s="30"/>
      <c r="I293" s="30"/>
      <c r="J293" s="30" t="str">
        <f t="shared" si="4"/>
        <v>pending</v>
      </c>
    </row>
    <row r="294" spans="1:10" ht="30" x14ac:dyDescent="0.25">
      <c r="A294" s="30" t="s">
        <v>1204</v>
      </c>
      <c r="B294" s="30" t="s">
        <v>1500</v>
      </c>
      <c r="C294" s="30" t="s">
        <v>1209</v>
      </c>
      <c r="D294" s="30"/>
      <c r="E294" s="30"/>
      <c r="F294" s="30"/>
      <c r="G294" s="30"/>
      <c r="H294" s="30"/>
      <c r="I294" s="30"/>
      <c r="J294" s="30" t="str">
        <f t="shared" si="4"/>
        <v>pending</v>
      </c>
    </row>
    <row r="295" spans="1:10" x14ac:dyDescent="0.25">
      <c r="A295" s="30" t="s">
        <v>1205</v>
      </c>
      <c r="B295" s="30" t="s">
        <v>1501</v>
      </c>
      <c r="C295" s="30" t="s">
        <v>1209</v>
      </c>
      <c r="D295" s="30"/>
      <c r="E295" s="30"/>
      <c r="F295" s="30"/>
      <c r="G295" s="30"/>
      <c r="H295" s="30"/>
      <c r="I295" s="30"/>
      <c r="J295" s="30" t="str">
        <f t="shared" si="4"/>
        <v>pending</v>
      </c>
    </row>
    <row r="296" spans="1:10" x14ac:dyDescent="0.25">
      <c r="A296" s="30" t="s">
        <v>1206</v>
      </c>
      <c r="B296" s="30" t="s">
        <v>1502</v>
      </c>
      <c r="C296" s="30" t="s">
        <v>1209</v>
      </c>
      <c r="D296" s="30"/>
      <c r="E296" s="30"/>
      <c r="F296" s="30"/>
      <c r="G296" s="30"/>
      <c r="H296" s="30"/>
      <c r="I296" s="30"/>
      <c r="J296" s="30" t="str">
        <f t="shared" si="4"/>
        <v>pending</v>
      </c>
    </row>
    <row r="297" spans="1:10" x14ac:dyDescent="0.25">
      <c r="A297" s="30" t="s">
        <v>1207</v>
      </c>
      <c r="B297" s="30" t="s">
        <v>1503</v>
      </c>
      <c r="C297" s="30" t="s">
        <v>1209</v>
      </c>
      <c r="D297" s="30"/>
      <c r="E297" s="30"/>
      <c r="F297" s="30"/>
      <c r="G297" s="30"/>
      <c r="H297" s="30"/>
      <c r="I297" s="30"/>
      <c r="J297" s="30" t="str">
        <f t="shared" si="4"/>
        <v>pending</v>
      </c>
    </row>
  </sheetData>
  <sortState xmlns:xlrd2="http://schemas.microsoft.com/office/spreadsheetml/2017/richdata2" ref="A2:A297">
    <sortCondition ref="A223:A297"/>
  </sortState>
  <conditionalFormatting sqref="A1:B1048576">
    <cfRule type="duplicateValues" dxfId="3"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main_links</vt:lpstr>
      <vt:lpstr>Core_cat</vt:lpstr>
      <vt:lpstr>unusable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2026-07-30T06:30:37Z</dcterms:modified>
</cp:coreProperties>
</file>